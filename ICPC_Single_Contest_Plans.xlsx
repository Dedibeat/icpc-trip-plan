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anghai – Sleeper" sheetId="7" state="visible" r:id="rId7"/>
    <sheet name="Shanghai – Spring nonstop" sheetId="8" state="visible" r:id="rId8"/>
    <sheet name="Shanghai – Train (no sleeper)" sheetId="9" state="visible" r:id="rId9"/>
    <sheet name="Nanchang – Sleeper" sheetId="10" state="visible" r:id="rId10"/>
    <sheet name="Nanchang – Comfort" sheetId="11" state="visible" r:id="rId11"/>
    <sheet name="Nanchang – Fly in (Air China)" sheetId="12" state="visible" r:id="rId12"/>
    <sheet name="Hong Kong – Budget" sheetId="13" state="visible" r:id="rId13"/>
    <sheet name="Hong Kong – Comfort" sheetId="14" state="visible" r:id="rId14"/>
    <sheet name="Hong Kong – Value" sheetId="15" state="visible" r:id="rId15"/>
    <sheet name="Hong Kong – Sleep first" sheetId="16" state="visible" r:id="rId16"/>
    <sheet name="Hong Kong – Funded 12M" sheetId="17" state="visible" r:id="rId17"/>
    <sheet name="Hong Kong – Sleep priority" sheetId="18" state="visible" r:id="rId18"/>
    <sheet name="EC Final Hangzhou – Train" sheetId="19" state="visible" r:id="rId19"/>
    <sheet name="EC Final Hangzhou – Fly" sheetId="20" state="visible" r:id="rId20"/>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10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Shanghai – Sleeper</t>
        </is>
      </c>
      <c r="B19" s="68">
        <f>'Shanghai – Sleeper'!H35</f>
        <v/>
      </c>
      <c r="C19" s="68">
        <f>'Shanghai – Sleeper'!H36</f>
        <v/>
      </c>
      <c r="D19" s="69">
        <f>'Shanghai – Sleeper'!H38</f>
        <v/>
      </c>
      <c r="E19" s="68">
        <f>'Shanghai – Sleeper'!K35</f>
        <v/>
      </c>
      <c r="F19" s="68">
        <f>'Shanghai – Sleeper'!K36</f>
        <v/>
      </c>
      <c r="G19" s="69">
        <f>'Shanghai – Sleeper'!K38</f>
        <v/>
      </c>
      <c r="H19" s="70">
        <f>'Shanghai – Sleeper'!H39</f>
        <v/>
      </c>
      <c r="I19" s="70">
        <f>'Shanghai – Sleeper'!K39</f>
        <v/>
      </c>
      <c r="J19" s="71">
        <f>'Shanghai – Sleeper'!H40</f>
        <v/>
      </c>
      <c r="K19" s="71">
        <f>'Shanghai – Sleeper'!D71</f>
        <v/>
      </c>
      <c r="L19" s="123">
        <f>IF(F19&gt;=0,"yes","over by "&amp;TEXT(-F19,"#,##0")&amp;" ₮")</f>
        <v/>
      </c>
      <c r="M19" s="68">
        <f>Compare!$B$5-E19/(1+Compare!$B$11)</f>
        <v/>
      </c>
    </row>
    <row r="20" ht="15" customHeight="1" s="56">
      <c r="A20" s="67" t="inlineStr">
        <is>
          <t>Shanghai – Spring nonstop</t>
        </is>
      </c>
      <c r="B20" s="68">
        <f>'Shanghai – Spring nonstop'!H31</f>
        <v/>
      </c>
      <c r="C20" s="68">
        <f>'Shanghai – Spring nonstop'!H32</f>
        <v/>
      </c>
      <c r="D20" s="69">
        <f>'Shanghai – Spring nonstop'!H34</f>
        <v/>
      </c>
      <c r="E20" s="68">
        <f>'Shanghai – Spring nonstop'!K31</f>
        <v/>
      </c>
      <c r="F20" s="68">
        <f>'Shanghai – Spring nonstop'!K32</f>
        <v/>
      </c>
      <c r="G20" s="69">
        <f>'Shanghai – Spring nonstop'!K34</f>
        <v/>
      </c>
      <c r="H20" s="70">
        <f>'Shanghai – Spring nonstop'!H35</f>
        <v/>
      </c>
      <c r="I20" s="70">
        <f>'Shanghai – Spring nonstop'!K35</f>
        <v/>
      </c>
      <c r="J20" s="71">
        <f>'Shanghai – Spring nonstop'!H36</f>
        <v/>
      </c>
      <c r="K20" s="71">
        <f>'Shanghai – Spring nonstop'!D65</f>
        <v/>
      </c>
      <c r="L20" s="123">
        <f>IF(F20&gt;=0,"yes","over by "&amp;TEXT(-F20,"#,##0")&amp;" ₮")</f>
        <v/>
      </c>
      <c r="M20" s="68">
        <f>Compare!$B$5-E20/(1+Compare!$B$11)</f>
        <v/>
      </c>
    </row>
    <row r="21">
      <c r="A21" s="67" t="inlineStr">
        <is>
          <t>Shanghai – Train (no sleeper)</t>
        </is>
      </c>
      <c r="B21" s="68">
        <f>'Shanghai – Train (no sleeper)'!H37</f>
        <v/>
      </c>
      <c r="C21" s="68">
        <f>'Shanghai – Train (no sleeper)'!H38</f>
        <v/>
      </c>
      <c r="D21" s="69">
        <f>'Shanghai – Train (no sleeper)'!H40</f>
        <v/>
      </c>
      <c r="E21" s="68">
        <f>'Shanghai – Train (no sleeper)'!K37</f>
        <v/>
      </c>
      <c r="F21" s="68">
        <f>'Shanghai – Train (no sleeper)'!K38</f>
        <v/>
      </c>
      <c r="G21" s="69">
        <f>'Shanghai – Train (no sleeper)'!K40</f>
        <v/>
      </c>
      <c r="H21" s="70">
        <f>'Shanghai – Train (no sleeper)'!H41</f>
        <v/>
      </c>
      <c r="I21" s="70">
        <f>'Shanghai – Train (no sleeper)'!K41</f>
        <v/>
      </c>
      <c r="J21" s="71">
        <f>'Shanghai – Train (no sleeper)'!H42</f>
        <v/>
      </c>
      <c r="K21" s="71">
        <f>'Shanghai – Train (no sleeper)'!D74</f>
        <v/>
      </c>
      <c r="L21" s="123">
        <f>IF(F21&gt;=0,"yes","over by "&amp;TEXT(-F21,"#,##0")&amp;" ₮")</f>
        <v/>
      </c>
      <c r="M21" s="68">
        <f>Compare!$B$5-E21/(1+Compare!$B$11)</f>
        <v/>
      </c>
    </row>
    <row r="22" ht="15" customHeight="1" s="56">
      <c r="A22" s="67" t="inlineStr">
        <is>
          <t>Nanchang – Sleeper</t>
        </is>
      </c>
      <c r="B22" s="68">
        <f>'Nanchang – Sleeper'!H34</f>
        <v/>
      </c>
      <c r="C22" s="68">
        <f>'Nanchang – Sleeper'!H35</f>
        <v/>
      </c>
      <c r="D22" s="69">
        <f>'Nanchang – Sleeper'!H37</f>
        <v/>
      </c>
      <c r="E22" s="68">
        <f>'Nanchang – Sleeper'!K34</f>
        <v/>
      </c>
      <c r="F22" s="68">
        <f>'Nanchang – Sleeper'!K35</f>
        <v/>
      </c>
      <c r="G22" s="69">
        <f>'Nanchang – Sleeper'!K37</f>
        <v/>
      </c>
      <c r="H22" s="70">
        <f>'Nanchang – Sleeper'!H38</f>
        <v/>
      </c>
      <c r="I22" s="70">
        <f>'Nanchang – Sleeper'!K38</f>
        <v/>
      </c>
      <c r="J22" s="71">
        <f>'Nanchang – Sleeper'!H39</f>
        <v/>
      </c>
      <c r="K22" s="71">
        <f>'Nanchang – Sleeper'!D70</f>
        <v/>
      </c>
      <c r="L22" s="123">
        <f>IF(F22&gt;=0,"yes","over by "&amp;TEXT(-F22,"#,##0")&amp;" ₮")</f>
        <v/>
      </c>
      <c r="M22" s="68">
        <f>Compare!$B$5-E22/(1+Compare!$B$11)</f>
        <v/>
      </c>
    </row>
    <row r="23" ht="30" customHeight="1" s="56">
      <c r="A23" s="67" t="inlineStr">
        <is>
          <t>Nanchang – Comfort</t>
        </is>
      </c>
      <c r="B23" s="68">
        <f>'Nanchang – Comfort'!H36</f>
        <v/>
      </c>
      <c r="C23" s="68">
        <f>'Nanchang – Comfort'!H37</f>
        <v/>
      </c>
      <c r="D23" s="69">
        <f>'Nanchang – Comfort'!H39</f>
        <v/>
      </c>
      <c r="E23" s="68">
        <f>'Nanchang – Comfort'!K36</f>
        <v/>
      </c>
      <c r="F23" s="68">
        <f>'Nanchang – Comfort'!K37</f>
        <v/>
      </c>
      <c r="G23" s="69">
        <f>'Nanchang – Comfort'!K39</f>
        <v/>
      </c>
      <c r="H23" s="70">
        <f>'Nanchang – Comfort'!H40</f>
        <v/>
      </c>
      <c r="I23" s="70">
        <f>'Nanchang – Comfort'!K40</f>
        <v/>
      </c>
      <c r="J23" s="71">
        <f>'Nanchang – Comfort'!H41</f>
        <v/>
      </c>
      <c r="K23" s="71">
        <f>'Nanchang – Comfort'!D72</f>
        <v/>
      </c>
      <c r="L23" s="123">
        <f>IF(F23&gt;=0,"yes","over by "&amp;TEXT(-F23,"#,##0")&amp;" ₮")</f>
        <v/>
      </c>
      <c r="M23" s="68">
        <f>Compare!$B$5-E23/(1+Compare!$B$11)</f>
        <v/>
      </c>
    </row>
    <row r="24" ht="30" customHeight="1" s="56">
      <c r="A24" s="67" t="inlineStr">
        <is>
          <t>Nanchang – Fly in (Air China)</t>
        </is>
      </c>
      <c r="B24" s="68">
        <f>'Nanchang – Fly in (Air China)'!H34</f>
        <v/>
      </c>
      <c r="C24" s="68">
        <f>'Nanchang – Fly in (Air China)'!H35</f>
        <v/>
      </c>
      <c r="D24" s="69">
        <f>'Nanchang – Fly in (Air China)'!H37</f>
        <v/>
      </c>
      <c r="E24" s="68">
        <f>'Nanchang – Fly in (Air China)'!K34</f>
        <v/>
      </c>
      <c r="F24" s="68">
        <f>'Nanchang – Fly in (Air China)'!K35</f>
        <v/>
      </c>
      <c r="G24" s="69">
        <f>'Nanchang – Fly in (Air China)'!K37</f>
        <v/>
      </c>
      <c r="H24" s="70">
        <f>'Nanchang – Fly in (Air China)'!H38</f>
        <v/>
      </c>
      <c r="I24" s="70">
        <f>'Nanchang – Fly in (Air China)'!K38</f>
        <v/>
      </c>
      <c r="J24" s="71">
        <f>'Nanchang – Fly in (Air China)'!H39</f>
        <v/>
      </c>
      <c r="K24" s="71">
        <f>'Nanchang – Fly in (Air China)'!D68</f>
        <v/>
      </c>
      <c r="L24" s="123">
        <f>IF(F24&gt;=0,"yes","over by "&amp;TEXT(-F24,"#,##0")&amp;" ₮")</f>
        <v/>
      </c>
      <c r="M24" s="68">
        <f>Compare!$B$5-E24/(1+Compare!$B$11)</f>
        <v/>
      </c>
    </row>
    <row r="25" ht="30" customHeight="1" s="56">
      <c r="A25" s="67" t="inlineStr">
        <is>
          <t>Hong Kong – Budget</t>
        </is>
      </c>
      <c r="B25" s="68">
        <f>'Hong Kong – Budget'!H30</f>
        <v/>
      </c>
      <c r="C25" s="68">
        <f>'Hong Kong – Budget'!H31</f>
        <v/>
      </c>
      <c r="D25" s="69">
        <f>'Hong Kong – Budget'!H33</f>
        <v/>
      </c>
      <c r="E25" s="68">
        <f>'Hong Kong – Budget'!K30</f>
        <v/>
      </c>
      <c r="F25" s="68">
        <f>'Hong Kong – Budget'!K31</f>
        <v/>
      </c>
      <c r="G25" s="69">
        <f>'Hong Kong – Budget'!K33</f>
        <v/>
      </c>
      <c r="H25" s="70">
        <f>'Hong Kong – Budget'!H34</f>
        <v/>
      </c>
      <c r="I25" s="70">
        <f>'Hong Kong – Budget'!K34</f>
        <v/>
      </c>
      <c r="J25" s="71">
        <f>'Hong Kong – Budget'!H35</f>
        <v/>
      </c>
      <c r="K25" s="71">
        <f>'Hong Kong – Budget'!D60</f>
        <v/>
      </c>
      <c r="L25" s="123">
        <f>IF(F25&gt;=0,"yes","over by "&amp;TEXT(-F25,"#,##0")&amp;" ₮")</f>
        <v/>
      </c>
      <c r="M25" s="68">
        <f>Compare!$B$5-E25/(1+Compare!$B$11)</f>
        <v/>
      </c>
    </row>
    <row r="26" s="56">
      <c r="A26" s="67" t="inlineStr">
        <is>
          <t>Hong Kong – Comfort</t>
        </is>
      </c>
      <c r="B26" s="68">
        <f>'Hong Kong – Comfort'!H30</f>
        <v/>
      </c>
      <c r="C26" s="68">
        <f>'Hong Kong – Comfort'!H31</f>
        <v/>
      </c>
      <c r="D26" s="69">
        <f>'Hong Kong – Comfort'!H33</f>
        <v/>
      </c>
      <c r="E26" s="68">
        <f>'Hong Kong – Comfort'!K30</f>
        <v/>
      </c>
      <c r="F26" s="68">
        <f>'Hong Kong – Comfort'!K31</f>
        <v/>
      </c>
      <c r="G26" s="69">
        <f>'Hong Kong – Comfort'!K33</f>
        <v/>
      </c>
      <c r="H26" s="70">
        <f>'Hong Kong – Comfort'!H34</f>
        <v/>
      </c>
      <c r="I26" s="70">
        <f>'Hong Kong – Comfort'!K34</f>
        <v/>
      </c>
      <c r="J26" s="71">
        <f>'Hong Kong – Comfort'!H35</f>
        <v/>
      </c>
      <c r="K26" s="71">
        <f>'Hong Kong – Comfort'!D60</f>
        <v/>
      </c>
      <c r="L26" s="123">
        <f>IF(F26&gt;=0,"yes","over by "&amp;TEXT(-F26,"#,##0")&amp;" ₮")</f>
        <v/>
      </c>
      <c r="M26" s="68">
        <f>Compare!$B$5-E26/(1+Compare!$B$11)</f>
        <v/>
      </c>
    </row>
    <row r="27" ht="30" customHeight="1" s="56">
      <c r="A27" s="67" t="inlineStr">
        <is>
          <t>Hong Kong – Value</t>
        </is>
      </c>
      <c r="B27" s="68">
        <f>'Hong Kong – Value'!H30</f>
        <v/>
      </c>
      <c r="C27" s="68">
        <f>'Hong Kong – Value'!H31</f>
        <v/>
      </c>
      <c r="D27" s="69">
        <f>'Hong Kong – Value'!H33</f>
        <v/>
      </c>
      <c r="E27" s="68">
        <f>'Hong Kong – Value'!K30</f>
        <v/>
      </c>
      <c r="F27" s="68">
        <f>'Hong Kong – Value'!K31</f>
        <v/>
      </c>
      <c r="G27" s="69">
        <f>'Hong Kong – Value'!K33</f>
        <v/>
      </c>
      <c r="H27" s="70">
        <f>'Hong Kong – Value'!H34</f>
        <v/>
      </c>
      <c r="I27" s="70">
        <f>'Hong Kong – Value'!K34</f>
        <v/>
      </c>
      <c r="J27" s="71">
        <f>'Hong Kong – Value'!H35</f>
        <v/>
      </c>
      <c r="K27" s="71">
        <f>'Hong Kong – Value'!D60</f>
        <v/>
      </c>
      <c r="L27" s="123">
        <f>IF(F27&gt;=0,"yes","over by "&amp;TEXT(-F27,"#,##0")&amp;" ₮")</f>
        <v/>
      </c>
      <c r="M27" s="68">
        <f>Compare!$B$5-E27/(1+Compare!$B$11)</f>
        <v/>
      </c>
    </row>
    <row r="28" s="56">
      <c r="A28" s="67" t="inlineStr">
        <is>
          <t>Hong Kong – Sleep first</t>
        </is>
      </c>
      <c r="B28" s="68">
        <f>'Hong Kong – Sleep first'!H30</f>
        <v/>
      </c>
      <c r="C28" s="68">
        <f>'Hong Kong – Sleep first'!H31</f>
        <v/>
      </c>
      <c r="D28" s="69">
        <f>'Hong Kong – Sleep first'!H33</f>
        <v/>
      </c>
      <c r="E28" s="68">
        <f>'Hong Kong – Sleep first'!K30</f>
        <v/>
      </c>
      <c r="F28" s="68">
        <f>'Hong Kong – Sleep first'!K31</f>
        <v/>
      </c>
      <c r="G28" s="69">
        <f>'Hong Kong – Sleep first'!K33</f>
        <v/>
      </c>
      <c r="H28" s="70">
        <f>'Hong Kong – Sleep first'!H34</f>
        <v/>
      </c>
      <c r="I28" s="70">
        <f>'Hong Kong – Sleep first'!K34</f>
        <v/>
      </c>
      <c r="J28" s="71">
        <f>'Hong Kong – Sleep first'!H35</f>
        <v/>
      </c>
      <c r="K28" s="71">
        <f>'Hong Kong – Sleep first'!D60</f>
        <v/>
      </c>
      <c r="L28" s="123">
        <f>IF(F28&gt;=0,"yes","over by "&amp;TEXT(-F28,"#,##0")&amp;" ₮")</f>
        <v/>
      </c>
      <c r="M28" s="68">
        <f>Compare!$B$5-E28/(1+Compare!$B$11)</f>
        <v/>
      </c>
    </row>
    <row r="29" s="56">
      <c r="A29" s="67" t="inlineStr">
        <is>
          <t>Hong Kong – Funded 12M</t>
        </is>
      </c>
      <c r="B29" s="68">
        <f>'Hong Kong – Funded 12M'!H30</f>
        <v/>
      </c>
      <c r="C29" s="68">
        <f>'Hong Kong – Funded 12M'!H31</f>
        <v/>
      </c>
      <c r="D29" s="69">
        <f>'Hong Kong – Funded 12M'!H33</f>
        <v/>
      </c>
      <c r="E29" s="68">
        <f>'Hong Kong – Funded 12M'!K30</f>
        <v/>
      </c>
      <c r="F29" s="68">
        <f>'Hong Kong – Funded 12M'!K31</f>
        <v/>
      </c>
      <c r="G29" s="69">
        <f>'Hong Kong – Funded 12M'!K33</f>
        <v/>
      </c>
      <c r="H29" s="70">
        <f>'Hong Kong – Funded 12M'!H34</f>
        <v/>
      </c>
      <c r="I29" s="70">
        <f>'Hong Kong – Funded 12M'!K34</f>
        <v/>
      </c>
      <c r="J29" s="71">
        <f>'Hong Kong – Funded 12M'!H35</f>
        <v/>
      </c>
      <c r="K29" s="71">
        <f>'Hong Kong – Funded 12M'!D60</f>
        <v/>
      </c>
      <c r="L29" s="123">
        <f>IF(F29&gt;=0,"yes","over by "&amp;TEXT(-F29,"#,##0")&amp;" ₮")</f>
        <v/>
      </c>
      <c r="M29" s="68">
        <f>Compare!$B$5-E29/(1+Compare!$B$11)</f>
        <v/>
      </c>
    </row>
    <row r="30" s="56">
      <c r="A30" s="67" t="inlineStr">
        <is>
          <t>Hong Kong – Sleep priority</t>
        </is>
      </c>
      <c r="B30" s="68">
        <f>'Hong Kong – Sleep priority'!H30</f>
        <v/>
      </c>
      <c r="C30" s="68">
        <f>'Hong Kong – Sleep priority'!H31</f>
        <v/>
      </c>
      <c r="D30" s="69">
        <f>'Hong Kong – Sleep priority'!H33</f>
        <v/>
      </c>
      <c r="E30" s="68">
        <f>'Hong Kong – Sleep priority'!K30</f>
        <v/>
      </c>
      <c r="F30" s="68">
        <f>'Hong Kong – Sleep priority'!K31</f>
        <v/>
      </c>
      <c r="G30" s="69">
        <f>'Hong Kong – Sleep priority'!K33</f>
        <v/>
      </c>
      <c r="H30" s="70">
        <f>'Hong Kong – Sleep priority'!H34</f>
        <v/>
      </c>
      <c r="I30" s="70">
        <f>'Hong Kong – Sleep priority'!K34</f>
        <v/>
      </c>
      <c r="J30" s="71">
        <f>'Hong Kong – Sleep priority'!H35</f>
        <v/>
      </c>
      <c r="K30" s="71">
        <f>'Hong Kong – Sleep priority'!D60</f>
        <v/>
      </c>
      <c r="L30" s="123">
        <f>IF(F30&gt;=0,"yes","over by "&amp;TEXT(-F30,"#,##0")&amp;" ₮")</f>
        <v/>
      </c>
      <c r="M30" s="68">
        <f>Compare!$B$5-E30/(1+Compare!$B$11)</f>
        <v/>
      </c>
    </row>
    <row r="31" ht="30" customHeight="1" s="56">
      <c r="A31" s="67" t="inlineStr">
        <is>
          <t>EC Final Hangzhou – Train</t>
        </is>
      </c>
      <c r="B31" s="68">
        <f>'EC Final Hangzhou – Train'!H34</f>
        <v/>
      </c>
      <c r="C31" s="68">
        <f>'EC Final Hangzhou – Train'!H35</f>
        <v/>
      </c>
      <c r="D31" s="69">
        <f>'EC Final Hangzhou – Train'!H37</f>
        <v/>
      </c>
      <c r="E31" s="68">
        <f>'EC Final Hangzhou – Train'!K34</f>
        <v/>
      </c>
      <c r="F31" s="68">
        <f>'EC Final Hangzhou – Train'!K35</f>
        <v/>
      </c>
      <c r="G31" s="69">
        <f>'EC Final Hangzhou – Train'!K37</f>
        <v/>
      </c>
      <c r="H31" s="70">
        <f>'EC Final Hangzhou – Train'!H38</f>
        <v/>
      </c>
      <c r="I31" s="70">
        <f>'EC Final Hangzhou – Train'!K38</f>
        <v/>
      </c>
      <c r="J31" s="71">
        <f>'EC Final Hangzhou – Train'!H39</f>
        <v/>
      </c>
      <c r="K31" s="71">
        <f>'EC Final Hangzhou – Train'!D70</f>
        <v/>
      </c>
      <c r="L31" s="123">
        <f>IF(F30&gt;=0,"yes","over by "&amp;TEXT(-F30,"#,##0")&amp;" ₮")</f>
        <v/>
      </c>
      <c r="M31" s="68">
        <f>Compare!$B$5-E30/(1+Compare!$B$11)</f>
        <v/>
      </c>
    </row>
    <row r="32" ht="30" customHeight="1" s="56">
      <c r="A32" s="67" t="inlineStr">
        <is>
          <t>EC Final Hangzhou – Fly</t>
        </is>
      </c>
      <c r="B32" s="68">
        <f>'EC Final Hangzhou – Fly'!H33</f>
        <v/>
      </c>
      <c r="C32" s="68">
        <f>'EC Final Hangzhou – Fly'!H34</f>
        <v/>
      </c>
      <c r="D32" s="69">
        <f>'EC Final Hangzhou – Fly'!H36</f>
        <v/>
      </c>
      <c r="E32" s="68">
        <f>'EC Final Hangzhou – Fly'!K33</f>
        <v/>
      </c>
      <c r="F32" s="68">
        <f>'EC Final Hangzhou – Fly'!K34</f>
        <v/>
      </c>
      <c r="G32" s="69">
        <f>'EC Final Hangzhou – Fly'!K36</f>
        <v/>
      </c>
      <c r="H32" s="70">
        <f>'EC Final Hangzhou – Fly'!H37</f>
        <v/>
      </c>
      <c r="I32" s="70">
        <f>'EC Final Hangzhou – Fly'!K37</f>
        <v/>
      </c>
      <c r="J32" s="71">
        <f>'EC Final Hangzhou – Fly'!H38</f>
        <v/>
      </c>
      <c r="K32" s="71">
        <f>'EC Final Hangzhou – Fly'!D70</f>
        <v/>
      </c>
      <c r="L32" s="123">
        <f>IF(F31&gt;=0,"yes","over by "&amp;TEXT(-F31,"#,##0")&amp;" ₮")</f>
        <v/>
      </c>
      <c r="M32" s="68">
        <f>Compare!$B$5-E31/(1+Compare!$B$11)</f>
        <v/>
      </c>
    </row>
    <row r="33" ht="30" customHeight="1" s="56">
      <c r="A33" s="75" t="n"/>
      <c r="B33" s="74" t="n"/>
    </row>
    <row r="34" ht="15" customHeight="1" s="56">
      <c r="A34" s="72" t="inlineStr">
        <is>
          <t>Recommended picks (not the expensive ones)</t>
        </is>
      </c>
    </row>
    <row r="35" ht="62" customHeight="1" s="56">
      <c r="A35" s="73" t="inlineStr">
        <is>
          <t>Likely pairing (your answer)</t>
        </is>
      </c>
      <c r="B35"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Budget ₮2.14M per person (≈ $594; flights are 58% of it), Comfort ₮2.46M per person. The HK 2026 host may not be HKU (2025 was HKUST), which favours sleeping well and staying on the MTR over a hotel next to one campus.</t>
        </is>
      </c>
    </row>
    <row r="36" ht="62" customHeight="1" s="56">
      <c r="A36" s="73" t="inlineStr">
        <is>
          <t>Unfunded regional (3 ppl pay)</t>
        </is>
      </c>
      <c r="B36" s="74" t="inlineStr">
        <is>
          <t>Cheapest sleep-safe plans per person incl. fee, taxi, insurance, eSIM and 10% contingency: Shenyang – Budget ₮2.14M per person (soft sleeper before day 1); Shenyang – Comfort ₮2.46M per person; Nanchang – Sleeper ₮2.50M per person; Shanghai – Sleeper ₮2.89M per person; Hong Kong – Budget ₮3.43M per person; EC Final – Train ₮3.14M per person. Shenyang and Nanchang are the cheap ones to pay yourselves.</t>
        </is>
      </c>
    </row>
    <row r="37" ht="62" customHeight="1" s="56">
      <c r="A37" s="73" t="inlineStr">
        <is>
          <t>Funded regional (₮12M, coach)</t>
        </is>
      </c>
      <c r="B37" s="74" t="inlineStr">
        <is>
          <t>Fits ₮12M incl. contingency: Shenyang – Comfort ₮8.04M (fits, ₮3.96M left); Shanghai – Sleeper ₮9.83M (fits, ₮2.17M left);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38" ht="47" customHeight="1" s="56">
      <c r="A38" s="73" t="inlineStr">
        <is>
          <t>Regional – Shenyang (14–15 Nov)</t>
        </is>
      </c>
      <c r="B38" s="74" t="inlineStr">
        <is>
          <t>Comfort: rest day, RiCH family room 1.3 km from NEU, hard sleeper home after the contest. No sleepers at all: G-train Comfort ₮6.72M / ₮8.84M, G-train Budget ₮6.05M / ₮8.27M (3 / 4 ppl). Fly home on Air China 12:55 ($171).</t>
        </is>
      </c>
    </row>
    <row r="39" ht="47" customHeight="1" s="56">
      <c r="A39" s="73" t="inlineStr">
        <is>
          <t>Regional – Shanghai (5–6 Dec)</t>
        </is>
      </c>
      <c r="B39" s="74" t="inlineStr">
        <is>
          <t>Sleeper: MIAT $151 + G17 out on 3 Dec, Jenny's Apartment 3 nights (1 km), D8 overnight seat back, Air China 12:55 $172 on 7 Dec. Spring nonstop (Tue 1 → Tue 8 Dec, 7 nights) ₮8.21M / ₮10.73M; day train home with a Beijing night ₮8.11M / ₮10.78M. Wildcard: email shu_icpc@163.com now.</t>
        </is>
      </c>
    </row>
    <row r="40" ht="47" customHeight="1" s="56">
      <c r="A40" s="73" t="inlineStr">
        <is>
          <t>Regional – Nanchang (19–20 Dec)</t>
        </is>
      </c>
      <c r="B40" s="74" t="inlineStr">
        <is>
          <t>Sleeper: Air China $157 + Z111 hard sleeper (arrive 11:52 on 18 Dec), Orange Hotel 2 nights, D136 seat back, Air China 12:55 $172. Comfort (daytime G-train, 3 hotel nights) ₮7.96M / ₮10.32M; Fly in (Air China through ticket $356) ₮8.41M / ₮10.95M.</t>
        </is>
      </c>
    </row>
    <row r="41" ht="62" customHeight="1" s="56">
      <c r="A41" s="73" t="inlineStr">
        <is>
          <t>Regional – Hong Kong (9–10 Jan)</t>
        </is>
      </c>
      <c r="B41"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42" ht="47" customHeight="1" s="56">
      <c r="A42" s="73" t="inlineStr">
        <is>
          <t>EC Final (only if qualified)</t>
        </is>
      </c>
      <c r="B42"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3" ht="32" customHeight="1" s="56"/>
    <row r="44" ht="32" customHeight="1" s="56">
      <c r="A44" s="75" t="inlineStr">
        <is>
          <t>Note</t>
        </is>
      </c>
      <c r="B44"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45" ht="18" customHeight="1" s="56">
      <c r="A45" s="75" t="inlineStr">
        <is>
          <t>Note</t>
        </is>
      </c>
      <c r="B45" s="74" t="inlineStr">
        <is>
          <t>EC Final is qualification-only: plan it only once the team has earned a slot at a regional.</t>
        </is>
      </c>
    </row>
    <row r="46" ht="32" customHeight="1" s="56">
      <c r="A46" s="75" t="inlineStr">
        <is>
          <t>Note</t>
        </is>
      </c>
      <c r="B46" s="74" t="inlineStr">
        <is>
          <t>4-person plans use whatever split is cheapest on Trip.com/Booking.com: one family room for 4 (Shenyang RiCH, Nanchang Orange Hotel), or two rooms. Taxi costs assume one car; with luggage 4 people may need an XL car.</t>
        </is>
      </c>
    </row>
    <row r="47" ht="47" customHeight="1" s="56">
      <c r="A47" s="75" t="inlineStr">
        <is>
          <t>Note</t>
        </is>
      </c>
      <c r="B47"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48" ht="32" customHeight="1" s="56">
      <c r="A48" s="75" t="inlineStr">
        <is>
          <t>Note</t>
        </is>
      </c>
      <c r="B48" s="74" t="inlineStr">
        <is>
          <t>Sources (10 Oct): Trip.com (flights and hotels, built-in browser), 12306 (official train fares), ChinaTicketOnline (timetable and sale-date check; 30–70% dearer than 12306, not used for booking), SlickTrip (MIAT / Spring fares; Air China is unpriced there).</t>
        </is>
      </c>
    </row>
    <row r="49"/>
  </sheetData>
  <mergeCells count="14">
    <mergeCell ref="B45:K45"/>
    <mergeCell ref="B46:K46"/>
    <mergeCell ref="B41:K41"/>
    <mergeCell ref="B40:K40"/>
    <mergeCell ref="B35:K35"/>
    <mergeCell ref="B44:K44"/>
    <mergeCell ref="A2:K2"/>
    <mergeCell ref="B39:K39"/>
    <mergeCell ref="B47:K47"/>
    <mergeCell ref="B48:K48"/>
    <mergeCell ref="B38:K38"/>
    <mergeCell ref="B42:K42"/>
    <mergeCell ref="B36:K36"/>
    <mergeCell ref="B37:K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66" customHeight="1" s="56">
      <c r="A9" s="118" t="inlineStr">
        <is>
          <t>Shanghai – Sleeper</t>
        </is>
      </c>
      <c r="B9" s="116" t="inlineStr">
        <is>
          <t>Sun 6 Dec / Sat 5 Dec</t>
        </is>
      </c>
      <c r="C9" s="116" t="inlineStr">
        <is>
          <t>3 Dec Jenny's Apartment (after a 04:30 start for MIAT 07:30; arrive 17:35)</t>
        </is>
      </c>
      <c r="D9" s="116" t="inlineStr">
        <is>
          <t>4 Dec Jenny's, free day</t>
        </is>
      </c>
      <c r="E9" s="116" t="inlineStr">
        <is>
          <t>5 Dec Jenny's, 1 km</t>
        </is>
      </c>
      <c r="F9" s="116" t="inlineStr">
        <is>
          <t>Walk ~15 min, wake ~07:00</t>
        </is>
      </c>
      <c r="G9" s="119" t="inlineStr">
        <is>
          <t>BEST</t>
        </is>
      </c>
      <c r="H9" s="116" t="inlineStr">
        <is>
          <t>D8 is after the contest: now a 2nd-class seat (¥361, sleeper was ¥440). Total ₮7.5M.</t>
        </is>
      </c>
    </row>
    <row r="10" ht="66" customHeight="1" s="56">
      <c r="A10" s="118" t="inlineStr">
        <is>
          <t>Shanghai – Spring nonstop</t>
        </is>
      </c>
      <c r="B10" s="116" t="inlineStr">
        <is>
          <t>Sun 6 Dec / Sat 5 Dec</t>
        </is>
      </c>
      <c r="C10" s="116" t="inlineStr">
        <is>
          <t>2–3 Dec Jenny's</t>
        </is>
      </c>
      <c r="D10" s="116" t="inlineStr">
        <is>
          <t>4 Dec Jenny's</t>
        </is>
      </c>
      <c r="E10" s="116" t="inlineStr">
        <is>
          <t>5 Dec Jenny's</t>
        </is>
      </c>
      <c r="F10" s="116" t="inlineStr">
        <is>
          <t>Walk ~15 min</t>
        </is>
      </c>
      <c r="G10" s="119" t="inlineStr">
        <is>
          <t>BEST</t>
        </is>
      </c>
      <c r="H10" s="116" t="inlineStr">
        <is>
          <t>Five bed nights before the contest (more than needed). The 08:00 flight on 8 Dec is after the contest, so the 05:00 start does not matter.</t>
        </is>
      </c>
    </row>
    <row r="11" ht="66" customHeight="1" s="56">
      <c r="A11" s="118" t="inlineStr">
        <is>
          <t>Shanghai – Train (no sleeper)</t>
        </is>
      </c>
      <c r="B11" s="116" t="inlineStr">
        <is>
          <t>Sun 6 Dec / Sat 5 Dec</t>
        </is>
      </c>
      <c r="C11" s="116" t="inlineStr">
        <is>
          <t>3 Dec Jenny's</t>
        </is>
      </c>
      <c r="D11" s="116" t="inlineStr">
        <is>
          <t>4 Dec Jenny's</t>
        </is>
      </c>
      <c r="E11" s="116" t="inlineStr">
        <is>
          <t>5 Dec Jenny's</t>
        </is>
      </c>
      <c r="F11" s="116" t="inlineStr">
        <is>
          <t>Walk ~15 min</t>
        </is>
      </c>
      <c r="G11" s="119" t="inlineStr">
        <is>
          <t>BEST</t>
        </is>
      </c>
      <c r="H11" s="116" t="inlineStr">
        <is>
          <t>Identical before the contest; the Beijing hotel night after it costs +0.6M more for nothing – use the sleeper plan.</t>
        </is>
      </c>
    </row>
    <row r="12" ht="66" customHeight="1" s="56">
      <c r="A12" s="118" t="inlineStr">
        <is>
          <t>Nanchang – Sleeper</t>
        </is>
      </c>
      <c r="B12" s="116" t="inlineStr">
        <is>
          <t>Sun 20 Dec / Sat 19 Dec</t>
        </is>
      </c>
      <c r="C12" s="116" t="inlineStr">
        <is>
          <t>17 Dec Z111 hard sleeper 23:06–11:52 (~5–6 h, broken)</t>
        </is>
      </c>
      <c r="D12" s="116" t="inlineStr">
        <is>
          <t>18 Dec Orange Hotel, arrive 11:52 → nap</t>
        </is>
      </c>
      <c r="E12" s="116" t="inlineStr">
        <is>
          <t>19 Dec Orange Hotel, 0.7 km</t>
        </is>
      </c>
      <c r="F12" s="116" t="inlineStr">
        <is>
          <t>Walk ~10–15 min, wake ~07:00</t>
        </is>
      </c>
      <c r="G12" s="121" t="inlineStr">
        <is>
          <t>OK</t>
        </is>
      </c>
      <c r="H12" s="116" t="inlineStr">
        <is>
          <t>Two hotel nights sit between the sleeper and the contest. D136 home is after the contest: now a 2nd-class seat (¥271, sleeper was ¥382). Soft sleeper on Z111 (+¥168 pp, ~₮0.3M) is the upgrade. Total ₮6.3M.</t>
        </is>
      </c>
    </row>
    <row r="13" ht="66" customHeight="1" s="56">
      <c r="A13" s="118" t="inlineStr">
        <is>
          <t>Nanchang – Comfort</t>
        </is>
      </c>
      <c r="B13" s="116" t="inlineStr">
        <is>
          <t>Sun 20 Dec / Sat 19 Dec</t>
        </is>
      </c>
      <c r="C13" s="116" t="inlineStr">
        <is>
          <t>17 Dec Orange Hotel (after a 04:30 start; arrive 17:52)</t>
        </is>
      </c>
      <c r="D13" s="116" t="inlineStr">
        <is>
          <t>18 Dec Orange Hotel</t>
        </is>
      </c>
      <c r="E13" s="116" t="inlineStr">
        <is>
          <t>19 Dec Orange Hotel</t>
        </is>
      </c>
      <c r="F13" s="116" t="inlineStr">
        <is>
          <t>Walk ~10–15 min</t>
        </is>
      </c>
      <c r="G13" s="119" t="inlineStr">
        <is>
          <t>BEST</t>
        </is>
      </c>
      <c r="H13" s="116" t="inlineStr">
        <is>
          <t>Three bed nights; +1.6M vs the sleeper plan.</t>
        </is>
      </c>
    </row>
    <row r="14" ht="66" customHeight="1" s="56">
      <c r="A14" s="118" t="inlineStr">
        <is>
          <t>Nanchang – Fly in (Air China)</t>
        </is>
      </c>
      <c r="B14" s="116" t="inlineStr">
        <is>
          <t>Sun 20 Dec / Sat 19 Dec</t>
        </is>
      </c>
      <c r="C14" s="116" t="inlineStr">
        <is>
          <t>17 Dec Orange Hotel (lands 21:40, bed ~23:00)</t>
        </is>
      </c>
      <c r="D14" s="116" t="inlineStr">
        <is>
          <t>18 Dec Orange Hotel</t>
        </is>
      </c>
      <c r="E14" s="116" t="inlineStr">
        <is>
          <t>19 Dec Orange Hotel</t>
        </is>
      </c>
      <c r="F14" s="116" t="inlineStr">
        <is>
          <t>Walk ~10–15 min</t>
        </is>
      </c>
      <c r="G14" s="119" t="inlineStr">
        <is>
          <t>BEST</t>
        </is>
      </c>
      <c r="H14" s="116" t="inlineStr">
        <is>
          <t>No early start at all; +2.1M vs the sleeper plan.</t>
        </is>
      </c>
    </row>
    <row r="15" ht="66" customHeight="1" s="56">
      <c r="A15" s="118" t="inlineStr">
        <is>
          <t>Hong Kong – Budget</t>
        </is>
      </c>
      <c r="B15" s="116" t="inlineStr">
        <is>
          <t>Sun 10 Jan / Sat 9 Jan</t>
        </is>
      </c>
      <c r="C15" s="116" t="inlineStr">
        <is>
          <t>7 Jan at home (wake ~04:00 on 8 Jan for MIAT 07:15)</t>
        </is>
      </c>
      <c r="D15" s="116" t="inlineStr">
        <is>
          <t>8 Jan Chungking Mansion guesthouse, 3 in one small room</t>
        </is>
      </c>
      <c r="E15" s="116" t="inlineStr">
        <is>
          <t>9 Jan same room</t>
        </is>
      </c>
      <c r="F15" s="116" t="inlineStr">
        <is>
          <t>MTR ~35 min, wake ~06:15</t>
        </is>
      </c>
      <c r="G15" s="120" t="inlineStr">
        <is>
          <t>WATCH</t>
        </is>
      </c>
      <c r="H15" s="116" t="inlineStr">
        <is>
          <t>Cheapest, but small noisy rooms, three people in one room and a long commute are the worst pre-contest sleep of any plan. Use Value or Sleep first for the nights of 8 and 9 Jan.</t>
        </is>
      </c>
    </row>
    <row r="16" ht="66" customHeight="1" s="56">
      <c r="A16" s="118" t="inlineStr">
        <is>
          <t>Hong Kong – Comfort</t>
        </is>
      </c>
      <c r="B16" s="116" t="inlineStr">
        <is>
          <t>Sun 10 Jan / Sat 9 Jan</t>
        </is>
      </c>
      <c r="C16" s="116" t="inlineStr">
        <is>
          <t>7 Jan at home (04:00 start on 8 Jan)</t>
        </is>
      </c>
      <c r="D16" s="116" t="inlineStr">
        <is>
          <t>8 Jan Best Western Plus, Sai Ying Pun</t>
        </is>
      </c>
      <c r="E16" s="116" t="inlineStr">
        <is>
          <t>9 Jan same</t>
        </is>
      </c>
      <c r="F16" s="116" t="inlineStr">
        <is>
          <t>Walk / 1 MTR stop ~10–15 min</t>
        </is>
      </c>
      <c r="G16" s="121" t="inlineStr">
        <is>
          <t>OK</t>
        </is>
      </c>
      <c r="H16" s="116" t="inlineStr">
        <is>
          <t>Close to HKU but rated only 7.4 (4,583 reviews) – read the noise reviews before booking.</t>
        </is>
      </c>
    </row>
    <row r="17" ht="66" customHeight="1" s="56">
      <c r="A17" s="118" t="inlineStr">
        <is>
          <t>Hong Kong – Value</t>
        </is>
      </c>
      <c r="B17" s="116" t="inlineStr">
        <is>
          <t>Sun 10 Jan / Sat 9 Jan</t>
        </is>
      </c>
      <c r="C17" s="116" t="inlineStr">
        <is>
          <t>7 Jan at home (04:00 start)</t>
        </is>
      </c>
      <c r="D17" s="116" t="inlineStr">
        <is>
          <t>8 Jan Kusa Inn (9.6, 15 reviews), Kowloon</t>
        </is>
      </c>
      <c r="E17" s="116" t="inlineStr">
        <is>
          <t>9 Jan same</t>
        </is>
      </c>
      <c r="F17" s="116" t="inlineStr">
        <is>
          <t>MTR ~35 min, wake ~06:15</t>
        </is>
      </c>
      <c r="G17" s="121" t="inlineStr">
        <is>
          <t>OK</t>
        </is>
      </c>
      <c r="H17" s="116" t="inlineStr">
        <is>
          <t>Better-rated room for the same money, but few reviews and the same 35-min commute.</t>
        </is>
      </c>
    </row>
    <row r="18" ht="66" customHeight="1" s="56">
      <c r="A18" s="118" t="inlineStr">
        <is>
          <t>Hong Kong – Sleep first</t>
        </is>
      </c>
      <c r="B18" s="116" t="inlineStr">
        <is>
          <t>Sun 10 Jan / Sat 9 Jan</t>
        </is>
      </c>
      <c r="C18" s="116" t="inlineStr">
        <is>
          <t>7 Jan at home (04:00 start; arrive 11:50 and nap)</t>
        </is>
      </c>
      <c r="D18" s="116" t="inlineStr">
        <is>
          <t>8 Jan iclub AMTD Sheung Wan, 2 rooms</t>
        </is>
      </c>
      <c r="E18" s="116" t="inlineStr">
        <is>
          <t>9 Jan same, 2 MTR stops to HKU</t>
        </is>
      </c>
      <c r="F18" s="116" t="inlineStr">
        <is>
          <t>MTR ~10–15 min, wake ~07:00</t>
        </is>
      </c>
      <c r="G18" s="119" t="inlineStr">
        <is>
          <t>BEST</t>
        </is>
      </c>
      <c r="H18" s="116" t="inlineStr">
        <is>
          <t>Two rooms in an 8.6-rated hotel: ₮2.55M (3 ppl) / ₮2.33M (4 ppl) vs Budget (₮11.63M / ₮14.45M total). Over the ₮12M with the coach.</t>
        </is>
      </c>
    </row>
    <row r="19" ht="66" customHeight="1" s="56">
      <c r="A19" s="118" t="inlineStr">
        <is>
          <t>Hong Kong – Funded 12M (funded regional)</t>
        </is>
      </c>
      <c r="B19" s="116" t="inlineStr">
        <is>
          <t>Sun 10 Jan / Sat 9 Jan</t>
        </is>
      </c>
      <c r="C19" s="116" t="inlineStr">
        <is>
          <t>7 Jan at home (04:00 start; arrive 11:50, nap)</t>
        </is>
      </c>
      <c r="D19" s="116" t="inlineStr">
        <is>
          <t>8 Jan Best Western Plus, Sai Ying Pun, 2 rooms (2 beds each)</t>
        </is>
      </c>
      <c r="E19" s="116" t="inlineStr">
        <is>
          <t>9 Jan same, ~540 m to HKU</t>
        </is>
      </c>
      <c r="F19" s="116" t="inlineStr">
        <is>
          <t>Walk ~10 min, wake ~07:00</t>
        </is>
      </c>
      <c r="G19" s="121" t="inlineStr">
        <is>
          <t>OK</t>
        </is>
      </c>
      <c r="H19" s="116" t="inlineStr">
        <is>
          <t>Fits ₮12M only before the 10% contingency (~₮11.7M). Separate beds and no commute; the hotel is rated 7.4–8.2, so read noise reviews. Cheaper alternative with separate beds: Good Fortune Inn (8.6, 4 twin beds) but ~35 min MTR.</t>
        </is>
      </c>
    </row>
    <row r="20" ht="78" customHeight="1" s="56">
      <c r="A20" s="118" t="inlineStr">
        <is>
          <t>Hong Kong – Sleep priority (funded regional)</t>
        </is>
      </c>
      <c r="B20" s="116" t="inlineStr">
        <is>
          <t>Sun 10 Jan / Sat 9 Jan</t>
        </is>
      </c>
      <c r="C20" s="116" t="inlineStr">
        <is>
          <t>7 Jan at home (04:00 start; arrive 11:50, nap)</t>
        </is>
      </c>
      <c r="D20" s="116" t="inlineStr">
        <is>
          <t>8 Jan Good Fortune Inn: 2 rooms, 4 twin beds, private bathrooms</t>
        </is>
      </c>
      <c r="E20" s="116" t="inlineStr">
        <is>
          <t>9 Jan same</t>
        </is>
      </c>
      <c r="F20" s="116" t="inlineStr">
        <is>
          <t>MTR ~35–40 min, wake ~06:15 (lights out 22:30 = 7.75 h)</t>
        </is>
      </c>
      <c r="G20" s="121" t="inlineStr">
        <is>
          <t>OK</t>
        </is>
      </c>
      <c r="H20"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21" ht="66" customHeight="1" s="56">
      <c r="A21" s="118" t="inlineStr">
        <is>
          <t>EC Final – Train</t>
        </is>
      </c>
      <c r="B21" s="116" t="inlineStr">
        <is>
          <t>Wed 27 Jan / Tue 26 Jan</t>
        </is>
      </c>
      <c r="C21" s="116" t="inlineStr">
        <is>
          <t>24 Jan at home</t>
        </is>
      </c>
      <c r="D21" s="116" t="inlineStr">
        <is>
          <t>25 Jan D17 2nd-class sleeper 19:10–09:15 (4-berth cabin, ~6 h) → arrive on day 1</t>
        </is>
      </c>
      <c r="E21" s="116" t="inlineStr">
        <is>
          <t>26 Jan HanTing, 1.6 km</t>
        </is>
      </c>
      <c r="F21" s="116" t="inlineStr">
        <is>
          <t>Walk ~20 min, wake ~07:00</t>
        </is>
      </c>
      <c r="G21" s="120" t="inlineStr">
        <is>
          <t>WATCH</t>
        </is>
      </c>
      <c r="H21" s="116" t="inlineStr">
        <is>
          <t>The sleeper is the night before the check-in / warm-up day (not the contest day), with a hotel night in between. Safer: leave Beijing 24 Jan (one more hotel night, ~₮0.35M) or take the afternoon G-train + hotel (old plan, ~+₮0.44M).</t>
        </is>
      </c>
    </row>
    <row r="22" ht="66" customHeight="1" s="56">
      <c r="A22" s="118" t="inlineStr">
        <is>
          <t>EC Final – Fly</t>
        </is>
      </c>
      <c r="B22" s="116" t="inlineStr">
        <is>
          <t>Wed 27 Jan / Tue 26 Jan</t>
        </is>
      </c>
      <c r="C22" s="116" t="inlineStr">
        <is>
          <t>24 Jan at home (wake ~03:30 on 25 Jan for Aero Mongolia 06:30)</t>
        </is>
      </c>
      <c r="D22" s="116" t="inlineStr">
        <is>
          <t>25 Jan Mehood Theater Hotel (arrive ~13:40; nap)</t>
        </is>
      </c>
      <c r="E22" s="116" t="inlineStr">
        <is>
          <t>26 Jan same, 1.7 km</t>
        </is>
      </c>
      <c r="F22" s="116" t="inlineStr">
        <is>
          <t>Walk ~20 min</t>
        </is>
      </c>
      <c r="G22" s="121" t="inlineStr">
        <is>
          <t>OK</t>
        </is>
      </c>
      <c r="H22" s="116" t="inlineStr">
        <is>
          <t>Early start two nights before; arrives early afternoon, then two hotel nights.</t>
        </is>
      </c>
    </row>
    <row r="23" ht="66" customHeight="1" s="56">
      <c r="A23" s="118" t="inlineStr">
        <is>
          <t>Nanjing + Shenyang (older workbook A / B)</t>
        </is>
      </c>
      <c r="B23" s="116" t="inlineStr">
        <is>
          <t>Nanjing Sun 8 Nov; Shenyang Sun 15 Nov</t>
        </is>
      </c>
      <c r="C23" s="116" t="inlineStr">
        <is>
          <t>6 Nov Beijing hotel after MIAT lands 19:30, wake ~06:00 for the G-train</t>
        </is>
      </c>
      <c r="D23" s="116" t="inlineStr">
        <is>
          <t>7 Nov Nanjing hotel (A 1 km, B 15 min metro)</t>
        </is>
      </c>
      <c r="E23" s="116" t="inlineStr">
        <is>
          <t>Shenyang: Z366 sleeper 12 Nov → hotels 13 and 14 Nov</t>
        </is>
      </c>
      <c r="F23" s="116" t="inlineStr">
        <is>
          <t>Nanjing walk / Shenyang walk</t>
        </is>
      </c>
      <c r="G23" s="121" t="inlineStr">
        <is>
          <t>OK</t>
        </is>
      </c>
      <c r="H23" s="116" t="inlineStr">
        <is>
          <t>K54 home after the Shenyang contest is now a hard sleeper (soft was ¥263). Plan C (home between) uses K53 soft sleeper on 13 Nov = night before day 1 (WATCH).</t>
        </is>
      </c>
    </row>
    <row r="24" s="56">
      <c r="A24"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5" s="56">
      <c r="A25" s="122" t="inlineStr">
        <is>
          <t>Where the money goes (use the headroom on sleep)</t>
        </is>
      </c>
    </row>
    <row r="26" ht="36" customHeight="1" s="56">
      <c r="A26"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7" ht="36" customHeight="1" s="56">
      <c r="A27" s="116" t="inlineStr">
        <is>
          <t>Pre-contest upgrades applied: Shenyang Budget K53 hard → soft; Hong Kong Sleep first (2 rooms near HKU). Post-contest downgrades applied: Shenyang K54 soft → hard, Shanghai D8 sleeper → seat, Nanchang D136 sleeper → seat.</t>
        </is>
      </c>
    </row>
    <row r="28" ht="36" customHeight="1" s="56">
      <c r="A28" s="116" t="inlineStr">
        <is>
          <t>Cheapest post-contest options if you want to go further: Nanchang Z182 20:01 → 08:46 hard seat (¥173.5 vs ¥271); Shanghai G808 17:25 is too early after the awards, so the D8 seat stays.</t>
        </is>
      </c>
    </row>
    <row r="29" ht="36" customHeight="1" s="56">
      <c r="A29" s="116" t="inlineStr">
        <is>
          <t>Contest-day wake-up rule of thumb: bed by 22:30–23:00, up by 06:00–06:30 for a 09:00 start; avoid alcohol and late team dinners; no phone-based all-nighters on day 1.</t>
        </is>
      </c>
    </row>
  </sheetData>
  <mergeCells count="5">
    <mergeCell ref="A26:H26"/>
    <mergeCell ref="A29:H29"/>
    <mergeCell ref="A2:H2"/>
    <mergeCell ref="A28:H28"/>
    <mergeCell ref="A27:H27"/>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hotel ~1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Jenny's Apartment.</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~15 min walk (Jenny's Apartment ~1 km)</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Jenny's Apartment.</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~15 min walk (Jenny's Apartment ~1 km)</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B39:L39"/>
    <mergeCell ref="C48:L48"/>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B39:L39"/>
    <mergeCell ref="C48:L48"/>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2026-10-10T10:45:22Z</dcterms:modified>
  <cp:revision>0</cp:revision>
</cp:coreProperties>
</file>