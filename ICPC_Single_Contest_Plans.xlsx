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enyang – Sleep first" sheetId="7" state="visible" r:id="rId7"/>
    <sheet name="Shenyang – Sleep value" sheetId="8" state="visible" r:id="rId8"/>
    <sheet name="Shenyang – Overland home" sheetId="9" state="visible" r:id="rId9"/>
    <sheet name="Shenyang – Overland out (seats)" sheetId="10" state="visible" r:id="rId10"/>
    <sheet name="Shenyang – Overland out, berths" sheetId="11" state="visible" r:id="rId11"/>
    <sheet name="Shenyang – Manzhouli seats" sheetId="12" state="visible" r:id="rId12"/>
    <sheet name="Shenyang – Hunnu Daxing + K341" sheetId="13" state="visible" r:id="rId13"/>
    <sheet name="Shenyang – MIAT 13 Nov + K341" sheetId="14" state="visible" r:id="rId14"/>
    <sheet name="Shenyang – Hunnu Erenhot" sheetId="15" state="visible" r:id="rId15"/>
    <sheet name="Shenyang – Hohhot red-eye" sheetId="16" state="visible" r:id="rId16"/>
    <sheet name="Shenyang – Hohhot + Spring" sheetId="17" state="visible" r:id="rId17"/>
    <sheet name="Shenyang – Spring via Shanghai" sheetId="18" state="visible" r:id="rId18"/>
    <sheet name="Shenyang – Way out" sheetId="19" state="visible" r:id="rId19"/>
    <sheet name="Shanghai – Sleeper" sheetId="20" state="visible" r:id="rId20"/>
    <sheet name="Shanghai – Spring nonstop" sheetId="21" state="visible" r:id="rId21"/>
    <sheet name="Shanghai – Nonstop cheap rooms" sheetId="22" state="visible" r:id="rId22"/>
    <sheet name="Shanghai – Fly out, train home" sheetId="23" state="visible" r:id="rId23"/>
    <sheet name="Shanghai – Train (no sleeper)" sheetId="24" state="visible" r:id="rId24"/>
    <sheet name="Nanchang – Sleeper" sheetId="25" state="visible" r:id="rId25"/>
    <sheet name="Nanchang – Comfort" sheetId="26" state="visible" r:id="rId26"/>
    <sheet name="Nanchang – Fly in (Air China)" sheetId="27" state="visible" r:id="rId27"/>
    <sheet name="Hong Kong – Budget" sheetId="28" state="visible" r:id="rId28"/>
    <sheet name="Hong Kong – Comfort" sheetId="29" state="visible" r:id="rId29"/>
    <sheet name="Hong Kong – Value" sheetId="30" state="visible" r:id="rId30"/>
    <sheet name="Hong Kong – Sleep first" sheetId="31" state="visible" r:id="rId31"/>
    <sheet name="Hong Kong – Funded 12M" sheetId="32" state="visible" r:id="rId32"/>
    <sheet name="Hong Kong – Sleep priority" sheetId="33" state="visible" r:id="rId33"/>
    <sheet name="EC Final Hangzhou – Train" sheetId="34" state="visible" r:id="rId34"/>
    <sheet name="EC Final Hangzhou – Fly" sheetId="35" state="visible" r:id="rId35"/>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xf numFmtId="164"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6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22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Shenyang – Sleep first</t>
        </is>
      </c>
      <c r="B19" s="68">
        <f>'Shenyang – Sleep first'!H34</f>
        <v/>
      </c>
      <c r="C19" s="68">
        <f>'Shenyang – Sleep first'!H35</f>
        <v/>
      </c>
      <c r="D19" s="69">
        <f>'Shenyang – Sleep first'!H37</f>
        <v/>
      </c>
      <c r="E19" s="68">
        <f>'Shenyang – Sleep first'!K34</f>
        <v/>
      </c>
      <c r="F19" s="68">
        <f>'Shenyang – Sleep first'!K35</f>
        <v/>
      </c>
      <c r="G19" s="69">
        <f>'Shenyang – Sleep first'!K37</f>
        <v/>
      </c>
      <c r="H19" s="70">
        <f>'Shenyang – Sleep first'!H38</f>
        <v/>
      </c>
      <c r="I19" s="70">
        <f>'Shenyang – Sleep first'!K38</f>
        <v/>
      </c>
      <c r="J19" s="71">
        <f>'Shenyang – Sleep first'!H39</f>
        <v/>
      </c>
      <c r="K19" s="71">
        <f>'Shenyang – Sleep first'!D70</f>
        <v/>
      </c>
      <c r="L19" s="123">
        <f>IF(F19&gt;=0,"yes","over by "&amp;TEXT(-F19,"#,##0")&amp;" ₮")</f>
        <v/>
      </c>
      <c r="M19" s="68">
        <f>Compare!$B$5-E19/(1+Compare!$B$11)</f>
        <v/>
      </c>
    </row>
    <row r="20" ht="15" customHeight="1" s="56">
      <c r="A20" s="67" t="inlineStr">
        <is>
          <t>Shenyang – Sleep value</t>
        </is>
      </c>
      <c r="B20" s="68">
        <f>'Shenyang – Sleep value'!H34</f>
        <v/>
      </c>
      <c r="C20" s="68">
        <f>'Shenyang – Sleep value'!H35</f>
        <v/>
      </c>
      <c r="D20" s="69">
        <f>'Shenyang – Sleep value'!H37</f>
        <v/>
      </c>
      <c r="E20" s="68">
        <f>'Shenyang – Sleep value'!K34</f>
        <v/>
      </c>
      <c r="F20" s="68">
        <f>'Shenyang – Sleep value'!K35</f>
        <v/>
      </c>
      <c r="G20" s="69">
        <f>'Shenyang – Sleep value'!K37</f>
        <v/>
      </c>
      <c r="H20" s="70">
        <f>'Shenyang – Sleep value'!H38</f>
        <v/>
      </c>
      <c r="I20" s="70">
        <f>'Shenyang – Sleep value'!K38</f>
        <v/>
      </c>
      <c r="J20" s="71">
        <f>'Shenyang – Sleep value'!H39</f>
        <v/>
      </c>
      <c r="K20" s="71">
        <f>'Shenyang – Sleep value'!D70</f>
        <v/>
      </c>
      <c r="L20" s="123">
        <f>IF(F20&gt;=0,"yes","over by "&amp;TEXT(-F20,"#,##0")&amp;" ₮")</f>
        <v/>
      </c>
      <c r="M20" s="68">
        <f>Compare!$B$5-E20/(1+Compare!$B$11)</f>
        <v/>
      </c>
    </row>
    <row r="21" ht="15" customHeight="1" s="56">
      <c r="A21" s="67" t="inlineStr">
        <is>
          <t>Shenyang – Overland home</t>
        </is>
      </c>
      <c r="B21" s="68">
        <f>'Shenyang – Overland home'!H36</f>
        <v/>
      </c>
      <c r="C21" s="68">
        <f>'Shenyang – Overland home'!H37</f>
        <v/>
      </c>
      <c r="D21" s="69">
        <f>'Shenyang – Overland home'!H39</f>
        <v/>
      </c>
      <c r="E21" s="68">
        <f>'Shenyang – Overland home'!K36</f>
        <v/>
      </c>
      <c r="F21" s="68">
        <f>'Shenyang – Overland home'!K37</f>
        <v/>
      </c>
      <c r="G21" s="69">
        <f>'Shenyang – Overland home'!K39</f>
        <v/>
      </c>
      <c r="H21" s="70">
        <f>'Shenyang – Overland home'!H40</f>
        <v/>
      </c>
      <c r="I21" s="70">
        <f>'Shenyang – Overland home'!K40</f>
        <v/>
      </c>
      <c r="J21" s="71">
        <f>'Shenyang – Overland home'!H41</f>
        <v/>
      </c>
      <c r="K21" s="71">
        <f>'Shenyang – Overland home'!D75</f>
        <v/>
      </c>
      <c r="L21" s="123">
        <f>IF(F21&gt;=0,"yes","over by "&amp;TEXT(-F21,"#,##0")&amp;" ₮")</f>
        <v/>
      </c>
      <c r="M21" s="68">
        <f>Compare!$B$5-E21/(1+Compare!$B$11)</f>
        <v/>
      </c>
    </row>
    <row r="22" ht="15" customHeight="1" s="56">
      <c r="A22" s="67" t="inlineStr">
        <is>
          <t>Shenyang – Overland out (seats)</t>
        </is>
      </c>
      <c r="B22" s="68">
        <f>'Shenyang – Overland out (seats)'!H36</f>
        <v/>
      </c>
      <c r="C22" s="68">
        <f>'Shenyang – Overland out (seats)'!H37</f>
        <v/>
      </c>
      <c r="D22" s="69">
        <f>'Shenyang – Overland out (seats)'!H39</f>
        <v/>
      </c>
      <c r="E22" s="68">
        <f>'Shenyang – Overland out (seats)'!K36</f>
        <v/>
      </c>
      <c r="F22" s="68">
        <f>'Shenyang – Overland out (seats)'!K37</f>
        <v/>
      </c>
      <c r="G22" s="69">
        <f>'Shenyang – Overland out (seats)'!K39</f>
        <v/>
      </c>
      <c r="H22" s="70">
        <f>'Shenyang – Overland out (seats)'!H40</f>
        <v/>
      </c>
      <c r="I22" s="70">
        <f>'Shenyang – Overland out (seats)'!K40</f>
        <v/>
      </c>
      <c r="J22" s="71">
        <f>'Shenyang – Overland out (seats)'!H41</f>
        <v/>
      </c>
      <c r="K22" s="71">
        <f>'Shenyang – Overland out (seats)'!D71</f>
        <v/>
      </c>
      <c r="L22" s="123">
        <f>IF(F22&gt;=0,"yes","over by "&amp;TEXT(-F22,"#,##0")&amp;" ₮")</f>
        <v/>
      </c>
      <c r="M22" s="68">
        <f>Compare!$B$5-E22/(1+Compare!$B$11)</f>
        <v/>
      </c>
    </row>
    <row r="23" ht="15" customHeight="1" s="56">
      <c r="A23" s="67" t="inlineStr">
        <is>
          <t>Shenyang – Overland out, berths</t>
        </is>
      </c>
      <c r="B23" s="68">
        <f>'Shenyang – Overland out, berths'!H36</f>
        <v/>
      </c>
      <c r="C23" s="68">
        <f>'Shenyang – Overland out, berths'!H37</f>
        <v/>
      </c>
      <c r="D23" s="69">
        <f>'Shenyang – Overland out, berths'!H39</f>
        <v/>
      </c>
      <c r="E23" s="68">
        <f>'Shenyang – Overland out, berths'!K36</f>
        <v/>
      </c>
      <c r="F23" s="68">
        <f>'Shenyang – Overland out, berths'!K37</f>
        <v/>
      </c>
      <c r="G23" s="69">
        <f>'Shenyang – Overland out, berths'!K39</f>
        <v/>
      </c>
      <c r="H23" s="70">
        <f>'Shenyang – Overland out, berths'!H40</f>
        <v/>
      </c>
      <c r="I23" s="70">
        <f>'Shenyang – Overland out, berths'!K40</f>
        <v/>
      </c>
      <c r="J23" s="71">
        <f>'Shenyang – Overland out, berths'!H41</f>
        <v/>
      </c>
      <c r="K23" s="71">
        <f>'Shenyang – Overland out, berths'!D71</f>
        <v/>
      </c>
      <c r="L23" s="123">
        <f>IF(F23&gt;=0,"yes","over by "&amp;TEXT(-F23,"#,##0")&amp;" ₮")</f>
        <v/>
      </c>
      <c r="M23" s="68">
        <f>Compare!$B$5-E23/(1+Compare!$B$11)</f>
        <v/>
      </c>
    </row>
    <row r="24" ht="15" customHeight="1" s="56">
      <c r="A24" s="67" t="inlineStr">
        <is>
          <t>Shenyang – Manzhouli seats</t>
        </is>
      </c>
      <c r="B24" s="68">
        <f>'Shenyang – Manzhouli seats'!H35</f>
        <v/>
      </c>
      <c r="C24" s="68">
        <f>'Shenyang – Manzhouli seats'!H36</f>
        <v/>
      </c>
      <c r="D24" s="69">
        <f>'Shenyang – Manzhouli seats'!H38</f>
        <v/>
      </c>
      <c r="E24" s="68">
        <f>'Shenyang – Manzhouli seats'!K35</f>
        <v/>
      </c>
      <c r="F24" s="68">
        <f>'Shenyang – Manzhouli seats'!K36</f>
        <v/>
      </c>
      <c r="G24" s="69">
        <f>'Shenyang – Manzhouli seats'!K38</f>
        <v/>
      </c>
      <c r="H24" s="70">
        <f>'Shenyang – Manzhouli seats'!H39</f>
        <v/>
      </c>
      <c r="I24" s="70">
        <f>'Shenyang – Manzhouli seats'!K39</f>
        <v/>
      </c>
      <c r="J24" s="71">
        <f>'Shenyang – Manzhouli seats'!H40</f>
        <v/>
      </c>
      <c r="K24" s="71">
        <f>'Shenyang – Manzhouli seats'!D72</f>
        <v/>
      </c>
      <c r="L24" s="123">
        <f>IF(F24&gt;=0,"yes","over by "&amp;TEXT(-F24,"#,##0")&amp;" ₮")</f>
        <v/>
      </c>
      <c r="M24" s="68">
        <f>Compare!$B$5-E24/(1+Compare!$B$11)</f>
        <v/>
      </c>
    </row>
    <row r="25" ht="15" customHeight="1" s="56">
      <c r="A25" s="67" t="inlineStr">
        <is>
          <t>Shenyang – Hunnu Daxing + K341</t>
        </is>
      </c>
      <c r="B25" s="68">
        <f>'Shenyang – Hunnu Daxing + K341'!H34</f>
        <v/>
      </c>
      <c r="C25" s="68">
        <f>'Shenyang – Hunnu Daxing + K341'!H35</f>
        <v/>
      </c>
      <c r="D25" s="69">
        <f>'Shenyang – Hunnu Daxing + K341'!H37</f>
        <v/>
      </c>
      <c r="E25" s="68">
        <f>'Shenyang – Hunnu Daxing + K341'!K34</f>
        <v/>
      </c>
      <c r="F25" s="68">
        <f>'Shenyang – Hunnu Daxing + K341'!K35</f>
        <v/>
      </c>
      <c r="G25" s="69">
        <f>'Shenyang – Hunnu Daxing + K341'!K37</f>
        <v/>
      </c>
      <c r="H25" s="70">
        <f>'Shenyang – Hunnu Daxing + K341'!H38</f>
        <v/>
      </c>
      <c r="I25" s="70">
        <f>'Shenyang – Hunnu Daxing + K341'!K38</f>
        <v/>
      </c>
      <c r="J25" s="71">
        <f>'Shenyang – Hunnu Daxing + K341'!H39</f>
        <v/>
      </c>
      <c r="K25" s="71">
        <f>'Shenyang – Hunnu Daxing + K341'!D68</f>
        <v/>
      </c>
      <c r="L25" s="123">
        <f>IF(F25&gt;=0,"yes","over by "&amp;TEXT(-F25,"#,##0")&amp;" ₮")</f>
        <v/>
      </c>
      <c r="M25" s="68">
        <f>Compare!$B$5-E25/(1+Compare!$B$11)</f>
        <v/>
      </c>
    </row>
    <row r="26" ht="15" customHeight="1" s="56">
      <c r="A26" s="67" t="inlineStr">
        <is>
          <t>Shenyang – MIAT 13 Nov + K341</t>
        </is>
      </c>
      <c r="B26" s="68">
        <f>'Shenyang – MIAT 13 Nov + K341'!H34</f>
        <v/>
      </c>
      <c r="C26" s="68">
        <f>'Shenyang – MIAT 13 Nov + K341'!H35</f>
        <v/>
      </c>
      <c r="D26" s="69">
        <f>'Shenyang – MIAT 13 Nov + K341'!H37</f>
        <v/>
      </c>
      <c r="E26" s="68">
        <f>'Shenyang – MIAT 13 Nov + K341'!K34</f>
        <v/>
      </c>
      <c r="F26" s="68">
        <f>'Shenyang – MIAT 13 Nov + K341'!K35</f>
        <v/>
      </c>
      <c r="G26" s="69">
        <f>'Shenyang – MIAT 13 Nov + K341'!K37</f>
        <v/>
      </c>
      <c r="H26" s="70">
        <f>'Shenyang – MIAT 13 Nov + K341'!H38</f>
        <v/>
      </c>
      <c r="I26" s="70">
        <f>'Shenyang – MIAT 13 Nov + K341'!K38</f>
        <v/>
      </c>
      <c r="J26" s="71">
        <f>'Shenyang – MIAT 13 Nov + K341'!H39</f>
        <v/>
      </c>
      <c r="K26" s="71">
        <f>'Shenyang – MIAT 13 Nov + K341'!D68</f>
        <v/>
      </c>
      <c r="L26" s="123">
        <f>IF(F26&gt;=0,"yes","over by "&amp;TEXT(-F26,"#,##0")&amp;" ₮")</f>
        <v/>
      </c>
      <c r="M26" s="68">
        <f>Compare!$B$5-E26/(1+Compare!$B$11)</f>
        <v/>
      </c>
    </row>
    <row r="27" ht="15" customHeight="1" s="56">
      <c r="A27" s="67" t="inlineStr">
        <is>
          <t>Shenyang – Hunnu Erenhot</t>
        </is>
      </c>
      <c r="B27" s="68">
        <f>'Shenyang – Hunnu Erenhot'!H35</f>
        <v/>
      </c>
      <c r="C27" s="68">
        <f>'Shenyang – Hunnu Erenhot'!H36</f>
        <v/>
      </c>
      <c r="D27" s="69">
        <f>'Shenyang – Hunnu Erenhot'!H38</f>
        <v/>
      </c>
      <c r="E27" s="68">
        <f>'Shenyang – Hunnu Erenhot'!K35</f>
        <v/>
      </c>
      <c r="F27" s="68">
        <f>'Shenyang – Hunnu Erenhot'!K36</f>
        <v/>
      </c>
      <c r="G27" s="69">
        <f>'Shenyang – Hunnu Erenhot'!K38</f>
        <v/>
      </c>
      <c r="H27" s="70">
        <f>'Shenyang – Hunnu Erenhot'!H39</f>
        <v/>
      </c>
      <c r="I27" s="70">
        <f>'Shenyang – Hunnu Erenhot'!K39</f>
        <v/>
      </c>
      <c r="J27" s="71">
        <f>'Shenyang – Hunnu Erenhot'!H40</f>
        <v/>
      </c>
      <c r="K27" s="71">
        <f>'Shenyang – Hunnu Erenhot'!D69</f>
        <v/>
      </c>
      <c r="L27" s="123">
        <f>IF(F27&gt;=0,"yes","over by "&amp;TEXT(-F27,"#,##0")&amp;" ₮")</f>
        <v/>
      </c>
      <c r="M27" s="68">
        <f>Compare!$B$5-E27/(1+Compare!$B$11)</f>
        <v/>
      </c>
    </row>
    <row r="28" ht="15" customHeight="1" s="56">
      <c r="A28" s="67" t="inlineStr">
        <is>
          <t>Shenyang – Hohhot red-eye</t>
        </is>
      </c>
      <c r="B28" s="68">
        <f>'Shenyang – Hohhot red-eye'!H35</f>
        <v/>
      </c>
      <c r="C28" s="68">
        <f>'Shenyang – Hohhot red-eye'!H36</f>
        <v/>
      </c>
      <c r="D28" s="69">
        <f>'Shenyang – Hohhot red-eye'!H38</f>
        <v/>
      </c>
      <c r="E28" s="68">
        <f>'Shenyang – Hohhot red-eye'!K35</f>
        <v/>
      </c>
      <c r="F28" s="68">
        <f>'Shenyang – Hohhot red-eye'!K36</f>
        <v/>
      </c>
      <c r="G28" s="69">
        <f>'Shenyang – Hohhot red-eye'!K38</f>
        <v/>
      </c>
      <c r="H28" s="70">
        <f>'Shenyang – Hohhot red-eye'!H39</f>
        <v/>
      </c>
      <c r="I28" s="70">
        <f>'Shenyang – Hohhot red-eye'!K39</f>
        <v/>
      </c>
      <c r="J28" s="71">
        <f>'Shenyang – Hohhot red-eye'!H40</f>
        <v/>
      </c>
      <c r="K28" s="71">
        <f>'Shenyang – Hohhot red-eye'!D72</f>
        <v/>
      </c>
      <c r="L28" s="123">
        <f>IF(F28&gt;=0,"yes","over by "&amp;TEXT(-F28,"#,##0")&amp;" ₮")</f>
        <v/>
      </c>
      <c r="M28" s="68">
        <f>Compare!$B$5-E28/(1+Compare!$B$11)</f>
        <v/>
      </c>
    </row>
    <row r="29" ht="15" customHeight="1" s="56">
      <c r="A29" s="67" t="inlineStr">
        <is>
          <t>Shenyang – Hohhot + Spring</t>
        </is>
      </c>
      <c r="B29" s="68">
        <f>'Shenyang – Hohhot + Spring'!H35</f>
        <v/>
      </c>
      <c r="C29" s="68">
        <f>'Shenyang – Hohhot + Spring'!H36</f>
        <v/>
      </c>
      <c r="D29" s="69">
        <f>'Shenyang – Hohhot + Spring'!H38</f>
        <v/>
      </c>
      <c r="E29" s="68">
        <f>'Shenyang – Hohhot + Spring'!K35</f>
        <v/>
      </c>
      <c r="F29" s="68">
        <f>'Shenyang – Hohhot + Spring'!K36</f>
        <v/>
      </c>
      <c r="G29" s="69">
        <f>'Shenyang – Hohhot + Spring'!K38</f>
        <v/>
      </c>
      <c r="H29" s="70">
        <f>'Shenyang – Hohhot + Spring'!H39</f>
        <v/>
      </c>
      <c r="I29" s="70">
        <f>'Shenyang – Hohhot + Spring'!K39</f>
        <v/>
      </c>
      <c r="J29" s="71">
        <f>'Shenyang – Hohhot + Spring'!H40</f>
        <v/>
      </c>
      <c r="K29" s="71">
        <f>'Shenyang – Hohhot + Spring'!D70</f>
        <v/>
      </c>
      <c r="L29" s="123">
        <f>IF(F29&gt;=0,"yes","over by "&amp;TEXT(-F29,"#,##0")&amp;" ₮")</f>
        <v/>
      </c>
      <c r="M29" s="68">
        <f>Compare!$B$5-E29/(1+Compare!$B$11)</f>
        <v/>
      </c>
    </row>
    <row r="30" ht="15" customHeight="1" s="56">
      <c r="A30" s="67" t="inlineStr">
        <is>
          <t>Shenyang – Spring via Shanghai</t>
        </is>
      </c>
      <c r="B30" s="68">
        <f>'Shenyang – Spring via Shanghai'!H35</f>
        <v/>
      </c>
      <c r="C30" s="68">
        <f>'Shenyang – Spring via Shanghai'!H36</f>
        <v/>
      </c>
      <c r="D30" s="69">
        <f>'Shenyang – Spring via Shanghai'!H38</f>
        <v/>
      </c>
      <c r="E30" s="68">
        <f>'Shenyang – Spring via Shanghai'!K35</f>
        <v/>
      </c>
      <c r="F30" s="68">
        <f>'Shenyang – Spring via Shanghai'!K36</f>
        <v/>
      </c>
      <c r="G30" s="69">
        <f>'Shenyang – Spring via Shanghai'!K38</f>
        <v/>
      </c>
      <c r="H30" s="70">
        <f>'Shenyang – Spring via Shanghai'!H39</f>
        <v/>
      </c>
      <c r="I30" s="70">
        <f>'Shenyang – Spring via Shanghai'!K39</f>
        <v/>
      </c>
      <c r="J30" s="71">
        <f>'Shenyang – Spring via Shanghai'!H40</f>
        <v/>
      </c>
      <c r="K30" s="71">
        <f>'Shenyang – Spring via Shanghai'!D70</f>
        <v/>
      </c>
      <c r="L30" s="123">
        <f>IF(F30&gt;=0,"yes","over by "&amp;TEXT(-F30,"#,##0")&amp;" ₮")</f>
        <v/>
      </c>
      <c r="M30" s="68">
        <f>Compare!$B$5-E30/(1+Compare!$B$11)</f>
        <v/>
      </c>
    </row>
    <row r="31" ht="15" customHeight="1" s="56">
      <c r="A31" s="67" t="inlineStr">
        <is>
          <t>Shanghai – Sleeper</t>
        </is>
      </c>
      <c r="B31" s="68">
        <f>'Shanghai – Sleeper'!H35</f>
        <v/>
      </c>
      <c r="C31" s="68">
        <f>'Shanghai – Sleeper'!H36</f>
        <v/>
      </c>
      <c r="D31" s="69">
        <f>'Shanghai – Sleeper'!H38</f>
        <v/>
      </c>
      <c r="E31" s="68">
        <f>'Shanghai – Sleeper'!K35</f>
        <v/>
      </c>
      <c r="F31" s="68">
        <f>'Shanghai – Sleeper'!K36</f>
        <v/>
      </c>
      <c r="G31" s="69">
        <f>'Shanghai – Sleeper'!K38</f>
        <v/>
      </c>
      <c r="H31" s="70">
        <f>'Shanghai – Sleeper'!H39</f>
        <v/>
      </c>
      <c r="I31" s="70">
        <f>'Shanghai – Sleeper'!K39</f>
        <v/>
      </c>
      <c r="J31" s="71">
        <f>'Shanghai – Sleeper'!H40</f>
        <v/>
      </c>
      <c r="K31" s="71">
        <f>'Shanghai – Sleeper'!D71</f>
        <v/>
      </c>
      <c r="L31" s="123">
        <f>IF(F31&gt;=0,"yes","over by "&amp;TEXT(-F31,"#,##0")&amp;" ₮")</f>
        <v/>
      </c>
      <c r="M31" s="68">
        <f>Compare!$B$5-E31/(1+Compare!$B$11)</f>
        <v/>
      </c>
    </row>
    <row r="32" ht="15" customHeight="1" s="56">
      <c r="A32" s="67" t="inlineStr">
        <is>
          <t>Shanghai – Spring nonstop</t>
        </is>
      </c>
      <c r="B32" s="68">
        <f>'Shanghai – Spring nonstop'!H31</f>
        <v/>
      </c>
      <c r="C32" s="68">
        <f>'Shanghai – Spring nonstop'!H32</f>
        <v/>
      </c>
      <c r="D32" s="69">
        <f>'Shanghai – Spring nonstop'!H34</f>
        <v/>
      </c>
      <c r="E32" s="68">
        <f>'Shanghai – Spring nonstop'!K31</f>
        <v/>
      </c>
      <c r="F32" s="68">
        <f>'Shanghai – Spring nonstop'!K32</f>
        <v/>
      </c>
      <c r="G32" s="69">
        <f>'Shanghai – Spring nonstop'!K34</f>
        <v/>
      </c>
      <c r="H32" s="70">
        <f>'Shanghai – Spring nonstop'!H35</f>
        <v/>
      </c>
      <c r="I32" s="70">
        <f>'Shanghai – Spring nonstop'!K35</f>
        <v/>
      </c>
      <c r="J32" s="71">
        <f>'Shanghai – Spring nonstop'!H36</f>
        <v/>
      </c>
      <c r="K32" s="71">
        <f>'Shanghai – Spring nonstop'!D65</f>
        <v/>
      </c>
      <c r="L32" s="123">
        <f>IF(F32&gt;=0,"yes","over by "&amp;TEXT(-F32,"#,##0")&amp;" ₮")</f>
        <v/>
      </c>
      <c r="M32" s="68">
        <f>Compare!$B$5-E32/(1+Compare!$B$11)</f>
        <v/>
      </c>
    </row>
    <row r="33" ht="15" customHeight="1" s="56">
      <c r="A33" s="67" t="inlineStr">
        <is>
          <t>Shanghai – Nonstop cheap rooms</t>
        </is>
      </c>
      <c r="B33" s="68">
        <f>'Shanghai – Nonstop cheap rooms'!H31</f>
        <v/>
      </c>
      <c r="C33" s="68">
        <f>'Shanghai – Nonstop cheap rooms'!H32</f>
        <v/>
      </c>
      <c r="D33" s="69">
        <f>'Shanghai – Nonstop cheap rooms'!H34</f>
        <v/>
      </c>
      <c r="E33" s="68">
        <f>'Shanghai – Nonstop cheap rooms'!K31</f>
        <v/>
      </c>
      <c r="F33" s="68">
        <f>'Shanghai – Nonstop cheap rooms'!K32</f>
        <v/>
      </c>
      <c r="G33" s="69">
        <f>'Shanghai – Nonstop cheap rooms'!K34</f>
        <v/>
      </c>
      <c r="H33" s="70">
        <f>'Shanghai – Nonstop cheap rooms'!H35</f>
        <v/>
      </c>
      <c r="I33" s="70">
        <f>'Shanghai – Nonstop cheap rooms'!K35</f>
        <v/>
      </c>
      <c r="J33" s="71">
        <f>'Shanghai – Nonstop cheap rooms'!H36</f>
        <v/>
      </c>
      <c r="K33" s="71">
        <f>'Shanghai – Nonstop cheap rooms'!D65</f>
        <v/>
      </c>
      <c r="L33" s="123">
        <f>IF(F33&gt;=0,"yes","over by "&amp;TEXT(-F33,"#,##0")&amp;" ₮")</f>
        <v/>
      </c>
      <c r="M33" s="68">
        <f>Compare!$B$5-E33/(1+Compare!$B$11)</f>
        <v/>
      </c>
    </row>
    <row r="34" ht="15" customHeight="1" s="56">
      <c r="A34" s="67" t="inlineStr">
        <is>
          <t>Shanghai – Fly out, train home</t>
        </is>
      </c>
      <c r="B34" s="68">
        <f>'Shanghai – Fly out, train home'!H35</f>
        <v/>
      </c>
      <c r="C34" s="68">
        <f>'Shanghai – Fly out, train home'!H36</f>
        <v/>
      </c>
      <c r="D34" s="69">
        <f>'Shanghai – Fly out, train home'!H38</f>
        <v/>
      </c>
      <c r="E34" s="68">
        <f>'Shanghai – Fly out, train home'!K35</f>
        <v/>
      </c>
      <c r="F34" s="68">
        <f>'Shanghai – Fly out, train home'!K36</f>
        <v/>
      </c>
      <c r="G34" s="69">
        <f>'Shanghai – Fly out, train home'!K38</f>
        <v/>
      </c>
      <c r="H34" s="70">
        <f>'Shanghai – Fly out, train home'!H39</f>
        <v/>
      </c>
      <c r="I34" s="70">
        <f>'Shanghai – Fly out, train home'!K39</f>
        <v/>
      </c>
      <c r="J34" s="71">
        <f>'Shanghai – Fly out, train home'!H40</f>
        <v/>
      </c>
      <c r="K34" s="71">
        <f>'Shanghai – Fly out, train home'!D71</f>
        <v/>
      </c>
      <c r="L34" s="123">
        <f>IF(F34&gt;=0,"yes","over by "&amp;TEXT(-F34,"#,##0")&amp;" ₮")</f>
        <v/>
      </c>
      <c r="M34" s="68">
        <f>Compare!$B$5-E34/(1+Compare!$B$11)</f>
        <v/>
      </c>
    </row>
    <row r="35" s="56">
      <c r="A35" s="67" t="inlineStr">
        <is>
          <t>Shanghai – Train (no sleeper)</t>
        </is>
      </c>
      <c r="B35" s="68">
        <f>'Shanghai – Train (no sleeper)'!H37</f>
        <v/>
      </c>
      <c r="C35" s="68">
        <f>'Shanghai – Train (no sleeper)'!H38</f>
        <v/>
      </c>
      <c r="D35" s="69">
        <f>'Shanghai – Train (no sleeper)'!H40</f>
        <v/>
      </c>
      <c r="E35" s="68">
        <f>'Shanghai – Train (no sleeper)'!K37</f>
        <v/>
      </c>
      <c r="F35" s="68">
        <f>'Shanghai – Train (no sleeper)'!K38</f>
        <v/>
      </c>
      <c r="G35" s="69">
        <f>'Shanghai – Train (no sleeper)'!K40</f>
        <v/>
      </c>
      <c r="H35" s="70">
        <f>'Shanghai – Train (no sleeper)'!H41</f>
        <v/>
      </c>
      <c r="I35" s="70">
        <f>'Shanghai – Train (no sleeper)'!K41</f>
        <v/>
      </c>
      <c r="J35" s="71">
        <f>'Shanghai – Train (no sleeper)'!H42</f>
        <v/>
      </c>
      <c r="K35" s="71">
        <f>'Shanghai – Train (no sleeper)'!D74</f>
        <v/>
      </c>
      <c r="L35" s="123">
        <f>IF(F35&gt;=0,"yes","over by "&amp;TEXT(-F35,"#,##0")&amp;" ₮")</f>
        <v/>
      </c>
      <c r="M35" s="68">
        <f>Compare!$B$5-E35/(1+Compare!$B$11)</f>
        <v/>
      </c>
    </row>
    <row r="36" ht="15" customHeight="1" s="56">
      <c r="A36" s="67" t="inlineStr">
        <is>
          <t>Nanchang – Sleeper</t>
        </is>
      </c>
      <c r="B36" s="68">
        <f>'Nanchang – Sleeper'!H34</f>
        <v/>
      </c>
      <c r="C36" s="68">
        <f>'Nanchang – Sleeper'!H35</f>
        <v/>
      </c>
      <c r="D36" s="69">
        <f>'Nanchang – Sleeper'!H37</f>
        <v/>
      </c>
      <c r="E36" s="68">
        <f>'Nanchang – Sleeper'!K34</f>
        <v/>
      </c>
      <c r="F36" s="68">
        <f>'Nanchang – Sleeper'!K35</f>
        <v/>
      </c>
      <c r="G36" s="69">
        <f>'Nanchang – Sleeper'!K37</f>
        <v/>
      </c>
      <c r="H36" s="70">
        <f>'Nanchang – Sleeper'!H38</f>
        <v/>
      </c>
      <c r="I36" s="70">
        <f>'Nanchang – Sleeper'!K38</f>
        <v/>
      </c>
      <c r="J36" s="71">
        <f>'Nanchang – Sleeper'!H39</f>
        <v/>
      </c>
      <c r="K36" s="71">
        <f>'Nanchang – Sleeper'!D70</f>
        <v/>
      </c>
      <c r="L36" s="123">
        <f>IF(F36&gt;=0,"yes","over by "&amp;TEXT(-F36,"#,##0")&amp;" ₮")</f>
        <v/>
      </c>
      <c r="M36" s="68">
        <f>Compare!$B$5-E36/(1+Compare!$B$11)</f>
        <v/>
      </c>
    </row>
    <row r="37" ht="30" customHeight="1" s="56">
      <c r="A37" s="67" t="inlineStr">
        <is>
          <t>Nanchang – Comfort</t>
        </is>
      </c>
      <c r="B37" s="68">
        <f>'Nanchang – Comfort'!H36</f>
        <v/>
      </c>
      <c r="C37" s="68">
        <f>'Nanchang – Comfort'!H37</f>
        <v/>
      </c>
      <c r="D37" s="69">
        <f>'Nanchang – Comfort'!H39</f>
        <v/>
      </c>
      <c r="E37" s="68">
        <f>'Nanchang – Comfort'!K36</f>
        <v/>
      </c>
      <c r="F37" s="68">
        <f>'Nanchang – Comfort'!K37</f>
        <v/>
      </c>
      <c r="G37" s="69">
        <f>'Nanchang – Comfort'!K39</f>
        <v/>
      </c>
      <c r="H37" s="70">
        <f>'Nanchang – Comfort'!H40</f>
        <v/>
      </c>
      <c r="I37" s="70">
        <f>'Nanchang – Comfort'!K40</f>
        <v/>
      </c>
      <c r="J37" s="71">
        <f>'Nanchang – Comfort'!H41</f>
        <v/>
      </c>
      <c r="K37" s="71">
        <f>'Nanchang – Comfort'!D72</f>
        <v/>
      </c>
      <c r="L37" s="123">
        <f>IF(F37&gt;=0,"yes","over by "&amp;TEXT(-F37,"#,##0")&amp;" ₮")</f>
        <v/>
      </c>
      <c r="M37" s="68">
        <f>Compare!$B$5-E37/(1+Compare!$B$11)</f>
        <v/>
      </c>
    </row>
    <row r="38" ht="30" customHeight="1" s="56">
      <c r="A38" s="67" t="inlineStr">
        <is>
          <t>Nanchang – Fly in (Air China)</t>
        </is>
      </c>
      <c r="B38" s="68">
        <f>'Nanchang – Fly in (Air China)'!H34</f>
        <v/>
      </c>
      <c r="C38" s="68">
        <f>'Nanchang – Fly in (Air China)'!H35</f>
        <v/>
      </c>
      <c r="D38" s="69">
        <f>'Nanchang – Fly in (Air China)'!H37</f>
        <v/>
      </c>
      <c r="E38" s="68">
        <f>'Nanchang – Fly in (Air China)'!K34</f>
        <v/>
      </c>
      <c r="F38" s="68">
        <f>'Nanchang – Fly in (Air China)'!K35</f>
        <v/>
      </c>
      <c r="G38" s="69">
        <f>'Nanchang – Fly in (Air China)'!K37</f>
        <v/>
      </c>
      <c r="H38" s="70">
        <f>'Nanchang – Fly in (Air China)'!H38</f>
        <v/>
      </c>
      <c r="I38" s="70">
        <f>'Nanchang – Fly in (Air China)'!K38</f>
        <v/>
      </c>
      <c r="J38" s="71">
        <f>'Nanchang – Fly in (Air China)'!H39</f>
        <v/>
      </c>
      <c r="K38" s="71">
        <f>'Nanchang – Fly in (Air China)'!D68</f>
        <v/>
      </c>
      <c r="L38" s="123">
        <f>IF(F38&gt;=0,"yes","over by "&amp;TEXT(-F38,"#,##0")&amp;" ₮")</f>
        <v/>
      </c>
      <c r="M38" s="68">
        <f>Compare!$B$5-E38/(1+Compare!$B$11)</f>
        <v/>
      </c>
    </row>
    <row r="39" ht="30" customHeight="1" s="56">
      <c r="A39" s="67" t="inlineStr">
        <is>
          <t>Hong Kong – Budget</t>
        </is>
      </c>
      <c r="B39" s="68">
        <f>'Hong Kong – Budget'!H30</f>
        <v/>
      </c>
      <c r="C39" s="68">
        <f>'Hong Kong – Budget'!H31</f>
        <v/>
      </c>
      <c r="D39" s="69">
        <f>'Hong Kong – Budget'!H33</f>
        <v/>
      </c>
      <c r="E39" s="68">
        <f>'Hong Kong – Budget'!K30</f>
        <v/>
      </c>
      <c r="F39" s="68">
        <f>'Hong Kong – Budget'!K31</f>
        <v/>
      </c>
      <c r="G39" s="69">
        <f>'Hong Kong – Budget'!K33</f>
        <v/>
      </c>
      <c r="H39" s="70">
        <f>'Hong Kong – Budget'!H34</f>
        <v/>
      </c>
      <c r="I39" s="70">
        <f>'Hong Kong – Budget'!K34</f>
        <v/>
      </c>
      <c r="J39" s="71">
        <f>'Hong Kong – Budget'!H35</f>
        <v/>
      </c>
      <c r="K39" s="71">
        <f>'Hong Kong – Budget'!D60</f>
        <v/>
      </c>
      <c r="L39" s="123">
        <f>IF(F39&gt;=0,"yes","over by "&amp;TEXT(-F39,"#,##0")&amp;" ₮")</f>
        <v/>
      </c>
      <c r="M39" s="68">
        <f>Compare!$B$5-E39/(1+Compare!$B$11)</f>
        <v/>
      </c>
    </row>
    <row r="40" s="56">
      <c r="A40" s="67" t="inlineStr">
        <is>
          <t>Hong Kong – Comfort</t>
        </is>
      </c>
      <c r="B40" s="68">
        <f>'Hong Kong – Comfort'!H30</f>
        <v/>
      </c>
      <c r="C40" s="68">
        <f>'Hong Kong – Comfort'!H31</f>
        <v/>
      </c>
      <c r="D40" s="69">
        <f>'Hong Kong – Comfort'!H33</f>
        <v/>
      </c>
      <c r="E40" s="68">
        <f>'Hong Kong – Comfort'!K30</f>
        <v/>
      </c>
      <c r="F40" s="68">
        <f>'Hong Kong – Comfort'!K31</f>
        <v/>
      </c>
      <c r="G40" s="69">
        <f>'Hong Kong – Comfort'!K33</f>
        <v/>
      </c>
      <c r="H40" s="70">
        <f>'Hong Kong – Comfort'!H34</f>
        <v/>
      </c>
      <c r="I40" s="70">
        <f>'Hong Kong – Comfort'!K34</f>
        <v/>
      </c>
      <c r="J40" s="71">
        <f>'Hong Kong – Comfort'!H35</f>
        <v/>
      </c>
      <c r="K40" s="71">
        <f>'Hong Kong – Comfort'!D60</f>
        <v/>
      </c>
      <c r="L40" s="123">
        <f>IF(F40&gt;=0,"yes","over by "&amp;TEXT(-F40,"#,##0")&amp;" ₮")</f>
        <v/>
      </c>
      <c r="M40" s="68">
        <f>Compare!$B$5-E40/(1+Compare!$B$11)</f>
        <v/>
      </c>
    </row>
    <row r="41" ht="30" customHeight="1" s="56">
      <c r="A41" s="67" t="inlineStr">
        <is>
          <t>Hong Kong – Value</t>
        </is>
      </c>
      <c r="B41" s="68">
        <f>'Hong Kong – Value'!H30</f>
        <v/>
      </c>
      <c r="C41" s="68">
        <f>'Hong Kong – Value'!H31</f>
        <v/>
      </c>
      <c r="D41" s="69">
        <f>'Hong Kong – Value'!H33</f>
        <v/>
      </c>
      <c r="E41" s="68">
        <f>'Hong Kong – Value'!K30</f>
        <v/>
      </c>
      <c r="F41" s="68">
        <f>'Hong Kong – Value'!K31</f>
        <v/>
      </c>
      <c r="G41" s="69">
        <f>'Hong Kong – Value'!K33</f>
        <v/>
      </c>
      <c r="H41" s="70">
        <f>'Hong Kong – Value'!H34</f>
        <v/>
      </c>
      <c r="I41" s="70">
        <f>'Hong Kong – Value'!K34</f>
        <v/>
      </c>
      <c r="J41" s="71">
        <f>'Hong Kong – Value'!H35</f>
        <v/>
      </c>
      <c r="K41" s="71">
        <f>'Hong Kong – Value'!D60</f>
        <v/>
      </c>
      <c r="L41" s="123">
        <f>IF(F41&gt;=0,"yes","over by "&amp;TEXT(-F41,"#,##0")&amp;" ₮")</f>
        <v/>
      </c>
      <c r="M41" s="68">
        <f>Compare!$B$5-E41/(1+Compare!$B$11)</f>
        <v/>
      </c>
    </row>
    <row r="42" s="56">
      <c r="A42" s="67" t="inlineStr">
        <is>
          <t>Hong Kong – Sleep first</t>
        </is>
      </c>
      <c r="B42" s="68">
        <f>'Hong Kong – Sleep first'!H30</f>
        <v/>
      </c>
      <c r="C42" s="68">
        <f>'Hong Kong – Sleep first'!H31</f>
        <v/>
      </c>
      <c r="D42" s="69">
        <f>'Hong Kong – Sleep first'!H33</f>
        <v/>
      </c>
      <c r="E42" s="68">
        <f>'Hong Kong – Sleep first'!K30</f>
        <v/>
      </c>
      <c r="F42" s="68">
        <f>'Hong Kong – Sleep first'!K31</f>
        <v/>
      </c>
      <c r="G42" s="69">
        <f>'Hong Kong – Sleep first'!K33</f>
        <v/>
      </c>
      <c r="H42" s="70">
        <f>'Hong Kong – Sleep first'!H34</f>
        <v/>
      </c>
      <c r="I42" s="70">
        <f>'Hong Kong – Sleep first'!K34</f>
        <v/>
      </c>
      <c r="J42" s="71">
        <f>'Hong Kong – Sleep first'!H35</f>
        <v/>
      </c>
      <c r="K42" s="71">
        <f>'Hong Kong – Sleep first'!D60</f>
        <v/>
      </c>
      <c r="L42" s="123">
        <f>IF(F42&gt;=0,"yes","over by "&amp;TEXT(-F42,"#,##0")&amp;" ₮")</f>
        <v/>
      </c>
      <c r="M42" s="68">
        <f>Compare!$B$5-E42/(1+Compare!$B$11)</f>
        <v/>
      </c>
    </row>
    <row r="43" s="56">
      <c r="A43" s="67" t="inlineStr">
        <is>
          <t>Hong Kong – Funded 12M</t>
        </is>
      </c>
      <c r="B43" s="68">
        <f>'Hong Kong – Funded 12M'!H30</f>
        <v/>
      </c>
      <c r="C43" s="68">
        <f>'Hong Kong – Funded 12M'!H31</f>
        <v/>
      </c>
      <c r="D43" s="69">
        <f>'Hong Kong – Funded 12M'!H33</f>
        <v/>
      </c>
      <c r="E43" s="68">
        <f>'Hong Kong – Funded 12M'!K30</f>
        <v/>
      </c>
      <c r="F43" s="68">
        <f>'Hong Kong – Funded 12M'!K31</f>
        <v/>
      </c>
      <c r="G43" s="69">
        <f>'Hong Kong – Funded 12M'!K33</f>
        <v/>
      </c>
      <c r="H43" s="70">
        <f>'Hong Kong – Funded 12M'!H34</f>
        <v/>
      </c>
      <c r="I43" s="70">
        <f>'Hong Kong – Funded 12M'!K34</f>
        <v/>
      </c>
      <c r="J43" s="71">
        <f>'Hong Kong – Funded 12M'!H35</f>
        <v/>
      </c>
      <c r="K43" s="71">
        <f>'Hong Kong – Funded 12M'!D60</f>
        <v/>
      </c>
      <c r="L43" s="123">
        <f>IF(F43&gt;=0,"yes","over by "&amp;TEXT(-F43,"#,##0")&amp;" ₮")</f>
        <v/>
      </c>
      <c r="M43" s="68">
        <f>Compare!$B$5-E43/(1+Compare!$B$11)</f>
        <v/>
      </c>
    </row>
    <row r="44" s="56">
      <c r="A44" s="67" t="inlineStr">
        <is>
          <t>Hong Kong – Sleep priority</t>
        </is>
      </c>
      <c r="B44" s="68">
        <f>'Hong Kong – Sleep priority'!H30</f>
        <v/>
      </c>
      <c r="C44" s="68">
        <f>'Hong Kong – Sleep priority'!H31</f>
        <v/>
      </c>
      <c r="D44" s="69">
        <f>'Hong Kong – Sleep priority'!H33</f>
        <v/>
      </c>
      <c r="E44" s="68">
        <f>'Hong Kong – Sleep priority'!K30</f>
        <v/>
      </c>
      <c r="F44" s="68">
        <f>'Hong Kong – Sleep priority'!K31</f>
        <v/>
      </c>
      <c r="G44" s="69">
        <f>'Hong Kong – Sleep priority'!K33</f>
        <v/>
      </c>
      <c r="H44" s="70">
        <f>'Hong Kong – Sleep priority'!H34</f>
        <v/>
      </c>
      <c r="I44" s="70">
        <f>'Hong Kong – Sleep priority'!K34</f>
        <v/>
      </c>
      <c r="J44" s="71">
        <f>'Hong Kong – Sleep priority'!H35</f>
        <v/>
      </c>
      <c r="K44" s="71">
        <f>'Hong Kong – Sleep priority'!D60</f>
        <v/>
      </c>
      <c r="L44" s="123">
        <f>IF(F44&gt;=0,"yes","over by "&amp;TEXT(-F44,"#,##0")&amp;" ₮")</f>
        <v/>
      </c>
      <c r="M44" s="68">
        <f>Compare!$B$5-E44/(1+Compare!$B$11)</f>
        <v/>
      </c>
    </row>
    <row r="45" ht="30" customHeight="1" s="56">
      <c r="A45" s="67" t="inlineStr">
        <is>
          <t>EC Final Hangzhou – Train</t>
        </is>
      </c>
      <c r="B45" s="68">
        <f>'EC Final Hangzhou – Train'!H34</f>
        <v/>
      </c>
      <c r="C45" s="68">
        <f>'EC Final Hangzhou – Train'!H35</f>
        <v/>
      </c>
      <c r="D45" s="69">
        <f>'EC Final Hangzhou – Train'!H37</f>
        <v/>
      </c>
      <c r="E45" s="68">
        <f>'EC Final Hangzhou – Train'!K34</f>
        <v/>
      </c>
      <c r="F45" s="68">
        <f>'EC Final Hangzhou – Train'!K35</f>
        <v/>
      </c>
      <c r="G45" s="69">
        <f>'EC Final Hangzhou – Train'!K37</f>
        <v/>
      </c>
      <c r="H45" s="70">
        <f>'EC Final Hangzhou – Train'!H38</f>
        <v/>
      </c>
      <c r="I45" s="70">
        <f>'EC Final Hangzhou – Train'!K38</f>
        <v/>
      </c>
      <c r="J45" s="71">
        <f>'EC Final Hangzhou – Train'!H39</f>
        <v/>
      </c>
      <c r="K45" s="71">
        <f>'EC Final Hangzhou – Train'!D70</f>
        <v/>
      </c>
      <c r="L45" s="123">
        <f>IF(F45&gt;=0,"yes","over by "&amp;TEXT(-F45,"#,##0")&amp;" ₮")</f>
        <v/>
      </c>
      <c r="M45" s="68">
        <f>Compare!$B$5-E45/(1+Compare!$B$11)</f>
        <v/>
      </c>
    </row>
    <row r="46" ht="30" customHeight="1" s="56">
      <c r="A46" s="67" t="inlineStr">
        <is>
          <t>EC Final Hangzhou – Fly</t>
        </is>
      </c>
      <c r="B46" s="68">
        <f>'EC Final Hangzhou – Fly'!H33</f>
        <v/>
      </c>
      <c r="C46" s="68">
        <f>'EC Final Hangzhou – Fly'!H34</f>
        <v/>
      </c>
      <c r="D46" s="69">
        <f>'EC Final Hangzhou – Fly'!H36</f>
        <v/>
      </c>
      <c r="E46" s="68">
        <f>'EC Final Hangzhou – Fly'!K33</f>
        <v/>
      </c>
      <c r="F46" s="68">
        <f>'EC Final Hangzhou – Fly'!K34</f>
        <v/>
      </c>
      <c r="G46" s="69">
        <f>'EC Final Hangzhou – Fly'!K36</f>
        <v/>
      </c>
      <c r="H46" s="70">
        <f>'EC Final Hangzhou – Fly'!H37</f>
        <v/>
      </c>
      <c r="I46" s="70">
        <f>'EC Final Hangzhou – Fly'!K37</f>
        <v/>
      </c>
      <c r="J46" s="71">
        <f>'EC Final Hangzhou – Fly'!H38</f>
        <v/>
      </c>
      <c r="K46" s="71">
        <f>'EC Final Hangzhou – Fly'!D70</f>
        <v/>
      </c>
      <c r="L46" s="123">
        <f>IF(F46&gt;=0,"yes","over by "&amp;TEXT(-F46,"#,##0")&amp;" ₮")</f>
        <v/>
      </c>
      <c r="M46" s="68">
        <f>Compare!$B$5-E46/(1+Compare!$B$11)</f>
        <v/>
      </c>
    </row>
    <row r="47" ht="30" customHeight="1" s="56">
      <c r="A47" s="75" t="n"/>
      <c r="B47" s="74" t="n"/>
    </row>
    <row r="48" ht="15" customHeight="1" s="56">
      <c r="A48" s="72" t="inlineStr">
        <is>
          <t>Recommended picks (not the expensive ones)</t>
        </is>
      </c>
    </row>
    <row r="49" ht="62" customHeight="1" s="56">
      <c r="A49" s="73" t="inlineStr">
        <is>
          <t>Likely pairing (your answer)</t>
        </is>
      </c>
      <c r="B49"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sleep first and cheap after: 'Shenyang – Sleep value' ₮2.69M per person (no early start, a bed each, home 16 Nov) or 'Shenyang – Overland home' ₮2.37M per person (same before the contest, night trains home via Erenhot, home 18 Nov); Budget ₮2.14M per person is cheaper but puts a sleeper the night before day 1. The HK 2026 host may not be HKU (2025 was HKUST), which favours sleeping well and staying on the MTR over a hotel next to one campus.</t>
        </is>
      </c>
    </row>
    <row r="50" ht="75" customHeight="1" s="56">
      <c r="A50" s="73" t="inlineStr">
        <is>
          <t>Unfunded regional (3 ppl pay)</t>
        </is>
      </c>
      <c r="B50" s="74" t="inlineStr">
        <is>
          <t>Cheapest sleep-safe plans per person incl. fee, taxi, insurance, eSIM and 10% contingency: Shenyang – Overland out (seats) ₮1.70M per person (cheapest of all, but two seated train nights before day 1); Shenyang – Budget ₮2.14M per person (soft sleeper before day 1); Shenyang – Overland home ₮2.37M per person (no early start, a bed each, overland home); Shenyang – Spring via Shanghai ₮2.38M per person (flights only, no early start, 2 hotel nights, tight Shanghai transfer); Shenyang – Comfort ₮2.46M per person; Nanchang – Sleeper ₮2.50M per person; Shenyang – Sleep value ₮2.69M / Sleep first ₮2.89M per person (no early start, a bed each, fly home); Shanghai – Sleeper ₮2.78M per person (Shanghai nonstop with cheap rooms ₮2.90M); Hong Kong – Budget ₮3.43M per person; EC Final – Train ₮3.14M per person. Shenyang and Nanchang are the cheap ones to pay yourselves.</t>
        </is>
      </c>
    </row>
    <row r="51" ht="62" customHeight="1" s="56">
      <c r="A51" s="73" t="inlineStr">
        <is>
          <t>Funded regional (₮12M, coach)</t>
        </is>
      </c>
      <c r="B51" s="74" t="inlineStr">
        <is>
          <t>Fits ₮12M incl. contingency: Shenyang – Comfort ₮8.04M (fits, ₮3.96M left); Shanghai – Sleeper ₮9.23M (fits, ₮2.77M left; the nonstop with cheap rooms ₮9.48M and 'Fly out, train home' ₮9.28M also fit);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52" ht="120" customHeight="1" s="56">
      <c r="A52" s="73" t="inlineStr">
        <is>
          <t>Regional – Shenyang (14–15 Nov)</t>
        </is>
      </c>
      <c r="B52" s="74" t="inlineStr">
        <is>
          <t>Sleep first, cheapest after (22 Oct prices): Air China 11:50 out (¥1,291 on Ctrip; no 04:00 wake-up) + G153, two twin rooms for 3 nights, K28 hard seat + Air China 12:55 home. Sleep first (NEU International, 580 m, 9.7) ₮7.47M / ₮9.47M; Sleep value (Ji Hotel twins, ~15 min walk, 9.0) ₮6.88M / ₮8.87M; Overland home (Sleep value out, K1568 + 4652 night trains, jeep at Erenhot, UBTZ 275, home 18 Nov) ₮5.97M / ₮7.67M (3 / 4 ppl). Older: Comfort (MIAT 07:30, RiCH family room, K54) ₮6.18M / ₮8.04M; no sleepers: G-train Comfort ₮6.72M / ₮8.84M, G-train Budget ₮6.05M / ₮8.27M. Cheap way out instead (22 Oct; sheet 'Shenyang – Way out', rest of the trip as Sleep value): Overland out (UBTZ 276 + jeep + 4654 + T301, seats) ₮3.96M / ₮5.19M, per person ₮1.70M; with berths ₮1.79M per person; Hunnu Daxing + K341 ₮2.08M; MIAT 13 Nov + K341 ₮2.10M; Hunnu Erenhot ₮2.14M; Manzhouli seats ₮2.27M (sleep OK); Hohhot red-eye ₮2.34M (WATCH). Hohhot + Spring (Air China CA758 + Spring 9C6782, two tickets, no night train, BEST) ₮6.56M / ₮8.46M, ₮2.59M per person – ₮0.11M less than Sleep value (27 Oct: Spring ¥220 fare + ¥140 airport fee and fuel surcharge; 20 kg bag +¥120). Spring via Shanghai (Fri 13 Nov, Spring 9C6520 + 9C6759, two tickets, 2 h 05 min transfer at Pudong, 2 hotel nights, OK) ₮5.95M / ₮7.73M, ₮2.38M per person – the cheapest flights-only plan with no early start and no night train (way out ₮771k pp with bags). All others are POOR for sleep: a seated night right before day 1.</t>
        </is>
      </c>
    </row>
    <row r="53" ht="47" customHeight="1" s="56">
      <c r="A53" s="73" t="inlineStr">
        <is>
          <t>Regional – Shanghai (5–6 Dec)</t>
        </is>
      </c>
      <c r="B53" s="74" t="inlineStr">
        <is>
          <t>Sleeper: MIAT $151 + G17 out on 3 Dec, 2 cheap rooms 3 nights at Hi Inn (1.8 km, 8.9), D8 overnight seat back, Air China 12:55 $172 on 7 Dec: ₮7.15M / ₮9.23M. Spring nonstop with the same cheap rooms (Tue 1 → Tue 8 Dec, 7 nights) ₮7.50M / ₮9.48M (was ₮8.21M / ₮10.73M with the apartment); 'Fly out, train home' (Spring out, D10 seat ¥294 after the awards, Air China 7 Dec, no hotel nights after the contest) ₮7.27M / ₮9.28M. Wildcard: email shu_icpc@163.com now.</t>
        </is>
      </c>
    </row>
    <row r="54" ht="47" customHeight="1" s="56">
      <c r="A54" s="73" t="inlineStr">
        <is>
          <t>Regional – Nanchang (19–20 Dec)</t>
        </is>
      </c>
      <c r="B54" s="74" t="inlineStr">
        <is>
          <t>Sleeper: Air China $157 + Z111 hard sleeper (arrive 11:52 on 18 Dec), Orange Hotel 2 nights, D136 seat back, Air China 12:55 $172. Comfort (daytime G-train, 3 hotel nights) ₮7.96M / ₮10.32M; Fly in (Air China through ticket $356) ₮8.41M / ₮10.95M.</t>
        </is>
      </c>
    </row>
    <row r="55" ht="62" customHeight="1" s="56">
      <c r="A55" s="73" t="inlineStr">
        <is>
          <t>Regional – Hong Kong (9–10 Jan)</t>
        </is>
      </c>
      <c r="B55"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56" ht="47" customHeight="1" s="56">
      <c r="A56" s="73" t="inlineStr">
        <is>
          <t>EC Final (only if qualified)</t>
        </is>
      </c>
      <c r="B56"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57" ht="32" customHeight="1" s="56"/>
    <row r="58" ht="32" customHeight="1" s="56">
      <c r="A58" s="75" t="inlineStr">
        <is>
          <t>Note</t>
        </is>
      </c>
      <c r="B58"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59" ht="18" customHeight="1" s="56">
      <c r="A59" s="75" t="inlineStr">
        <is>
          <t>Note</t>
        </is>
      </c>
      <c r="B59" s="74" t="inlineStr">
        <is>
          <t>EC Final is qualification-only: plan it only once the team has earned a slot at a regional.</t>
        </is>
      </c>
    </row>
    <row r="60" ht="32" customHeight="1" s="56">
      <c r="A60" s="75" t="inlineStr">
        <is>
          <t>Note</t>
        </is>
      </c>
      <c r="B60" s="74" t="inlineStr">
        <is>
          <t>4-person plans use whatever split is cheapest on Trip.com/Booking.com: one family room for 4 (Shenyang RiCH, Nanchang Orange Hotel), or two rooms. Taxi costs assume one car; with luggage 4 people may need an XL car.</t>
        </is>
      </c>
    </row>
    <row r="61" ht="47" customHeight="1" s="56">
      <c r="A61" s="75" t="inlineStr">
        <is>
          <t>Note</t>
        </is>
      </c>
      <c r="B61"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62" ht="32" customHeight="1" s="56">
      <c r="A62" s="75" t="inlineStr">
        <is>
          <t>Note</t>
        </is>
      </c>
      <c r="B62" s="74" t="inlineStr">
        <is>
          <t>Sources (10 Oct): Trip.com (flights and hotels, built-in browser), 12306 (official train fares), ChinaTicketOnline (timetable and sale-date check; 30–70% dearer than 12306, not used for booking), SlickTrip (MIAT / Spring fares; by 22 Oct it prices Air China, but $90–180 above Trip.com), UBTZ e-ticket (Zamyn-Uud → Ulaanbaatar train, 22 Oct), Ctrip / Kiwi / Google Flights (22 Oct cross-check of the Shenyang flights; Ctrip had the cheapest Air China fare).</t>
        </is>
      </c>
    </row>
  </sheetData>
  <mergeCells count="14">
    <mergeCell ref="B61:K61"/>
    <mergeCell ref="B54:K54"/>
    <mergeCell ref="B49:K49"/>
    <mergeCell ref="B50:K50"/>
    <mergeCell ref="B58:K58"/>
    <mergeCell ref="B56:K56"/>
    <mergeCell ref="B52:K52"/>
    <mergeCell ref="B53:K53"/>
    <mergeCell ref="A2:K2"/>
    <mergeCell ref="B55:K55"/>
    <mergeCell ref="B62:K62"/>
    <mergeCell ref="B51:K51"/>
    <mergeCell ref="B59:K59"/>
    <mergeCell ref="B60:K6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4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45" customHeight="1" s="56">
      <c r="A9" s="118" t="inlineStr">
        <is>
          <t>Shenyang – Sleep first</t>
        </is>
      </c>
      <c r="B9" s="116" t="inlineStr">
        <is>
          <t>Sun 15 Nov / Sat 14 Nov</t>
        </is>
      </c>
      <c r="C9" s="116" t="inlineStr">
        <is>
          <t>12 Nov NEU International (normal wake-up ~08:00 for Air China 11:50; bed ~23:00)</t>
        </is>
      </c>
      <c r="D9" s="116" t="inlineStr">
        <is>
          <t>13 Nov same room, free rest day, no alarm</t>
        </is>
      </c>
      <c r="E9" s="116" t="inlineStr">
        <is>
          <t>14 Nov same room, twin room, 580 m</t>
        </is>
      </c>
      <c r="F9" s="116" t="inlineStr">
        <is>
          <t>Walk 7 min, wake ~07:00</t>
        </is>
      </c>
      <c r="G9" s="121" t="inlineStr">
        <is>
          <t>BEST</t>
        </is>
      </c>
      <c r="H9" s="116" t="inlineStr">
        <is>
          <t>No alarm before ~08:00 on any day before the contest (Air China 11:50 instead of MIAT 07:30, ¥195 ≈ ₮0.10M pp more on Ctrip), three nights in the same room and a bed each (2 twin rooms, 38 m², 9.7). After the contest the cheapest: K28 hard seat + Air China 12:55. ₮2.89M per person (3 ppl).</t>
        </is>
      </c>
    </row>
    <row r="10" ht="45" customHeight="1" s="56">
      <c r="A10" s="118" t="inlineStr">
        <is>
          <t>Shenyang – Sleep value</t>
        </is>
      </c>
      <c r="B10" s="116" t="inlineStr">
        <is>
          <t>Sun 15 Nov / Sat 14 Nov</t>
        </is>
      </c>
      <c r="C10" s="116" t="inlineStr">
        <is>
          <t>12 Nov Ji Hotel (normal wake-up ~08:00 for Air China 11:50; bed ~23:00)</t>
        </is>
      </c>
      <c r="D10" s="116" t="inlineStr">
        <is>
          <t>13 Nov same room, free rest day, no alarm</t>
        </is>
      </c>
      <c r="E10" s="116" t="inlineStr">
        <is>
          <t>14 Nov same room, twin room, ~15 min walk</t>
        </is>
      </c>
      <c r="F10" s="116" t="inlineStr">
        <is>
          <t>Walk ~15 min, wake ~06:50</t>
        </is>
      </c>
      <c r="G10" s="121" t="inlineStr">
        <is>
          <t>BEST</t>
        </is>
      </c>
      <c r="H10" s="116" t="inlineStr">
        <is>
          <t>Same timing and a bed each (2 twin rooms, King Koil mattresses, 9.0); smaller rooms and a ~15 min walk. ₮2.69M per person – ₮0.20M less than Sleep first.</t>
        </is>
      </c>
    </row>
    <row r="11" ht="45" customHeight="1" s="56">
      <c r="A11" s="118" t="inlineStr">
        <is>
          <t>Shenyang – Overland home</t>
        </is>
      </c>
      <c r="B11" s="116" t="inlineStr">
        <is>
          <t>Sun 15 Nov / Sat 14 Nov</t>
        </is>
      </c>
      <c r="C11" s="116" t="inlineStr">
        <is>
          <t>12 Nov Ji Hotel (normal wake-up ~08:00 for Air China 11:50; bed ~23:00)</t>
        </is>
      </c>
      <c r="D11" s="116" t="inlineStr">
        <is>
          <t>13 Nov same room, free rest day, no alarm</t>
        </is>
      </c>
      <c r="E11" s="116" t="inlineStr">
        <is>
          <t>14 Nov same room, twin room, ~15 min walk</t>
        </is>
      </c>
      <c r="F11" s="116" t="inlineStr">
        <is>
          <t>Walk ~15 min, wake ~06:50</t>
        </is>
      </c>
      <c r="G11" s="121" t="inlineStr">
        <is>
          <t>BEST</t>
        </is>
      </c>
      <c r="H11" s="116" t="inlineStr">
        <is>
          <t>Identical to Sleep value before the contest. After it: K1568 + 4652 hard sleepers, jeep across the border at Erenhot, UBTZ 275 platskart, home 18 Nov 09:20. ₮2.37M per person – the cheapest Shenyang plan without an early start or a sleeper before the contest.</t>
        </is>
      </c>
    </row>
    <row r="12" ht="45" customHeight="1" s="56">
      <c r="A12" s="118" t="inlineStr">
        <is>
          <t>Shenyang – Overland out (seats)</t>
        </is>
      </c>
      <c r="B12" s="116" t="inlineStr">
        <is>
          <t>Sun 15 Nov / Sat 14 Nov</t>
        </is>
      </c>
      <c r="C12" s="116" t="inlineStr">
        <is>
          <t>12 Nov UBTZ 276 seat</t>
        </is>
      </c>
      <c r="D12" s="116" t="inlineStr">
        <is>
          <t>13 Nov T301 hard seat 19:30–10:16, then registration</t>
        </is>
      </c>
      <c r="E12" s="116" t="inlineStr">
        <is>
          <t>14 Nov Ji Hotel, twin room</t>
        </is>
      </c>
      <c r="F12" s="116" t="inlineStr">
        <is>
          <t>Walk ~15 min, wake ~06:50</t>
        </is>
      </c>
      <c r="G12" s="121" t="inlineStr">
        <is>
          <t>POOR</t>
        </is>
      </c>
      <c r="H12" s="116" t="inlineStr">
        <is>
          <t>Two seated train nights back to back before day 1. Leaving on 10 Nov instead adds two hotel nights (~₮0.16M pp) and turns this into OK. Berths: see 'Overland out, berths'.</t>
        </is>
      </c>
    </row>
    <row r="13" ht="45" customHeight="1" s="56">
      <c r="A13" s="118" t="inlineStr">
        <is>
          <t>Shenyang – Overland out, berths</t>
        </is>
      </c>
      <c r="B13" s="116" t="inlineStr">
        <is>
          <t>Sun 15 Nov / Sat 14 Nov</t>
        </is>
      </c>
      <c r="C13" s="116" t="inlineStr">
        <is>
          <t>12 Nov UBTZ 276 platskart berth</t>
        </is>
      </c>
      <c r="D13" s="116" t="inlineStr">
        <is>
          <t>13 Nov T301 hard sleeper, then registration</t>
        </is>
      </c>
      <c r="E13" s="116" t="inlineStr">
        <is>
          <t>14 Nov Ji Hotel, twin room</t>
        </is>
      </c>
      <c r="F13" s="116" t="inlineStr">
        <is>
          <t>Walk ~15 min, wake ~06:50</t>
        </is>
      </c>
      <c r="G13" s="121" t="inlineStr">
        <is>
          <t>POOR</t>
        </is>
      </c>
      <c r="H13" s="116" t="inlineStr">
        <is>
          <t>Lying down both nights, but still two train nights in a row before day 1. +₮0.09M pp over seats.</t>
        </is>
      </c>
    </row>
    <row r="14" ht="45" customHeight="1" s="56">
      <c r="A14" s="118" t="inlineStr">
        <is>
          <t>Shenyang – Manzhouli seats</t>
        </is>
      </c>
      <c r="B14" s="116" t="inlineStr">
        <is>
          <t>Sun 15 Nov / Sat 14 Nov</t>
        </is>
      </c>
      <c r="C14" s="116" t="inlineStr">
        <is>
          <t>12 Nov Ji Hotel (after a night sitting up on K7092; arrive 14:32)</t>
        </is>
      </c>
      <c r="D14" s="116" t="inlineStr">
        <is>
          <t>13 Nov Ji Hotel, free rest day</t>
        </is>
      </c>
      <c r="E14" s="116" t="inlineStr">
        <is>
          <t>14 Nov Ji Hotel, twin room</t>
        </is>
      </c>
      <c r="F14" s="116" t="inlineStr">
        <is>
          <t>Walk ~15 min, wake ~06:50</t>
        </is>
      </c>
      <c r="G14" s="121" t="inlineStr">
        <is>
          <t>OK</t>
        </is>
      </c>
      <c r="H14" s="116" t="inlineStr">
        <is>
          <t>The seated night is four nights before the contest and three hotel nights follow. Soft sleeper on K7092 (+¥205 pp) makes it BEST.</t>
        </is>
      </c>
    </row>
    <row r="15" ht="45" customHeight="1" s="56">
      <c r="A15" s="118" t="inlineStr">
        <is>
          <t>Shenyang – Hunnu Daxing + K341</t>
        </is>
      </c>
      <c r="B15" s="116" t="inlineStr">
        <is>
          <t>Sun 15 Nov / Sat 14 Nov</t>
        </is>
      </c>
      <c r="C15" s="116" t="inlineStr">
        <is>
          <t>12 Nov at home</t>
        </is>
      </c>
      <c r="D15" s="116" t="inlineStr">
        <is>
          <t>13 Nov K341 hard seat 23:00–08:47, then registration</t>
        </is>
      </c>
      <c r="E15" s="116" t="inlineStr">
        <is>
          <t>14 Nov Ji Hotel, twin room</t>
        </is>
      </c>
      <c r="F15" s="116" t="inlineStr">
        <is>
          <t>Walk ~15 min, wake ~06:50</t>
        </is>
      </c>
      <c r="G15" s="121" t="inlineStr">
        <is>
          <t>POOR</t>
        </is>
      </c>
      <c r="H15" s="116" t="inlineStr">
        <is>
          <t>Seated night right before day 1. K341 hard sleeper (+¥82 pp) or K53 22:35 soft sleeper (¥263) brings it to WATCH.</t>
        </is>
      </c>
    </row>
    <row r="16" ht="45" customHeight="1" s="56">
      <c r="A16" s="118" t="inlineStr">
        <is>
          <t>Shenyang – MIAT 13 Nov + K341</t>
        </is>
      </c>
      <c r="B16" s="116" t="inlineStr">
        <is>
          <t>Sun 15 Nov / Sat 14 Nov</t>
        </is>
      </c>
      <c r="C16" s="116" t="inlineStr">
        <is>
          <t>12 Nov at home</t>
        </is>
      </c>
      <c r="D16" s="116" t="inlineStr">
        <is>
          <t>13 Nov K341 hard seat 23:00–08:47, then registration</t>
        </is>
      </c>
      <c r="E16" s="116" t="inlineStr">
        <is>
          <t>14 Nov Ji Hotel, twin room</t>
        </is>
      </c>
      <c r="F16" s="116" t="inlineStr">
        <is>
          <t>Walk ~15 min, wake ~06:50</t>
        </is>
      </c>
      <c r="G16" s="121" t="inlineStr">
        <is>
          <t>POOR</t>
        </is>
      </c>
      <c r="H16" s="116" t="inlineStr">
        <is>
          <t>Same as Hunnu Daxing + K341. 'Shenyang – Budget' is this flight with the K53 soft sleeper (WATCH).</t>
        </is>
      </c>
    </row>
    <row r="17" ht="45" customHeight="1" s="56">
      <c r="A17" s="118" t="inlineStr">
        <is>
          <t>Shenyang – Hunnu Erenhot</t>
        </is>
      </c>
      <c r="B17" s="116" t="inlineStr">
        <is>
          <t>Sun 15 Nov / Sat 14 Nov</t>
        </is>
      </c>
      <c r="C17" s="116" t="inlineStr">
        <is>
          <t>12 Nov at home (wake ~05:30 on 13 Nov)</t>
        </is>
      </c>
      <c r="D17" s="116" t="inlineStr">
        <is>
          <t>13 Nov T301 hard seat, then registration</t>
        </is>
      </c>
      <c r="E17" s="116" t="inlineStr">
        <is>
          <t>14 Nov Ji Hotel, twin room</t>
        </is>
      </c>
      <c r="F17" s="116" t="inlineStr">
        <is>
          <t>Walk ~15 min, wake ~06:50</t>
        </is>
      </c>
      <c r="G17" s="121" t="inlineStr">
        <is>
          <t>POOR</t>
        </is>
      </c>
      <c r="H17" s="116" t="inlineStr">
        <is>
          <t>Early start plus a seated night before day 1. Flying on 11 Nov instead (same fare) adds two hotel nights and turns it OK.</t>
        </is>
      </c>
    </row>
    <row r="18" ht="45" customHeight="1" s="56">
      <c r="A18" s="118" t="inlineStr">
        <is>
          <t>Shenyang – Hohhot red-eye</t>
        </is>
      </c>
      <c r="B18" s="116" t="inlineStr">
        <is>
          <t>Sun 15 Nov / Sat 14 Nov</t>
        </is>
      </c>
      <c r="C18" s="116" t="inlineStr">
        <is>
          <t>12 Nov T304 hard seat (after a red-eye night, bed ~01:30)</t>
        </is>
      </c>
      <c r="D18" s="116" t="inlineStr">
        <is>
          <t>13 Nov Ji Hotel (arrive 10:16)</t>
        </is>
      </c>
      <c r="E18" s="116" t="inlineStr">
        <is>
          <t>14 Nov Ji Hotel</t>
        </is>
      </c>
      <c r="F18" s="116" t="inlineStr">
        <is>
          <t>Walk ~15 min, wake ~06:50</t>
        </is>
      </c>
      <c r="G18" s="121" t="inlineStr">
        <is>
          <t>WATCH</t>
        </is>
      </c>
      <c r="H18" s="116" t="inlineStr">
        <is>
          <t>Two short or seated nights (11 and 12 Nov) before two hotel nights. T304 hard sleeper (+¥123 pp) helps.</t>
        </is>
      </c>
    </row>
    <row r="19" ht="45" customHeight="1" s="56">
      <c r="A19" s="118" t="inlineStr">
        <is>
          <t>Shenyang – Hohhot + Spring</t>
        </is>
      </c>
      <c r="B19" s="116" t="inlineStr">
        <is>
          <t>Sun 15 Nov / Sat 14 Nov</t>
        </is>
      </c>
      <c r="C19" s="116" t="inlineStr">
        <is>
          <t>12 Nov Ji Hotel (normal wake-up ~08:30; arrive ~22:15, bed ~23:30)</t>
        </is>
      </c>
      <c r="D19" s="116" t="inlineStr">
        <is>
          <t>13 Nov same room, free rest day, no alarm</t>
        </is>
      </c>
      <c r="E19" s="116" t="inlineStr">
        <is>
          <t>14 Nov same room, twin room, ~15 min walk</t>
        </is>
      </c>
      <c r="F19" s="116" t="inlineStr">
        <is>
          <t>Walk ~15 min, wake ~06:50</t>
        </is>
      </c>
      <c r="G19" s="121" t="inlineStr">
        <is>
          <t>BEST</t>
        </is>
      </c>
      <c r="H19" s="116" t="inlineStr">
        <is>
          <t>Same nights as Sleep value; only the first one starts ~1.5 h later. Cheapest plan with no night train and no early start.</t>
        </is>
      </c>
    </row>
    <row r="20" ht="66" customHeight="1" s="56">
      <c r="A20" s="118" t="inlineStr">
        <is>
          <t>Shenyang – Spring via Shanghai</t>
        </is>
      </c>
      <c r="B20" s="116" t="inlineStr">
        <is>
          <t>Sun 15 Nov / Sat 14 Nov</t>
        </is>
      </c>
      <c r="C20" s="116" t="inlineStr">
        <is>
          <t>12 Nov at home (normal night; wake ~08:30 on 13 Nov)</t>
        </is>
      </c>
      <c r="D20" s="116" t="inlineStr">
        <is>
          <t>13 Nov Ji Hotel (arrive ~22:15, bed ~23:15; a missed Shanghai connection means a later flight, bed up to ~01:00)</t>
        </is>
      </c>
      <c r="E20" s="116" t="inlineStr">
        <is>
          <t>14 Nov Ji Hotel, twin room, ~15 min walk</t>
        </is>
      </c>
      <c r="F20" s="116" t="inlineStr">
        <is>
          <t>Walk ~15 min, wake ~06:50</t>
        </is>
      </c>
      <c r="G20" s="121" t="inlineStr">
        <is>
          <t>OK</t>
        </is>
      </c>
      <c r="H20" s="116" t="inlineStr">
        <is>
          <t>No early alarm and no night on a train, but no rest day: it arrives ~22:15 the night before day 1 after a 2 h 05 min self-transfer in Shanghai. If 9C6520 is late, a later Pudong flight lands 21:30–23:50 (still two nights before the contest). Cheapest flights-only way out (₮44k pp less than Hohhot + Spring).</t>
        </is>
      </c>
    </row>
    <row r="21" ht="66" customHeight="1" s="56">
      <c r="A21" s="118" t="inlineStr">
        <is>
          <t>Shanghai – Sleeper</t>
        </is>
      </c>
      <c r="B21" s="116" t="inlineStr">
        <is>
          <t>Sun 6 Dec / Sat 5 Dec</t>
        </is>
      </c>
      <c r="C21" s="116" t="inlineStr">
        <is>
          <t>3 Dec Hi Inn (2 rooms) (after a 04:30 start for MIAT 07:30; arrive 17:35)</t>
        </is>
      </c>
      <c r="D21" s="116" t="inlineStr">
        <is>
          <t>4 Dec Hi Inn, free day</t>
        </is>
      </c>
      <c r="E21" s="116" t="inlineStr">
        <is>
          <t>5 Dec Hi Inn, 1.8 km</t>
        </is>
      </c>
      <c r="F21" s="116" t="inlineStr">
        <is>
          <t>Walk ~25 min or a ¥15 taxi, wake ~07:00</t>
        </is>
      </c>
      <c r="G21" s="119" t="inlineStr">
        <is>
          <t>BEST</t>
        </is>
      </c>
      <c r="H21" s="116" t="inlineStr">
        <is>
          <t>D8 is after the contest: now a 2nd-class seat (¥361, sleeper was ¥440). Two cheap rooms (Hi Inn) replace the apartment: total ₮7.15M.</t>
        </is>
      </c>
    </row>
    <row r="22" ht="66" customHeight="1" s="56">
      <c r="A22" s="118" t="inlineStr">
        <is>
          <t>Shanghai – Spring nonstop</t>
        </is>
      </c>
      <c r="B22" s="116" t="inlineStr">
        <is>
          <t>Sun 6 Dec / Sat 5 Dec</t>
        </is>
      </c>
      <c r="C22" s="116" t="inlineStr">
        <is>
          <t>2–3 Dec Jenny's</t>
        </is>
      </c>
      <c r="D22" s="116" t="inlineStr">
        <is>
          <t>4 Dec Jenny's</t>
        </is>
      </c>
      <c r="E22" s="116" t="inlineStr">
        <is>
          <t>5 Dec Jenny's</t>
        </is>
      </c>
      <c r="F22" s="116" t="inlineStr">
        <is>
          <t>Walk ~15 min</t>
        </is>
      </c>
      <c r="G22" s="119" t="inlineStr">
        <is>
          <t>BEST</t>
        </is>
      </c>
      <c r="H22" s="116" t="inlineStr">
        <is>
          <t>Five bed nights before the contest (more than needed). The 08:00 flight on 8 Dec is after the contest, so the 05:00 start does not matter.</t>
        </is>
      </c>
    </row>
    <row r="23" ht="70" customHeight="1" s="56">
      <c r="A23" s="118" t="inlineStr">
        <is>
          <t>Shanghai – Nonstop cheap rooms</t>
        </is>
      </c>
      <c r="B23" s="116" t="inlineStr">
        <is>
          <t>Sun 6 Dec / Sat 5 Dec</t>
        </is>
      </c>
      <c r="C23" s="116" t="inlineStr">
        <is>
          <t>1 Dec Hi Inn (arrive 17:00, bed ~22:00)</t>
        </is>
      </c>
      <c r="D23" s="116" t="inlineStr">
        <is>
          <t>2–4 Dec Hi Inn, free days</t>
        </is>
      </c>
      <c r="E23" s="116" t="inlineStr">
        <is>
          <t>5 Dec Hi Inn, 2 rooms, 1.8 km</t>
        </is>
      </c>
      <c r="F23" s="116" t="inlineStr">
        <is>
          <t>Walk ~25 min or a ¥15 taxi, wake ~06:45</t>
        </is>
      </c>
      <c r="G23" s="119" t="inlineStr">
        <is>
          <t>BEST</t>
        </is>
      </c>
      <c r="H23" s="116" t="inlineStr">
        <is>
          <t>Same five bed nights before the contest as 'Spring nonstop' for much less: two rooms with beds for everyone (8.9 from 423 reviews) instead of one apartment room for three. The 08:00 flight on 8 Dec is after the contest.</t>
        </is>
      </c>
    </row>
    <row r="24" ht="70" customHeight="1" s="56">
      <c r="A24" s="118" t="inlineStr">
        <is>
          <t>Shanghai – Fly out, train home</t>
        </is>
      </c>
      <c r="B24" s="116" t="inlineStr">
        <is>
          <t>Sun 6 Dec / Sat 5 Dec</t>
        </is>
      </c>
      <c r="C24" s="116" t="inlineStr">
        <is>
          <t>1 Dec Hi Inn (arrive 17:00)</t>
        </is>
      </c>
      <c r="D24" s="116" t="inlineStr">
        <is>
          <t>2–4 Dec Hi Inn</t>
        </is>
      </c>
      <c r="E24" s="116" t="inlineStr">
        <is>
          <t>5 Dec Hi Inn, 2 rooms, 1.8 km</t>
        </is>
      </c>
      <c r="F24" s="116" t="inlineStr">
        <is>
          <t>Walk ~25 min or a ¥15 taxi, wake ~06:45</t>
        </is>
      </c>
      <c r="G24" s="119" t="inlineStr">
        <is>
          <t>BEST</t>
        </is>
      </c>
      <c r="H24" s="116" t="inlineStr">
        <is>
          <t>Everything before the contest is identical to the cheap-rooms plan. The D10 seat (21:05) and the Beijing flight are after the awards, so only comfort is lost (~12 h seated, ~75 min to PEK at 09:24).</t>
        </is>
      </c>
    </row>
    <row r="25" ht="66" customHeight="1" s="56">
      <c r="A25" s="118" t="inlineStr">
        <is>
          <t>Shanghai – Train (no sleeper)</t>
        </is>
      </c>
      <c r="B25" s="116" t="inlineStr">
        <is>
          <t>Sun 6 Dec / Sat 5 Dec</t>
        </is>
      </c>
      <c r="C25" s="116" t="inlineStr">
        <is>
          <t>3 Dec Hi Inn</t>
        </is>
      </c>
      <c r="D25" s="116" t="inlineStr">
        <is>
          <t>4 Dec Hi Inn</t>
        </is>
      </c>
      <c r="E25" s="116" t="inlineStr">
        <is>
          <t>5 Dec Hi Inn</t>
        </is>
      </c>
      <c r="F25" s="116" t="inlineStr">
        <is>
          <t>Walk ~25 min or a ¥15 taxi</t>
        </is>
      </c>
      <c r="G25" s="119" t="inlineStr">
        <is>
          <t>BEST</t>
        </is>
      </c>
      <c r="H25" s="116" t="inlineStr">
        <is>
          <t>Identical before the contest; the Beijing hotel night after it costs +0.6M more for nothing – use the sleeper plan.</t>
        </is>
      </c>
    </row>
    <row r="26" ht="66" customHeight="1" s="56">
      <c r="A26" s="118" t="inlineStr">
        <is>
          <t>Nanchang – Sleeper</t>
        </is>
      </c>
      <c r="B26" s="116" t="inlineStr">
        <is>
          <t>Sun 20 Dec / Sat 19 Dec</t>
        </is>
      </c>
      <c r="C26" s="116" t="inlineStr">
        <is>
          <t>17 Dec Z111 hard sleeper 23:06–11:52 (~5–6 h, broken)</t>
        </is>
      </c>
      <c r="D26" s="116" t="inlineStr">
        <is>
          <t>18 Dec Orange Hotel, arrive 11:52 → nap</t>
        </is>
      </c>
      <c r="E26" s="116" t="inlineStr">
        <is>
          <t>19 Dec Orange Hotel, 0.7 km</t>
        </is>
      </c>
      <c r="F26" s="116" t="inlineStr">
        <is>
          <t>Walk ~10–15 min, wake ~07:00</t>
        </is>
      </c>
      <c r="G26" s="121" t="inlineStr">
        <is>
          <t>OK</t>
        </is>
      </c>
      <c r="H26" s="116" t="inlineStr">
        <is>
          <t>Two hotel nights sit between the sleeper and the contest. D136 home is after the contest: now a 2nd-class seat (¥271, sleeper was ¥382). Soft sleeper on Z111 (+¥168 pp, ~₮0.3M) is the upgrade. Total ₮6.3M.</t>
        </is>
      </c>
    </row>
    <row r="27" ht="66" customHeight="1" s="56">
      <c r="A27" s="118" t="inlineStr">
        <is>
          <t>Nanchang – Comfort</t>
        </is>
      </c>
      <c r="B27" s="116" t="inlineStr">
        <is>
          <t>Sun 20 Dec / Sat 19 Dec</t>
        </is>
      </c>
      <c r="C27" s="116" t="inlineStr">
        <is>
          <t>17 Dec Orange Hotel (after a 04:30 start; arrive 17:52)</t>
        </is>
      </c>
      <c r="D27" s="116" t="inlineStr">
        <is>
          <t>18 Dec Orange Hotel</t>
        </is>
      </c>
      <c r="E27" s="116" t="inlineStr">
        <is>
          <t>19 Dec Orange Hotel</t>
        </is>
      </c>
      <c r="F27" s="116" t="inlineStr">
        <is>
          <t>Walk ~10–15 min</t>
        </is>
      </c>
      <c r="G27" s="119" t="inlineStr">
        <is>
          <t>BEST</t>
        </is>
      </c>
      <c r="H27" s="116" t="inlineStr">
        <is>
          <t>Three bed nights; +1.6M vs the sleeper plan.</t>
        </is>
      </c>
    </row>
    <row r="28" ht="66" customHeight="1" s="56">
      <c r="A28" s="118" t="inlineStr">
        <is>
          <t>Nanchang – Fly in (Air China)</t>
        </is>
      </c>
      <c r="B28" s="116" t="inlineStr">
        <is>
          <t>Sun 20 Dec / Sat 19 Dec</t>
        </is>
      </c>
      <c r="C28" s="116" t="inlineStr">
        <is>
          <t>17 Dec Orange Hotel (lands 21:40, bed ~23:00)</t>
        </is>
      </c>
      <c r="D28" s="116" t="inlineStr">
        <is>
          <t>18 Dec Orange Hotel</t>
        </is>
      </c>
      <c r="E28" s="116" t="inlineStr">
        <is>
          <t>19 Dec Orange Hotel</t>
        </is>
      </c>
      <c r="F28" s="116" t="inlineStr">
        <is>
          <t>Walk ~10–15 min</t>
        </is>
      </c>
      <c r="G28" s="119" t="inlineStr">
        <is>
          <t>BEST</t>
        </is>
      </c>
      <c r="H28" s="116" t="inlineStr">
        <is>
          <t>No early start at all; +2.1M vs the sleeper plan.</t>
        </is>
      </c>
    </row>
    <row r="29" ht="66" customHeight="1" s="56">
      <c r="A29" s="118" t="inlineStr">
        <is>
          <t>Hong Kong – Budget</t>
        </is>
      </c>
      <c r="B29" s="116" t="inlineStr">
        <is>
          <t>Sun 10 Jan / Sat 9 Jan</t>
        </is>
      </c>
      <c r="C29" s="116" t="inlineStr">
        <is>
          <t>7 Jan at home (wake ~04:00 on 8 Jan for MIAT 07:15)</t>
        </is>
      </c>
      <c r="D29" s="116" t="inlineStr">
        <is>
          <t>8 Jan Chungking Mansion guesthouse, 3 in one small room</t>
        </is>
      </c>
      <c r="E29" s="116" t="inlineStr">
        <is>
          <t>9 Jan same room</t>
        </is>
      </c>
      <c r="F29" s="116" t="inlineStr">
        <is>
          <t>MTR ~35 min, wake ~06:15</t>
        </is>
      </c>
      <c r="G29" s="120" t="inlineStr">
        <is>
          <t>WATCH</t>
        </is>
      </c>
      <c r="H29" s="116" t="inlineStr">
        <is>
          <t>Cheapest, but small noisy rooms, three people in one room and a long commute are the worst pre-contest sleep of any plan. Use Value or Sleep first for the nights of 8 and 9 Jan.</t>
        </is>
      </c>
    </row>
    <row r="30" ht="66" customHeight="1" s="56">
      <c r="A30" s="118" t="inlineStr">
        <is>
          <t>Hong Kong – Comfort</t>
        </is>
      </c>
      <c r="B30" s="116" t="inlineStr">
        <is>
          <t>Sun 10 Jan / Sat 9 Jan</t>
        </is>
      </c>
      <c r="C30" s="116" t="inlineStr">
        <is>
          <t>7 Jan at home (04:00 start on 8 Jan)</t>
        </is>
      </c>
      <c r="D30" s="116" t="inlineStr">
        <is>
          <t>8 Jan Best Western Plus, Sai Ying Pun</t>
        </is>
      </c>
      <c r="E30" s="116" t="inlineStr">
        <is>
          <t>9 Jan same</t>
        </is>
      </c>
      <c r="F30" s="116" t="inlineStr">
        <is>
          <t>Walk / 1 MTR stop ~10–15 min</t>
        </is>
      </c>
      <c r="G30" s="121" t="inlineStr">
        <is>
          <t>OK</t>
        </is>
      </c>
      <c r="H30" s="116" t="inlineStr">
        <is>
          <t>Close to HKU but rated only 7.4 (4,583 reviews) – read the noise reviews before booking.</t>
        </is>
      </c>
    </row>
    <row r="31" ht="66" customHeight="1" s="56">
      <c r="A31" s="118" t="inlineStr">
        <is>
          <t>Hong Kong – Value</t>
        </is>
      </c>
      <c r="B31" s="116" t="inlineStr">
        <is>
          <t>Sun 10 Jan / Sat 9 Jan</t>
        </is>
      </c>
      <c r="C31" s="116" t="inlineStr">
        <is>
          <t>7 Jan at home (04:00 start)</t>
        </is>
      </c>
      <c r="D31" s="116" t="inlineStr">
        <is>
          <t>8 Jan Kusa Inn (9.6, 15 reviews), Kowloon</t>
        </is>
      </c>
      <c r="E31" s="116" t="inlineStr">
        <is>
          <t>9 Jan same</t>
        </is>
      </c>
      <c r="F31" s="116" t="inlineStr">
        <is>
          <t>MTR ~35 min, wake ~06:15</t>
        </is>
      </c>
      <c r="G31" s="121" t="inlineStr">
        <is>
          <t>OK</t>
        </is>
      </c>
      <c r="H31" s="116" t="inlineStr">
        <is>
          <t>Better-rated room for the same money, but few reviews and the same 35-min commute.</t>
        </is>
      </c>
    </row>
    <row r="32" ht="66" customHeight="1" s="56">
      <c r="A32" s="118" t="inlineStr">
        <is>
          <t>Hong Kong – Sleep first</t>
        </is>
      </c>
      <c r="B32" s="116" t="inlineStr">
        <is>
          <t>Sun 10 Jan / Sat 9 Jan</t>
        </is>
      </c>
      <c r="C32" s="116" t="inlineStr">
        <is>
          <t>7 Jan at home (04:00 start; arrive 11:50 and nap)</t>
        </is>
      </c>
      <c r="D32" s="116" t="inlineStr">
        <is>
          <t>8 Jan iclub AMTD Sheung Wan, 2 rooms</t>
        </is>
      </c>
      <c r="E32" s="116" t="inlineStr">
        <is>
          <t>9 Jan same, 2 MTR stops to HKU</t>
        </is>
      </c>
      <c r="F32" s="116" t="inlineStr">
        <is>
          <t>MTR ~10–15 min, wake ~07:00</t>
        </is>
      </c>
      <c r="G32" s="119" t="inlineStr">
        <is>
          <t>BEST</t>
        </is>
      </c>
      <c r="H32" s="116" t="inlineStr">
        <is>
          <t>Two rooms in an 8.6-rated hotel: ₮2.55M (3 ppl) / ₮2.33M (4 ppl) vs Budget (₮11.63M / ₮14.45M total). Over the ₮12M with the coach.</t>
        </is>
      </c>
    </row>
    <row r="33" ht="66" customHeight="1" s="56">
      <c r="A33" s="118" t="inlineStr">
        <is>
          <t>Hong Kong – Funded 12M (funded regional)</t>
        </is>
      </c>
      <c r="B33" s="116" t="inlineStr">
        <is>
          <t>Sun 10 Jan / Sat 9 Jan</t>
        </is>
      </c>
      <c r="C33" s="116" t="inlineStr">
        <is>
          <t>7 Jan at home (04:00 start; arrive 11:50, nap)</t>
        </is>
      </c>
      <c r="D33" s="116" t="inlineStr">
        <is>
          <t>8 Jan Best Western Plus, Sai Ying Pun, 2 rooms (2 beds each)</t>
        </is>
      </c>
      <c r="E33" s="116" t="inlineStr">
        <is>
          <t>9 Jan same, ~540 m to HKU</t>
        </is>
      </c>
      <c r="F33" s="116" t="inlineStr">
        <is>
          <t>Walk ~10 min, wake ~07:00</t>
        </is>
      </c>
      <c r="G33" s="121" t="inlineStr">
        <is>
          <t>OK</t>
        </is>
      </c>
      <c r="H33" s="116" t="inlineStr">
        <is>
          <t>Fits ₮12M only before the 10% contingency (~₮11.7M). Separate beds and no commute; the hotel is rated 7.4–8.2, so read noise reviews. Cheaper alternative with separate beds: Good Fortune Inn (8.6, 4 twin beds) but ~35 min MTR.</t>
        </is>
      </c>
    </row>
    <row r="34" ht="78" customHeight="1" s="56">
      <c r="A34" s="118" t="inlineStr">
        <is>
          <t>Hong Kong – Sleep priority (funded regional)</t>
        </is>
      </c>
      <c r="B34" s="116" t="inlineStr">
        <is>
          <t>Sun 10 Jan / Sat 9 Jan</t>
        </is>
      </c>
      <c r="C34" s="116" t="inlineStr">
        <is>
          <t>7 Jan at home (04:00 start; arrive 11:50, nap)</t>
        </is>
      </c>
      <c r="D34" s="116" t="inlineStr">
        <is>
          <t>8 Jan Good Fortune Inn: 2 rooms, 4 twin beds, private bathrooms</t>
        </is>
      </c>
      <c r="E34" s="116" t="inlineStr">
        <is>
          <t>9 Jan same</t>
        </is>
      </c>
      <c r="F34" s="116" t="inlineStr">
        <is>
          <t>MTR ~35–40 min, wake ~06:15 (lights out 22:30 = 7.75 h)</t>
        </is>
      </c>
      <c r="G34" s="121" t="inlineStr">
        <is>
          <t>OK</t>
        </is>
      </c>
      <c r="H34"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35" ht="66" customHeight="1" s="56">
      <c r="A35" s="118" t="inlineStr">
        <is>
          <t>EC Final – Train</t>
        </is>
      </c>
      <c r="B35" s="116" t="inlineStr">
        <is>
          <t>Wed 27 Jan / Tue 26 Jan</t>
        </is>
      </c>
      <c r="C35" s="116" t="inlineStr">
        <is>
          <t>24 Jan at home</t>
        </is>
      </c>
      <c r="D35" s="116" t="inlineStr">
        <is>
          <t>25 Jan D17 2nd-class sleeper 19:10–09:15 (4-berth cabin, ~6 h) → arrive on day 1</t>
        </is>
      </c>
      <c r="E35" s="116" t="inlineStr">
        <is>
          <t>26 Jan HanTing, 1.6 km</t>
        </is>
      </c>
      <c r="F35" s="116" t="inlineStr">
        <is>
          <t>Walk ~20 min, wake ~07:00</t>
        </is>
      </c>
      <c r="G35" s="120" t="inlineStr">
        <is>
          <t>WATCH</t>
        </is>
      </c>
      <c r="H35" s="116" t="inlineStr">
        <is>
          <t>The sleeper is the night before the check-in / warm-up day (not the contest day), with a hotel night in between. Safer: leave Beijing 24 Jan (one more hotel night, ~₮0.35M) or take the afternoon G-train + hotel (old plan, ~+₮0.44M).</t>
        </is>
      </c>
    </row>
    <row r="36" ht="66" customHeight="1" s="56">
      <c r="A36" s="118" t="inlineStr">
        <is>
          <t>EC Final – Fly</t>
        </is>
      </c>
      <c r="B36" s="116" t="inlineStr">
        <is>
          <t>Wed 27 Jan / Tue 26 Jan</t>
        </is>
      </c>
      <c r="C36" s="116" t="inlineStr">
        <is>
          <t>24 Jan at home (wake ~03:30 on 25 Jan for Aero Mongolia 06:30)</t>
        </is>
      </c>
      <c r="D36" s="116" t="inlineStr">
        <is>
          <t>25 Jan Mehood Theater Hotel (arrive ~13:40; nap)</t>
        </is>
      </c>
      <c r="E36" s="116" t="inlineStr">
        <is>
          <t>26 Jan same, 1.7 km</t>
        </is>
      </c>
      <c r="F36" s="116" t="inlineStr">
        <is>
          <t>Walk ~20 min</t>
        </is>
      </c>
      <c r="G36" s="121" t="inlineStr">
        <is>
          <t>OK</t>
        </is>
      </c>
      <c r="H36" s="116" t="inlineStr">
        <is>
          <t>Early start two nights before; arrives early afternoon, then two hotel nights.</t>
        </is>
      </c>
    </row>
    <row r="37" ht="66" customHeight="1" s="56">
      <c r="A37" s="118" t="inlineStr">
        <is>
          <t>Nanjing + Shenyang (older workbook A / B)</t>
        </is>
      </c>
      <c r="B37" s="116" t="inlineStr">
        <is>
          <t>Nanjing Sun 8 Nov; Shenyang Sun 15 Nov</t>
        </is>
      </c>
      <c r="C37" s="116" t="inlineStr">
        <is>
          <t>6 Nov Beijing hotel after MIAT lands 19:30, wake ~06:00 for the G-train</t>
        </is>
      </c>
      <c r="D37" s="116" t="inlineStr">
        <is>
          <t>7 Nov Nanjing hotel (A 1 km, B 15 min metro)</t>
        </is>
      </c>
      <c r="E37" s="116" t="inlineStr">
        <is>
          <t>Shenyang: Z366 sleeper 12 Nov → hotels 13 and 14 Nov</t>
        </is>
      </c>
      <c r="F37" s="116" t="inlineStr">
        <is>
          <t>Nanjing walk / Shenyang walk</t>
        </is>
      </c>
      <c r="G37" s="121" t="inlineStr">
        <is>
          <t>OK</t>
        </is>
      </c>
      <c r="H37" s="116" t="inlineStr">
        <is>
          <t>K54 home after the Shenyang contest is now a hard sleeper (soft was ¥263). Plan C (home between) uses K53 soft sleeper on 13 Nov = night before day 1 (WATCH).</t>
        </is>
      </c>
    </row>
    <row r="38" s="56">
      <c r="A38"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9" s="56">
      <c r="A39" s="122" t="inlineStr">
        <is>
          <t>Where the money goes (use the headroom on sleep)</t>
        </is>
      </c>
    </row>
    <row r="40" ht="36" customHeight="1" s="56">
      <c r="A40"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41" ht="36" customHeight="1" s="56">
      <c r="A41" s="116" t="inlineStr">
        <is>
          <t>Pre-contest upgrades applied: Shenyang Budget K53 hard → soft; Hong Kong Sleep first (2 rooms near HKU). Post-contest downgrades applied: Shenyang K54 soft → hard, Shanghai D8 sleeper → seat, Nanchang D136 sleeper → seat.</t>
        </is>
      </c>
    </row>
    <row r="42" ht="36" customHeight="1" s="56">
      <c r="A42" s="116" t="inlineStr">
        <is>
          <t>Cheapest post-contest options if you want to go further: Nanchang Z182 20:01 → 08:46 hard seat (¥173.5 vs ¥271); Shanghai G808 17:25 is too early after the awards, so the D8 seat stays.</t>
        </is>
      </c>
    </row>
    <row r="43" ht="36" customHeight="1" s="56">
      <c r="A43" s="116" t="inlineStr">
        <is>
          <t>Contest-day wake-up rule of thumb: bed by 22:30–23:00, up by 06:00–06:30 for a 09:00 start; avoid alcohol and late team dinners; no phone-based all-nighters on day 1.</t>
        </is>
      </c>
    </row>
  </sheetData>
  <mergeCells count="5">
    <mergeCell ref="A43:H43"/>
    <mergeCell ref="A2:H2"/>
    <mergeCell ref="A42:H42"/>
    <mergeCell ref="A41:H41"/>
    <mergeCell ref="A40:H40"/>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first</t>
        </is>
      </c>
    </row>
    <row r="2" ht="15" customHeight="1" s="56">
      <c r="A2" s="62" t="inlineStr">
        <is>
          <t>Sleep first before the contest, cheapest after: no early alarm (Air China 11:50), three nights in the same quiet hotel next to the venue with a bed each;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51" customHeight="1" s="56">
      <c r="B16" s="111" t="inlineStr">
        <is>
          <t>NEU International Hotel, 80 Wenti West Rd (~580 m to NEU Nanhu): 2 Superior Twin rooms, 38 m², floors 5–10 – a bed each</t>
        </is>
      </c>
      <c r="C16" s="83" t="inlineStr">
        <is>
          <t>12–15 Nov (3 nights)</t>
        </is>
      </c>
      <c r="D16" s="84" t="n"/>
      <c r="E16" s="85" t="n">
        <v>796</v>
      </c>
      <c r="F16" s="86" t="inlineStr">
        <is>
          <t>CNY</t>
        </is>
      </c>
      <c r="G16" s="91" t="n">
        <v>3</v>
      </c>
      <c r="H16" s="88">
        <f>E16*G16*IF(F16="USD",Compare!$B$8,IF(F16="CNY",Compare!$B$9,IF(F16="HKD",Compare!$B$10,1)))</f>
        <v/>
      </c>
      <c r="I16" s="85" t="n">
        <v>796</v>
      </c>
      <c r="J16" s="91" t="n">
        <v>3</v>
      </c>
      <c r="K16" s="88">
        <f>I16*J16*IF(F16="USD",Compare!$B$8,IF(F16="CNY",Compare!$B$9,IF(F16="HKD",Compare!$B$10,1)))</f>
        <v/>
      </c>
      <c r="L16" s="112" t="inlineStr">
        <is>
          <t>Trip.com 22 Oct: ¥2,388 for 2 rooms × 3 nights incl. taxes, free cancellation, pay at hotel; same price for 3 or 4 adults. 9.7 from 1,998 reviews (no negative review in 2 years; campus/river views). Shown as a 30% 'Surprise Savings' rate (list ¥547 per room-night = ¥3,282) – book soon.</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45" customHeight="1" s="56">
      <c r="A43" s="75" t="inlineStr">
        <is>
          <t>Why this plan</t>
        </is>
      </c>
      <c r="B43" s="74" t="inlineStr">
        <is>
          <t>Sleep quantity: nobody wakes before ~08:00 on any day before the contest (Air China 11:50 instead of MIAT 07:30), and there are three hotel nights before the contest with a free rest day on 13 Nov. Sleep quality: the same room all three nights, two twin rooms so everyone has their own bed, the best-rated hotel next to the campus (9.7), and a 7-minute walk on contest morning.</t>
        </is>
      </c>
    </row>
    <row r="44" ht="30" customHeight="1" s="56">
      <c r="A44" s="75" t="inlineStr">
        <is>
          <t>Trade-off</t>
        </is>
      </c>
      <c r="B44" s="74" t="inlineStr">
        <is>
          <t>After the contest it is the cheapest way home: a night sitting up on the K28 (hard sleeper K54 is +¥59 pp) and the cheapest flight. Hotel luggage storage on 15 Nov (check-out before the contest). 'Shenyang – Sleep value' is the same plan with a cheaper twin-room hotel 15 min away.</t>
        </is>
      </c>
    </row>
    <row r="45" ht="15" customHeight="1" s="56">
      <c r="A45" s="75" t="inlineStr">
        <is>
          <t>Book</t>
        </is>
      </c>
      <c r="B45" s="74" t="inlineStr">
        <is>
          <t>Air China CA902 on Ctrip now (¥1,291; Trip.com $203 as fallback); hotel now (free cancellation);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NEU International Hotel. Bed by ~23:00.</t>
        </is>
      </c>
    </row>
    <row r="50" ht="15" customHeight="1" s="56">
      <c r="A50" s="74" t="inlineStr">
        <is>
          <t>Fri 13 Nov</t>
        </is>
      </c>
      <c r="B50" s="74" t="inlineStr">
        <is>
          <t>Shenyang</t>
        </is>
      </c>
      <c r="C50" s="74" t="inlineStr">
        <is>
          <t>Free rest day: no alarm, light practice, walk the 7-minute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~07:00, walk 7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~7 min walk (NEU International Hotel, 580 m)</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value</t>
        </is>
      </c>
    </row>
    <row r="2" ht="15" customHeight="1" s="56">
      <c r="A2" s="62" t="inlineStr">
        <is>
          <t>Same sleep-first timing as 'Sleep first' (Air China 11:50, three nights before the contest, a bed each) in a cheaper twin-room hotel ~15 min walk from the venue;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12–15 Nov (3 nights)</t>
        </is>
      </c>
      <c r="D16" s="84" t="n"/>
      <c r="E16" s="85" t="n">
        <v>457</v>
      </c>
      <c r="F16" s="86" t="inlineStr">
        <is>
          <t>CNY</t>
        </is>
      </c>
      <c r="G16" s="91" t="n">
        <v>3</v>
      </c>
      <c r="H16" s="88">
        <f>E16*G16*IF(F16="USD",Compare!$B$8,IF(F16="CNY",Compare!$B$9,IF(F16="HKD",Compare!$B$10,1)))</f>
        <v/>
      </c>
      <c r="I16" s="85" t="n">
        <v>457</v>
      </c>
      <c r="J16" s="91" t="n">
        <v>3</v>
      </c>
      <c r="K16" s="88">
        <f>I16*J16*IF(F16="USD",Compare!$B$8,IF(F16="CNY",Compare!$B$9,IF(F16="HKD",Compare!$B$10,1)))</f>
        <v/>
      </c>
      <c r="L16" s="112" t="inlineStr">
        <is>
          <t>Trip.com 22 Oct: ¥1,371 for 2 rooms × 3 nights incl. taxes, free cancellation until 18:00 on 11 Nov (prepay); same price for 3 or 4 adults. 9.0 from 1,433 reviews; 16 m² rooms high in an office tower, above the street. Breakfast ¥40 optional.</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Same sleep quantity as 'Sleep first' (no alarm before ~08:00, three hotel nights, rest day on 13 Nov) and still a bed each: two twin rooms with King Koil mattresses (Huazhu's Ji Hotel, 9.0 from 1,433 reviews) high in an office tower, for ¥1,017 less than NEU International.</t>
        </is>
      </c>
    </row>
    <row r="44" ht="30" customHeight="1" s="56">
      <c r="A44" s="75" t="inlineStr">
        <is>
          <t>Trade-off</t>
        </is>
      </c>
      <c r="B44" s="74" t="inlineStr">
        <is>
          <t>Smaller rooms (16 m² vs 38 m²) and a ~15-minute walk (wake ~06:50 instead of 07:00). After the contest the same cheapest way home: K28 hard seat (K54 hard sleeper +¥59 pp) and Air China 12:55.</t>
        </is>
      </c>
    </row>
    <row r="45" ht="15" customHeight="1" s="56">
      <c r="A45" s="75" t="inlineStr">
        <is>
          <t>Book</t>
        </is>
      </c>
      <c r="B45" s="74" t="inlineStr">
        <is>
          <t>Air China CA902 on Ctrip now (¥1,291; Trip.com $203 as fallback); hotel now (free cancellation until 18:00 on 11 Nov, prepaid);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Ji Hotel Sanhao Street. Bed by ~23:00.</t>
        </is>
      </c>
    </row>
    <row r="50" ht="15" customHeight="1" s="56">
      <c r="A50" s="74" t="inlineStr">
        <is>
          <t>Fri 13 Nov</t>
        </is>
      </c>
      <c r="B50" s="74" t="inlineStr">
        <is>
          <t>Shenyang</t>
        </is>
      </c>
      <c r="C50" s="74" t="inlineStr">
        <is>
          <t>Free rest day: no alarm, light practice, walk the ~15-minute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 (Ji Hotel, 940 m straight line)</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home</t>
        </is>
      </c>
    </row>
    <row r="2" ht="15" customHeight="1" s="56">
      <c r="A2" s="62" t="inlineStr">
        <is>
          <t>'Sleep value' out (Air China 11:50, three nights before the contest, a bed each), then the cheapest way home overland: night trains via Hohhot to Erenhot, jeep across the border, UBTZ sleeper to Ulaanbaatar (home 18 Nov).</t>
        </is>
      </c>
    </row>
    <row r="4" ht="15" customHeight="1" s="56">
      <c r="A4" s="60" t="inlineStr">
        <is>
          <t>Days in destination (meals &amp; local transport)</t>
        </is>
      </c>
      <c r="B4" s="76" t="n">
        <v>5.5</v>
      </c>
      <c r="C4" s="62" t="inlineStr">
        <is>
          <t>12 Nov afternoon → 18 Nov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s="56">
      <c r="A11" s="79" t="inlineStr">
        <is>
          <t>Trains &amp; border crossing</t>
        </is>
      </c>
      <c r="B11" s="80" t="n"/>
      <c r="C11" s="80" t="n"/>
      <c r="D11" s="80" t="n"/>
      <c r="E11" s="80" t="n"/>
      <c r="F11" s="80" t="n"/>
      <c r="G11" s="80" t="n"/>
      <c r="H11" s="80" t="n"/>
      <c r="I11" s="80" t="n"/>
      <c r="J11" s="80" t="n"/>
      <c r="K11" s="80" t="n"/>
      <c r="L11" s="80" t="n"/>
    </row>
    <row r="12" ht="75" customHeight="1" s="56">
      <c r="B12" s="111" t="inlineStr">
        <is>
          <t>High-speed rail G153 Beijing Chaoyang 17:27 → Shenyang 20:04, 2nd class</t>
        </is>
      </c>
      <c r="C12" s="83" t="inlineStr">
        <is>
          <t>12 Nov (evening)</t>
        </is>
      </c>
      <c r="D12" s="84" t="n">
        <v>0.1090277777777778</v>
      </c>
      <c r="E12" s="85" t="n">
        <v>369</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3" ht="39" customHeight="1" s="56">
      <c r="B13" s="111" t="inlineStr">
        <is>
          <t>Overnight train K1568 Shenyang 22:50 → Hohhot 17:02 (+1), hard sleeper (after the contest)</t>
        </is>
      </c>
      <c r="C13" s="83" t="inlineStr">
        <is>
          <t>15–16 Nov</t>
        </is>
      </c>
      <c r="D13" s="84" t="n">
        <v>0.7583333333333333</v>
      </c>
      <c r="E13" s="85" t="n">
        <v>304.5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hard sleeper ¥304.5, hard seat ¥177.5, soft ¥476.5 (to Hohhot East 16:27: ¥296.5). ChinaTicketOnline confirms 15 Nov, on sale 1 Nov 09:30.</t>
        </is>
      </c>
    </row>
    <row r="14" ht="39" customHeight="1" s="56">
      <c r="B14" s="111" t="inlineStr">
        <is>
          <t>Overnight train 4652 Hohhot 22:50 → Erenhot 06:50, hard sleeper</t>
        </is>
      </c>
      <c r="C14" s="83" t="inlineStr">
        <is>
          <t>16–17 Nov</t>
        </is>
      </c>
      <c r="D14" s="84" t="n">
        <v>0.3333333333333333</v>
      </c>
      <c r="E14" s="85" t="n">
        <v>115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sleeper ¥115, hard seat ¥61. Daily; ChinaTicketOnline confirms 16 Nov, on sale 2 Nov 14:00. ~6 h wait in Hohhot after K1568 (dinner).</t>
        </is>
      </c>
    </row>
    <row r="15" ht="39" customHeight="1" s="56">
      <c r="B15" s="111" t="inlineStr">
        <is>
          <t>Shared jeep Erenhot → Zamyn-Uud across the border</t>
        </is>
      </c>
      <c r="C15" s="83" t="inlineStr">
        <is>
          <t>17 Nov (morning)</t>
        </is>
      </c>
      <c r="D15" s="84" t="n">
        <v>0.125</v>
      </c>
      <c r="E15" s="113" t="n">
        <v>100</v>
      </c>
      <c r="F15" s="86" t="inlineStr">
        <is>
          <t>CNY</t>
        </is>
      </c>
      <c r="G15" s="87">
        <f>Compare!$B$6</f>
        <v/>
      </c>
      <c r="H15" s="88">
        <f>E15*G15*IF(F15="USD",Compare!$B$8,IF(F15="CNY",Compare!$B$9,IF(F15="HKD",Compare!$B$10,1)))</f>
        <v/>
      </c>
      <c r="I15" s="114">
        <f>E15</f>
        <v/>
      </c>
      <c r="J15" s="87">
        <f>Compare!$B$7</f>
        <v/>
      </c>
      <c r="K15" s="88">
        <f>I15*J15*IF(F15="USD",Compare!$B$8,IF(F15="CNY",Compare!$B$9,IF(F15="HKD",Compare!$B$10,1)))</f>
        <v/>
      </c>
      <c r="L15" s="112" t="inlineStr">
        <is>
          <t>ASSUMPTION ¥50–110 pp (Wikivoyage, travel blogs); jeeps wait near Erenhot station. ~3 h includes both border posts (no visa needed for Mongolian passports). Confirm the border hours.</t>
        </is>
      </c>
    </row>
    <row r="16" ht="30" customHeight="1" s="56">
      <c r="B16" s="111" t="inlineStr">
        <is>
          <t>UBTZ train 275 Zamyn-Uud 18:05 → Ulaanbaatar 09:20, platskart sleeper incl. bedding</t>
        </is>
      </c>
      <c r="C16" s="83" t="inlineStr">
        <is>
          <t>17–18 Nov</t>
        </is>
      </c>
      <c r="D16" s="84" t="n">
        <v>0.6354166666666666</v>
      </c>
      <c r="E16" s="85" t="n">
        <v>51400</v>
      </c>
      <c r="F16" s="86" t="inlineStr">
        <is>
          <t>MNT</t>
        </is>
      </c>
      <c r="G16" s="87">
        <f>Compare!$B$6</f>
        <v/>
      </c>
      <c r="H16" s="88">
        <f>E16*G16*IF(F16="USD",Compare!$B$8,IF(F16="CNY",Compare!$B$9,IF(F16="HKD",Compare!$B$10,1)))</f>
        <v/>
      </c>
      <c r="I16" s="89">
        <f>E16</f>
        <v/>
      </c>
      <c r="J16" s="87">
        <f>Compare!$B$7</f>
        <v/>
      </c>
      <c r="K16" s="88">
        <f>I16*J16*IF(F16="USD",Compare!$B$8,IF(F16="CNY",Compare!$B$9,IF(F16="HKD",Compare!$B$10,1)))</f>
        <v/>
      </c>
      <c r="L16" s="112" t="inlineStr">
        <is>
          <t>eticket.ubtz.mn 22 Oct: platskart ₮44,000 + bedding ₮7,400 (seat ₮26,000; kupe ₮73,400 + ₮7,400). Daily; 72 platskart berths free on 17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12–15 Nov (3 nights)</t>
        </is>
      </c>
      <c r="D18" s="84" t="n"/>
      <c r="E18" s="85" t="n">
        <v>457</v>
      </c>
      <c r="F18" s="86" t="inlineStr">
        <is>
          <t>CNY</t>
        </is>
      </c>
      <c r="G18" s="91" t="n">
        <v>3</v>
      </c>
      <c r="H18" s="88">
        <f>E18*G18*IF(F18="USD",Compare!$B$8,IF(F18="CNY",Compare!$B$9,IF(F18="HKD",Compare!$B$10,1)))</f>
        <v/>
      </c>
      <c r="I18" s="85" t="n">
        <v>457</v>
      </c>
      <c r="J18" s="91" t="n">
        <v>3</v>
      </c>
      <c r="K18" s="88">
        <f>I18*J18*IF(F18="USD",Compare!$B$8,IF(F18="CNY",Compare!$B$9,IF(F18="HKD",Compare!$B$10,1)))</f>
        <v/>
      </c>
      <c r="L18" s="112" t="inlineStr">
        <is>
          <t>Trip.com 22 Oct: ¥1,371 for 2 rooms × 3 nights incl. taxes, free cancellation until 18:00 on 11 Nov (prepay); same price for 3 or 4 adults. 9.0 from 1,433 reviews; 16 m² rooms high in an office tower, above the street. Breakfast ¥40 optional.</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Taxi PEK → Beijing Chaoyang station</t>
        </is>
      </c>
      <c r="C22" s="83" t="inlineStr">
        <is>
          <t>12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~40 km (4 ppl may need an XL car)</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Chinggis Khaan airport (UB)</t>
        </is>
      </c>
      <c r="C27" s="83" t="inlineStr">
        <is>
          <t>12 Nov</t>
        </is>
      </c>
      <c r="D27" s="84" t="n">
        <v>0.04166666666666666</v>
      </c>
      <c r="E27" s="113" t="n">
        <v>100000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100k MNT per trip for the group</t>
        </is>
      </c>
    </row>
    <row r="28" ht="30" customHeight="1" s="56">
      <c r="B28" s="111" t="inlineStr">
        <is>
          <t>Taxi Ulaanbaatar railway station → home</t>
        </is>
      </c>
      <c r="C28" s="83" t="inlineStr">
        <is>
          <t>18 Nov</t>
        </is>
      </c>
      <c r="D28" s="84" t="n">
        <v>0.02083333333333333</v>
      </c>
      <c r="E28" s="113" t="n">
        <v>30000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~30k MNT for the group (city trip)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Before the contest it is identical to 'Sleep value' (no alarm before ~08:00, three nights in twin rooms). After the contest it skips the Beijing flight: three night trains (two Chinese hard sleepers + a UBTZ platskart berth) cost less than the flight alone, so it is the cheapest sleep-safe plan.</t>
        </is>
      </c>
    </row>
    <row r="46" ht="30" customHeight="1" s="56">
      <c r="A46" s="75" t="inlineStr">
        <is>
          <t>Trade-off</t>
        </is>
      </c>
      <c r="B46" s="74" t="inlineStr">
        <is>
          <t>Home on 18 Nov at 09:20 instead of 16 Nov 15:05 (2 more days, 2 more days of meals), ~6 h wait in Hohhot, a cold early-morning border crossing at Erenhot (dress for −15 °C). The jeep fare and border hours are not verified.</t>
        </is>
      </c>
    </row>
    <row r="47" ht="30" customHeight="1" s="56">
      <c r="A47" s="75" t="inlineStr">
        <is>
          <t>Book</t>
        </is>
      </c>
      <c r="B47" s="74" t="inlineStr">
        <is>
          <t>Air China CA902 on Ctrip now (¥1,291; Trip.com $203 as fallback); hotel now; G153 on 12306 at 10:00 on 29 Oct; K1568 at 09:30 on 1 Nov; 4652 at 14:00 on 2 Nov; UBTZ 275 on eticket.ubtz.mn (on sale now).</t>
        </is>
      </c>
    </row>
    <row r="48" s="56"/>
    <row r="49" s="56">
      <c r="A49" s="72" t="inlineStr">
        <is>
          <t>Day-by-day plan</t>
        </is>
      </c>
    </row>
    <row r="50" s="56">
      <c r="A50" s="96" t="inlineStr">
        <is>
          <t>Date</t>
        </is>
      </c>
      <c r="B50" s="96" t="inlineStr">
        <is>
          <t>Sleep in</t>
        </is>
      </c>
      <c r="C50" s="96" t="inlineStr">
        <is>
          <t>What happens</t>
        </is>
      </c>
    </row>
    <row r="51" ht="30" customHeight="1" s="56">
      <c r="A51" s="74" t="inlineStr">
        <is>
          <t>Thu 12 Nov</t>
        </is>
      </c>
      <c r="B51" s="74" t="inlineStr">
        <is>
          <t>Shenyang</t>
        </is>
      </c>
      <c r="C51" s="74" t="inlineStr">
        <is>
          <t>Wake ~08:00. Air China CA902 UB 11:50 → Beijing Capital 13:55; taxi to Beijing Chaoyang; G153 17:27 → Shenyang 20:04 (G141 16:00 if early); taxi to Ji Hotel Sanhao Street. Bed by ~23:00.</t>
        </is>
      </c>
    </row>
    <row r="52" ht="15" customHeight="1" s="56">
      <c r="A52" s="74" t="inlineStr">
        <is>
          <t>Fri 13 Nov</t>
        </is>
      </c>
      <c r="B52" s="74" t="inlineStr">
        <is>
          <t>Shenyang</t>
        </is>
      </c>
      <c r="C52" s="74" t="inlineStr">
        <is>
          <t>Free rest day: no alarm, light practice, walk the ~15-minute route to the venue.</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(hard sleeper)</t>
        </is>
      </c>
      <c r="C54" s="74" t="inlineStr">
        <is>
          <t>CONTEST. Wake ~06:50, walk ~15 min. Check out before leaving, luggage stored at the hotel. Awards ~17:00; taxi to Shenyang station; K1568 22:50 hard sleeper → Hohhot.</t>
        </is>
      </c>
    </row>
    <row r="55" ht="15" customHeight="1" s="56">
      <c r="A55" s="74" t="inlineStr">
        <is>
          <t>Mon 16 Nov</t>
        </is>
      </c>
      <c r="B55" s="74" t="inlineStr">
        <is>
          <t>Train (hard sleeper)</t>
        </is>
      </c>
      <c r="C55" s="74" t="inlineStr">
        <is>
          <t>Arrive Hohhot 17:02; dinner near the station; 4652 22:50 hard sleeper → Erenhot.</t>
        </is>
      </c>
    </row>
    <row r="56" ht="15" customHeight="1" s="56">
      <c r="A56" s="74" t="inlineStr">
        <is>
          <t>Tue 17 Nov</t>
        </is>
      </c>
      <c r="B56" s="74" t="inlineStr">
        <is>
          <t>Train (platskart)</t>
        </is>
      </c>
      <c r="C56" s="74" t="inlineStr">
        <is>
          <t>Arrive Erenhot 06:50; shared jeep across the border to Zamyn-Uud; UBTZ 275 18:05 → Ulaanbaatar.</t>
        </is>
      </c>
    </row>
    <row r="57" ht="15" customHeight="1" s="56">
      <c r="A57" s="74" t="inlineStr">
        <is>
          <t>Wed 18 Nov</t>
        </is>
      </c>
      <c r="B57" s="74" t="inlineStr">
        <is>
          <t>Home</t>
        </is>
      </c>
      <c r="C57" s="74" t="inlineStr">
        <is>
          <t>Arrive Ulaanbaatar 09:20; taxi home.</t>
        </is>
      </c>
    </row>
    <row r="58" s="56"/>
    <row r="59" s="56">
      <c r="A59" s="72" t="inlineStr">
        <is>
          <t>Door-to-door travel times</t>
        </is>
      </c>
    </row>
    <row r="60" s="56">
      <c r="A60" s="96" t="inlineStr">
        <is>
          <t>Date</t>
        </is>
      </c>
      <c r="B60" s="96" t="inlineStr">
        <is>
          <t>Leg</t>
        </is>
      </c>
      <c r="C60" s="96" t="inlineStr">
        <is>
          <t>Mode</t>
        </is>
      </c>
      <c r="D60" s="96" t="inlineStr">
        <is>
          <t>Expected time</t>
        </is>
      </c>
      <c r="E60" s="96" t="inlineStr">
        <is>
          <t>Notes</t>
        </is>
      </c>
    </row>
    <row r="61" s="56">
      <c r="A61" s="105" t="inlineStr">
        <is>
          <t>12 Nov</t>
        </is>
      </c>
      <c r="B61" s="105" t="inlineStr">
        <is>
          <t>Home → Chinggis Khaan airport</t>
        </is>
      </c>
      <c r="C61" s="82" t="inlineStr">
        <is>
          <t>Taxi (~50 km)</t>
        </is>
      </c>
      <c r="D61" s="104" t="n">
        <v>0.04166666666666666</v>
      </c>
      <c r="E61" s="106" t="inlineStr">
        <is>
          <t>Leave ~09:15 for the 11:50 flight; wake ~08:00</t>
        </is>
      </c>
      <c r="F61" s="107" t="n"/>
      <c r="G61" s="107" t="n"/>
      <c r="H61" s="107" t="n"/>
      <c r="I61" s="107" t="n"/>
      <c r="J61" s="107" t="n"/>
      <c r="K61" s="107" t="n"/>
      <c r="L61" s="107" t="n"/>
    </row>
    <row r="62" s="56">
      <c r="A62" s="105" t="inlineStr">
        <is>
          <t>12 Nov</t>
        </is>
      </c>
      <c r="B62" s="105" t="inlineStr">
        <is>
          <t>Ulaanbaatar → Beijing (PEK)</t>
        </is>
      </c>
      <c r="C62" s="82" t="inlineStr">
        <is>
          <t>Air China CA902 11:50–13:55</t>
        </is>
      </c>
      <c r="D62" s="104" t="n">
        <v>0.08680555555555555</v>
      </c>
      <c r="E62" s="106" t="n"/>
      <c r="F62" s="107" t="n"/>
      <c r="G62" s="107" t="n"/>
      <c r="H62" s="107" t="n"/>
      <c r="I62" s="107" t="n"/>
      <c r="J62" s="107" t="n"/>
      <c r="K62" s="107" t="n"/>
      <c r="L62" s="107" t="n"/>
    </row>
    <row r="63" s="56">
      <c r="A63" s="105" t="inlineStr">
        <is>
          <t>12 Nov</t>
        </is>
      </c>
      <c r="B63" s="105" t="inlineStr">
        <is>
          <t>PEK arrival: immigration, bags</t>
        </is>
      </c>
      <c r="C63" s="82" t="inlineStr">
        <is>
          <t>—</t>
        </is>
      </c>
      <c r="D63" s="104" t="n">
        <v>0.03125</v>
      </c>
      <c r="E63" s="106" t="inlineStr">
        <is>
          <t>Estimate</t>
        </is>
      </c>
      <c r="F63" s="107" t="n"/>
      <c r="G63" s="107" t="n"/>
      <c r="H63" s="107" t="n"/>
      <c r="I63" s="107" t="n"/>
      <c r="J63" s="107" t="n"/>
      <c r="K63" s="107" t="n"/>
      <c r="L63" s="107" t="n"/>
    </row>
    <row r="64" s="56">
      <c r="A64" s="105" t="inlineStr">
        <is>
          <t>12 Nov</t>
        </is>
      </c>
      <c r="B64" s="105" t="inlineStr">
        <is>
          <t>PEK → Beijing Chaoyang station</t>
        </is>
      </c>
      <c r="C64" s="82" t="inlineStr">
        <is>
          <t>Taxi (~40 km)</t>
        </is>
      </c>
      <c r="D64" s="104" t="n">
        <v>0.03472222222222222</v>
      </c>
      <c r="E64" s="106" t="inlineStr">
        <is>
          <t>Estimate; at the station ~15:30, G153 at 17:27 (or G141 16:00)</t>
        </is>
      </c>
      <c r="F64" s="107" t="n"/>
      <c r="G64" s="107" t="n"/>
      <c r="H64" s="107" t="n"/>
      <c r="I64" s="107" t="n"/>
      <c r="J64" s="107" t="n"/>
      <c r="K64" s="107" t="n"/>
      <c r="L64" s="107" t="n"/>
    </row>
    <row r="65" s="56">
      <c r="A65" s="105" t="inlineStr">
        <is>
          <t>12 Nov</t>
        </is>
      </c>
      <c r="B65" s="105" t="inlineStr">
        <is>
          <t>Beijing Chaoyang → Shenyang</t>
        </is>
      </c>
      <c r="C65" s="82" t="inlineStr">
        <is>
          <t>G153 2nd class 17:27–20:04</t>
        </is>
      </c>
      <c r="D65" s="104" t="n">
        <v>0.1090277777777778</v>
      </c>
      <c r="E65" s="106" t="n"/>
      <c r="F65" s="107" t="n"/>
      <c r="G65" s="107" t="n"/>
      <c r="H65" s="107" t="n"/>
      <c r="I65" s="107" t="n"/>
      <c r="J65" s="107" t="n"/>
      <c r="K65" s="107" t="n"/>
      <c r="L65" s="107" t="n"/>
    </row>
    <row r="66" s="56">
      <c r="A66" s="105" t="inlineStr">
        <is>
          <t>12 Nov</t>
        </is>
      </c>
      <c r="B66" s="105" t="inlineStr">
        <is>
          <t>Shenyang station → hotel</t>
        </is>
      </c>
      <c r="C66" s="82" t="inlineStr">
        <is>
          <t>Taxi (~4 km)</t>
        </is>
      </c>
      <c r="D66" s="104" t="n">
        <v>0.01388888888888889</v>
      </c>
      <c r="E66" s="106" t="inlineStr">
        <is>
          <t>Check in ~20:30</t>
        </is>
      </c>
      <c r="F66" s="107" t="n"/>
      <c r="G66" s="107" t="n"/>
      <c r="H66" s="107" t="n"/>
      <c r="I66" s="107" t="n"/>
      <c r="J66" s="107" t="n"/>
      <c r="K66" s="107" t="n"/>
      <c r="L66" s="107" t="n"/>
    </row>
    <row r="67" s="56">
      <c r="A67" s="105" t="inlineStr">
        <is>
          <t>13–15 Nov</t>
        </is>
      </c>
      <c r="B67" s="105" t="inlineStr">
        <is>
          <t>Hotel ↔ NEU Nanhu (each way)</t>
        </is>
      </c>
      <c r="C67" s="82" t="inlineStr">
        <is>
          <t>Walk</t>
        </is>
      </c>
      <c r="D67" s="104" t="inlineStr">
        <is>
          <t>daily</t>
        </is>
      </c>
      <c r="E67" s="106" t="inlineStr">
        <is>
          <t>~15 min walk (Ji Hotel, 940 m straight line)</t>
        </is>
      </c>
      <c r="F67" s="107" t="n"/>
      <c r="G67" s="107" t="n"/>
      <c r="H67" s="107" t="n"/>
      <c r="I67" s="107" t="n"/>
      <c r="J67" s="107" t="n"/>
      <c r="K67" s="107" t="n"/>
      <c r="L67" s="107" t="n"/>
    </row>
    <row r="68" s="56">
      <c r="A68" s="105" t="inlineStr">
        <is>
          <t>15 Nov</t>
        </is>
      </c>
      <c r="B68" s="105" t="inlineStr">
        <is>
          <t>NEU Nanhu → Shenyang station</t>
        </is>
      </c>
      <c r="C68" s="82" t="inlineStr">
        <is>
          <t>Taxi</t>
        </is>
      </c>
      <c r="D68" s="104" t="n">
        <v>0.01388888888888889</v>
      </c>
      <c r="E68" s="106" t="n"/>
      <c r="F68" s="107" t="n"/>
      <c r="G68" s="107" t="n"/>
      <c r="H68" s="107" t="n"/>
      <c r="I68" s="107" t="n"/>
      <c r="J68" s="107" t="n"/>
      <c r="K68" s="107" t="n"/>
      <c r="L68" s="107" t="n"/>
    </row>
    <row r="69" s="56">
      <c r="A69" s="105" t="inlineStr">
        <is>
          <t>15–16 Nov</t>
        </is>
      </c>
      <c r="B69" s="105" t="inlineStr">
        <is>
          <t>Shenyang → Hohhot</t>
        </is>
      </c>
      <c r="C69" s="82" t="inlineStr">
        <is>
          <t>K1568 hard sleeper 22:50–17:02</t>
        </is>
      </c>
      <c r="D69" s="104" t="n">
        <v>0.7583333333333333</v>
      </c>
      <c r="E69" s="106" t="inlineStr">
        <is>
          <t>Overnight, after the contest</t>
        </is>
      </c>
      <c r="F69" s="107" t="n"/>
      <c r="G69" s="107" t="n"/>
      <c r="H69" s="107" t="n"/>
      <c r="I69" s="107" t="n"/>
      <c r="J69" s="107" t="n"/>
      <c r="K69" s="107" t="n"/>
      <c r="L69" s="107" t="n"/>
    </row>
    <row r="70" s="56">
      <c r="A70" s="105" t="inlineStr">
        <is>
          <t>16–17 Nov</t>
        </is>
      </c>
      <c r="B70" s="105" t="inlineStr">
        <is>
          <t>Hohhot → Erenhot</t>
        </is>
      </c>
      <c r="C70" s="82" t="inlineStr">
        <is>
          <t>4652 hard sleeper 22:50–06:50</t>
        </is>
      </c>
      <c r="D70" s="104" t="n">
        <v>0.3333333333333333</v>
      </c>
      <c r="E70" s="106" t="inlineStr">
        <is>
          <t>~6 h wait in Hohhot first (not counted)</t>
        </is>
      </c>
      <c r="F70" s="107" t="n"/>
      <c r="G70" s="107" t="n"/>
      <c r="H70" s="107" t="n"/>
      <c r="I70" s="107" t="n"/>
      <c r="J70" s="107" t="n"/>
      <c r="K70" s="107" t="n"/>
      <c r="L70" s="107" t="n"/>
    </row>
    <row r="71" s="56">
      <c r="A71" s="105" t="inlineStr">
        <is>
          <t>17 Nov</t>
        </is>
      </c>
      <c r="B71" s="105" t="inlineStr">
        <is>
          <t>Erenhot → Zamyn-Uud (border)</t>
        </is>
      </c>
      <c r="C71" s="82" t="inlineStr">
        <is>
          <t>Shared jeep</t>
        </is>
      </c>
      <c r="D71" s="104" t="n">
        <v>0.125</v>
      </c>
      <c r="E71" s="106" t="inlineStr">
        <is>
          <t>Estimate incl. both border posts</t>
        </is>
      </c>
      <c r="F71" s="107" t="n"/>
      <c r="G71" s="107" t="n"/>
      <c r="H71" s="107" t="n"/>
      <c r="I71" s="107" t="n"/>
      <c r="J71" s="107" t="n"/>
      <c r="K71" s="107" t="n"/>
      <c r="L71" s="107" t="n"/>
    </row>
    <row r="72">
      <c r="A72" s="105" t="inlineStr">
        <is>
          <t>17–18 Nov</t>
        </is>
      </c>
      <c r="B72" s="105" t="inlineStr">
        <is>
          <t>Zamyn-Uud → Ulaanbaatar</t>
        </is>
      </c>
      <c r="C72" s="82" t="inlineStr">
        <is>
          <t>UBTZ 275 platskart 18:05–09:20</t>
        </is>
      </c>
      <c r="D72" s="104" t="n">
        <v>0.6354166666666666</v>
      </c>
      <c r="E72" s="106" t="inlineStr">
        <is>
          <t>Wait in Zamyn-Uud not counted</t>
        </is>
      </c>
      <c r="F72" s="107" t="n"/>
      <c r="G72" s="107" t="n"/>
      <c r="H72" s="107" t="n"/>
      <c r="I72" s="107" t="n"/>
      <c r="J72" s="107" t="n"/>
      <c r="K72" s="107" t="n"/>
      <c r="L72" s="107" t="n"/>
    </row>
    <row r="73">
      <c r="A73" s="105" t="inlineStr">
        <is>
          <t>18 Nov</t>
        </is>
      </c>
      <c r="B73" s="105" t="inlineStr">
        <is>
          <t>Ulaanbaatar station → home</t>
        </is>
      </c>
      <c r="C73" s="82" t="inlineStr">
        <is>
          <t>Taxi</t>
        </is>
      </c>
      <c r="D73" s="104" t="n">
        <v>0.02083333333333333</v>
      </c>
      <c r="E73" s="106" t="n"/>
      <c r="F73" s="107" t="n"/>
      <c r="G73" s="107" t="n"/>
      <c r="H73" s="107" t="n"/>
      <c r="I73" s="107" t="n"/>
      <c r="J73" s="107" t="n"/>
      <c r="K73" s="107" t="n"/>
      <c r="L73" s="107" t="n"/>
    </row>
    <row r="75">
      <c r="C75" s="59" t="inlineStr">
        <is>
          <t>Total door-to-door</t>
        </is>
      </c>
      <c r="D75" s="109">
        <f>SUM(D61:D73)</f>
        <v/>
      </c>
    </row>
  </sheetData>
  <mergeCells count="24">
    <mergeCell ref="C52:L52"/>
    <mergeCell ref="E68:L68"/>
    <mergeCell ref="E71:L71"/>
    <mergeCell ref="B47:L47"/>
    <mergeCell ref="E62:L62"/>
    <mergeCell ref="B46:L46"/>
    <mergeCell ref="E67:L67"/>
    <mergeCell ref="C57:L57"/>
    <mergeCell ref="E73:L73"/>
    <mergeCell ref="C53:L53"/>
    <mergeCell ref="E64:L64"/>
    <mergeCell ref="E63:L63"/>
    <mergeCell ref="E69:L69"/>
    <mergeCell ref="E65:L65"/>
    <mergeCell ref="B44:L44"/>
    <mergeCell ref="C54:L54"/>
    <mergeCell ref="E70:L70"/>
    <mergeCell ref="E61:L61"/>
    <mergeCell ref="C55:L55"/>
    <mergeCell ref="C56:L56"/>
    <mergeCell ref="E72:L72"/>
    <mergeCell ref="E66:L66"/>
    <mergeCell ref="C51:L51"/>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out (seats)</t>
        </is>
      </c>
    </row>
    <row r="2" ht="15" customHeight="1" s="56">
      <c r="A2" s="62" t="inlineStr">
        <is>
          <t>Cheapest way out found: UBTZ train to Zamyn-Uud, jeep across the border, trains via Jining South to Shenyang, all in seats; arrive on day 1 morning, one hotel night; K28 seat + Air China home.</t>
        </is>
      </c>
    </row>
    <row r="4" ht="15" customHeight="1" s="56">
      <c r="A4" s="60" t="inlineStr">
        <is>
          <t>Days in destination (meals &amp; local transport)</t>
        </is>
      </c>
      <c r="B4" s="76" t="n">
        <v>4</v>
      </c>
      <c r="C4" s="62" t="inlineStr">
        <is>
          <t>12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CA955 Beijing Capital (PEK) 12:55 → Ulaanbaatar 15:05, nonstop</t>
        </is>
      </c>
      <c r="C10" s="83" t="inlineStr">
        <is>
          <t>16 Nov</t>
        </is>
      </c>
      <c r="D10" s="84" t="n">
        <v>0.09027777777777778</v>
      </c>
      <c r="E10" s="85" t="n">
        <v>171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US$171 pp, cheapest that day (MIAT OM224 11:30 US$193 on Trip.com / $176 on SlickTrip; Air China 08:25 $215; Capital + Hunnu via Erenhot $196)</t>
        </is>
      </c>
    </row>
    <row r="11" s="56">
      <c r="A11" s="79" t="inlineStr">
        <is>
          <t>Trains &amp; border crossing</t>
        </is>
      </c>
      <c r="B11" s="80" t="n"/>
      <c r="C11" s="80" t="n"/>
      <c r="D11" s="80" t="n"/>
      <c r="E11" s="80" t="n"/>
      <c r="F11" s="80" t="n"/>
      <c r="G11" s="80" t="n"/>
      <c r="H11" s="80" t="n"/>
      <c r="I11" s="80" t="n"/>
      <c r="J11" s="80" t="n"/>
      <c r="K11" s="80" t="n"/>
      <c r="L11" s="80" t="n"/>
    </row>
    <row r="12" ht="30" customHeight="1" s="56">
      <c r="B12" s="111" t="inlineStr">
        <is>
          <t>UBTZ train 276 Ulaanbaatar 16:40 → Zamyn-Uud 07:20, seat (общий)</t>
        </is>
      </c>
      <c r="C12" s="83" t="inlineStr">
        <is>
          <t>12–13 Nov</t>
        </is>
      </c>
      <c r="D12" s="84" t="n">
        <v>0.6111111111111112</v>
      </c>
      <c r="E12" s="85" t="n">
        <v>26000</v>
      </c>
      <c r="F12" s="86" t="inlineStr">
        <is>
          <t>MNT</t>
        </is>
      </c>
      <c r="G12" s="87">
        <f>Compare!$B$6</f>
        <v/>
      </c>
      <c r="H12" s="88">
        <f>E12*G12*IF(F12="USD",Compare!$B$8,IF(F12="CNY",Compare!$B$9,IF(F12="HKD",Compare!$B$10,1)))</f>
        <v/>
      </c>
      <c r="I12" s="89">
        <f>E12</f>
        <v/>
      </c>
      <c r="J12" s="87">
        <f>Compare!$B$7</f>
        <v/>
      </c>
      <c r="K12" s="88">
        <f>I12*J12*IF(F12="USD",Compare!$B$8,IF(F12="CNY",Compare!$B$9,IF(F12="HKD",Compare!$B$10,1)))</f>
        <v/>
      </c>
      <c r="L12" s="112" t="inlineStr">
        <is>
          <t>eticket.ubtz.mn 22 Oct: daily; seat ₮26,000 (69 free on 12 Nov); platskart ₮44,000 + bedding ₮7,400; kupe ₮73,400 + ₮7,400. On sale now.</t>
        </is>
      </c>
    </row>
    <row r="13" ht="39" customHeight="1" s="56">
      <c r="B13" s="111" t="inlineStr">
        <is>
          <t>Shared jeep Zamyn-Uud → Erenhot across the border</t>
        </is>
      </c>
      <c r="C13" s="83" t="inlineStr">
        <is>
          <t>13 Nov (morning)</t>
        </is>
      </c>
      <c r="D13" s="84" t="n">
        <v>0.125</v>
      </c>
      <c r="E13" s="113" t="n">
        <v>100</v>
      </c>
      <c r="F13" s="86" t="inlineStr">
        <is>
          <t>CNY</t>
        </is>
      </c>
      <c r="G13" s="87">
        <f>Compare!$B$6</f>
        <v/>
      </c>
      <c r="H13" s="88">
        <f>E13*G13*IF(F13="USD",Compare!$B$8,IF(F13="CNY",Compare!$B$9,IF(F13="HKD",Compare!$B$10,1)))</f>
        <v/>
      </c>
      <c r="I13" s="114">
        <f>E13</f>
        <v/>
      </c>
      <c r="J13" s="87">
        <f>Compare!$B$7</f>
        <v/>
      </c>
      <c r="K13" s="88">
        <f>I13*J13*IF(F13="USD",Compare!$B$8,IF(F13="CNY",Compare!$B$9,IF(F13="HKD",Compare!$B$10,1)))</f>
        <v/>
      </c>
      <c r="L13" s="112" t="inlineStr">
        <is>
          <t>ASSUMPTION ¥50–110 pp (Wikivoyage, travel blogs); ~3 h with both border posts. Must reach Erenhot station for 12:45 – the next train (6858 13:48) misses T301. Border hours not verified.</t>
        </is>
      </c>
    </row>
    <row r="14" ht="30" customHeight="1" s="56">
      <c r="B14" s="111" t="inlineStr">
        <is>
          <t>Train 4654 Erenhot 12:45 → Jining South 18:11, hard seat</t>
        </is>
      </c>
      <c r="C14" s="83" t="inlineStr">
        <is>
          <t>13 Nov</t>
        </is>
      </c>
      <c r="D14" s="84" t="n">
        <v>0.2263888888888889</v>
      </c>
      <c r="E14" s="85" t="n">
        <v>44.5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¥44.5, hard sleeper ¥90.5. ChinaTicketOnline confirms 11 and 13 Nov; on sale 30 Oct 15:00 for 13 Nov.</t>
        </is>
      </c>
    </row>
    <row r="15" ht="39" customHeight="1" s="56">
      <c r="B15" s="111" t="inlineStr">
        <is>
          <t>Overnight train T301 Jining South 19:30 → Shenyang 10:16, hard seat</t>
        </is>
      </c>
      <c r="C15" s="83" t="inlineStr">
        <is>
          <t>13–14 Nov</t>
        </is>
      </c>
      <c r="D15" s="84" t="n">
        <v>0.6152777777777778</v>
      </c>
      <c r="E15" s="85" t="n">
        <v>163.5</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seat ¥163.5, hard sleeper ¥280.5, soft ¥438.5; 1 h 19 min change at Jining South. ChinaTicketOnline confirms 13 Nov, on sale 30 Oct 15:00. Also K1567 17:31 → 09:38 (same fares).</t>
        </is>
      </c>
    </row>
    <row r="16" ht="51" customHeight="1" s="56">
      <c r="B16" s="111" t="inlineStr">
        <is>
          <t>Overnight train K28 Shenyang 22:24 → Beijing 08:40, hard seat (after the contest)</t>
        </is>
      </c>
      <c r="C16" s="83" t="inlineStr">
        <is>
          <t>15 Nov (night)</t>
        </is>
      </c>
      <c r="D16" s="84" t="n">
        <v>0.4277777777777778</v>
      </c>
      <c r="E16" s="85" t="n">
        <v>112</v>
      </c>
      <c r="F16" s="86" t="inlineStr">
        <is>
          <t>CNY</t>
        </is>
      </c>
      <c r="G16" s="87">
        <f>Compare!$B$6</f>
        <v/>
      </c>
      <c r="H16" s="88">
        <f>E16*G16*IF(F16="USD",Compare!$B$8,IF(F16="CNY",Compare!$B$9,IF(F16="HKD",Compare!$B$10,1)))</f>
        <v/>
      </c>
      <c r="I16" s="89">
        <f>E16</f>
        <v/>
      </c>
      <c r="J16" s="87">
        <f>Compare!$B$7</f>
        <v/>
      </c>
      <c r="K16" s="88">
        <f>I16*J16*IF(F16="USD",Compare!$B$8,IF(F16="CNY",Compare!$B$9,IF(F16="HKD",Compare!$B$10,1)))</f>
        <v/>
      </c>
      <c r="L16"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14–15 Nov (1 night)</t>
        </is>
      </c>
      <c r="D18" s="84" t="n"/>
      <c r="E18" s="85" t="n">
        <v>457</v>
      </c>
      <c r="F18" s="86" t="inlineStr">
        <is>
          <t>CNY</t>
        </is>
      </c>
      <c r="G18" s="91" t="n">
        <v>1</v>
      </c>
      <c r="H18" s="88">
        <f>E18*G18*IF(F18="USD",Compare!$B$8,IF(F18="CNY",Compare!$B$9,IF(F18="HKD",Compare!$B$10,1)))</f>
        <v/>
      </c>
      <c r="I18" s="85" t="n">
        <v>457</v>
      </c>
      <c r="J18" s="91" t="n">
        <v>1</v>
      </c>
      <c r="K18" s="88">
        <f>I18*J18*IF(F18="USD",Compare!$B$8,IF(F18="CNY",Compare!$B$9,IF(F18="HKD",Compare!$B$10,1)))</f>
        <v/>
      </c>
      <c r="L18" s="112" t="inlineStr">
        <is>
          <t>Trip.com 22 Oct: ¥457 for 2 Budget Twin rooms × 1 night (14–15 Nov) incl. taxes, free cancellation until 18:00 on 13 Nov; same hotel as 'Sleep value' (9.0, King Koil mattresses).</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Ulaanbaatar railway station</t>
        </is>
      </c>
      <c r="C27" s="83" t="inlineStr">
        <is>
          <t>12 Nov</t>
        </is>
      </c>
      <c r="D27" s="84" t="n">
        <v>0.02083333333333333</v>
      </c>
      <c r="E27" s="113" t="n">
        <v>30000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~30k MNT for the group (city trip)</t>
        </is>
      </c>
    </row>
    <row r="28" ht="30" customHeight="1" s="56">
      <c r="B28" s="111" t="inlineStr">
        <is>
          <t>Taxi Chinggis Khaan airport → home (UB)</t>
        </is>
      </c>
      <c r="C28" s="83" t="inlineStr">
        <is>
          <t>16 Nov</t>
        </is>
      </c>
      <c r="D28" s="84" t="n">
        <v>0.04166666666666666</v>
      </c>
      <c r="E28" s="113" t="n">
        <v>100000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100k MNT per trip for the group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No flight on the way out: ~₮0.19M per person to Shenyang, a fifth of the Air China route. Cheaper way out than the Air China + G153 route of 'Sleep value' (₮0.91M per person); the rest of the trip is the same (Ji Hotel twin rooms, K28 hard seat + Air China 12:55 home), with hotel nights set by the arrival time.</t>
        </is>
      </c>
    </row>
    <row r="46" ht="30" customHeight="1" s="56">
      <c r="A46" s="75" t="inlineStr">
        <is>
          <t>Trade-off</t>
        </is>
      </c>
      <c r="B46" s="74" t="inlineStr">
        <is>
          <t>Two nights sitting up on trains in a row, right before day 1 (POOR for sleep); arrive 10:16 on registration day. The jeep fare and border hours are not verified, and missing the 12:45 train costs a day. Cold Gobi border in mid-November.</t>
        </is>
      </c>
    </row>
    <row r="47" ht="15" customHeight="1" s="56">
      <c r="A47" s="75" t="inlineStr">
        <is>
          <t>Book</t>
        </is>
      </c>
      <c r="B47" s="74" t="inlineStr">
        <is>
          <t>UBTZ 276 on eticket.ubtz.mn (on sale now); 4654 and T301 on 12306 at 15:00 on 30 Oct; K28 on 12306 at 09:30 on 1 Nov; Air China home on Trip.com.</t>
        </is>
      </c>
    </row>
    <row r="48" s="56"/>
    <row r="49" s="56">
      <c r="A49" s="72" t="inlineStr">
        <is>
          <t>Day-by-day plan</t>
        </is>
      </c>
    </row>
    <row r="50" s="56">
      <c r="A50" s="96" t="inlineStr">
        <is>
          <t>Date</t>
        </is>
      </c>
      <c r="B50" s="96" t="inlineStr">
        <is>
          <t>Sleep in</t>
        </is>
      </c>
      <c r="C50" s="96" t="inlineStr">
        <is>
          <t>What happens</t>
        </is>
      </c>
    </row>
    <row r="51" ht="15" customHeight="1" s="56">
      <c r="A51" s="74" t="inlineStr">
        <is>
          <t>Thu 12 Nov</t>
        </is>
      </c>
      <c r="B51" s="74" t="inlineStr">
        <is>
          <t>Train</t>
        </is>
      </c>
      <c r="C51" s="74" t="inlineStr">
        <is>
          <t>Taxi to Ulaanbaatar station; UBTZ 276 16:40 → Zamyn-Uud (overnight).</t>
        </is>
      </c>
    </row>
    <row r="52" ht="30" customHeight="1" s="56">
      <c r="A52" s="74" t="inlineStr">
        <is>
          <t>Fri 13 Nov</t>
        </is>
      </c>
      <c r="B52" s="74" t="inlineStr">
        <is>
          <t>Train</t>
        </is>
      </c>
      <c r="C52" s="74" t="inlineStr">
        <is>
          <t>Arrive Zamyn-Uud 07:20; shared jeep across the border to Erenhot (at the station by ~12:00); 4654 12:45 → Jining South 18:11; T301 19:30 → Shenyang (overnight).</t>
        </is>
      </c>
    </row>
    <row r="53" ht="15" customHeight="1" s="56">
      <c r="A53" s="74" t="inlineStr">
        <is>
          <t>Sat 14 Nov</t>
        </is>
      </c>
      <c r="B53" s="74" t="inlineStr">
        <is>
          <t>Shenyang</t>
        </is>
      </c>
      <c r="C53" s="74" t="inlineStr">
        <is>
          <t>Arrive Shenyang 10:16; taxi to NEU Nanhu for registration and practice; check in at Ji Hotel.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12 Nov</t>
        </is>
      </c>
      <c r="B59" s="105" t="inlineStr">
        <is>
          <t>Home → Ulaanbaatar railway station</t>
        </is>
      </c>
      <c r="C59" s="82" t="inlineStr">
        <is>
          <t>Taxi</t>
        </is>
      </c>
      <c r="D59" s="104" t="n">
        <v>0.02083333333333333</v>
      </c>
      <c r="E59" s="106" t="inlineStr">
        <is>
          <t>Leave ~16:00</t>
        </is>
      </c>
      <c r="F59" s="107" t="n"/>
      <c r="G59" s="107" t="n"/>
      <c r="H59" s="107" t="n"/>
      <c r="I59" s="107" t="n"/>
      <c r="J59" s="107" t="n"/>
      <c r="K59" s="107" t="n"/>
      <c r="L59" s="107" t="n"/>
    </row>
    <row r="60" s="56">
      <c r="A60" s="105" t="inlineStr">
        <is>
          <t>12–13 Nov</t>
        </is>
      </c>
      <c r="B60" s="105" t="inlineStr">
        <is>
          <t>Ulaanbaatar → Zamyn-Uud</t>
        </is>
      </c>
      <c r="C60" s="82" t="inlineStr">
        <is>
          <t>UBTZ 276 16:40–07:20</t>
        </is>
      </c>
      <c r="D60" s="104" t="n">
        <v>0.6111111111111112</v>
      </c>
      <c r="E60" s="106" t="inlineStr">
        <is>
          <t>Overnight</t>
        </is>
      </c>
      <c r="F60" s="107" t="n"/>
      <c r="G60" s="107" t="n"/>
      <c r="H60" s="107" t="n"/>
      <c r="I60" s="107" t="n"/>
      <c r="J60" s="107" t="n"/>
      <c r="K60" s="107" t="n"/>
      <c r="L60" s="107" t="n"/>
    </row>
    <row r="61" s="56">
      <c r="A61" s="105" t="inlineStr">
        <is>
          <t>13 Nov</t>
        </is>
      </c>
      <c r="B61" s="105" t="inlineStr">
        <is>
          <t>Zamyn-Uud → Erenhot (border)</t>
        </is>
      </c>
      <c r="C61" s="82" t="inlineStr">
        <is>
          <t>Shared jeep</t>
        </is>
      </c>
      <c r="D61" s="104" t="n">
        <v>0.125</v>
      </c>
      <c r="E61" s="106" t="inlineStr">
        <is>
          <t>Estimate incl. both border posts</t>
        </is>
      </c>
      <c r="F61" s="107" t="n"/>
      <c r="G61" s="107" t="n"/>
      <c r="H61" s="107" t="n"/>
      <c r="I61" s="107" t="n"/>
      <c r="J61" s="107" t="n"/>
      <c r="K61" s="107" t="n"/>
      <c r="L61" s="107" t="n"/>
    </row>
    <row r="62" s="56">
      <c r="A62" s="105" t="inlineStr">
        <is>
          <t>13 Nov</t>
        </is>
      </c>
      <c r="B62" s="105" t="inlineStr">
        <is>
          <t>Erenhot → Jining South</t>
        </is>
      </c>
      <c r="C62" s="82" t="inlineStr">
        <is>
          <t>4654 hard seat 12:45–18:11</t>
        </is>
      </c>
      <c r="D62" s="104" t="n">
        <v>0.2263888888888889</v>
      </c>
      <c r="E62" s="106" t="n"/>
      <c r="F62" s="107" t="n"/>
      <c r="G62" s="107" t="n"/>
      <c r="H62" s="107" t="n"/>
      <c r="I62" s="107" t="n"/>
      <c r="J62" s="107" t="n"/>
      <c r="K62" s="107" t="n"/>
      <c r="L62" s="107" t="n"/>
    </row>
    <row r="63" s="56">
      <c r="A63" s="105" t="inlineStr">
        <is>
          <t>13–14 Nov</t>
        </is>
      </c>
      <c r="B63" s="105" t="inlineStr">
        <is>
          <t>Jining South → Shenyang</t>
        </is>
      </c>
      <c r="C63" s="82" t="inlineStr">
        <is>
          <t>T301 19:30–10:16</t>
        </is>
      </c>
      <c r="D63" s="104" t="n">
        <v>0.6152777777777778</v>
      </c>
      <c r="E63" s="106" t="inlineStr">
        <is>
          <t>1 h 19 min change; overnight</t>
        </is>
      </c>
      <c r="F63" s="107" t="n"/>
      <c r="G63" s="107" t="n"/>
      <c r="H63" s="107" t="n"/>
      <c r="I63" s="107" t="n"/>
      <c r="J63" s="107" t="n"/>
      <c r="K63" s="107" t="n"/>
      <c r="L63" s="107" t="n"/>
    </row>
    <row r="64" s="56">
      <c r="A64" s="105" t="inlineStr">
        <is>
          <t>14 Nov</t>
        </is>
      </c>
      <c r="B64" s="105" t="inlineStr">
        <is>
          <t>Shenyang station → NEU Nanhu</t>
        </is>
      </c>
      <c r="C64" s="82" t="inlineStr">
        <is>
          <t>Taxi</t>
        </is>
      </c>
      <c r="D64" s="104" t="n">
        <v>0.01388888888888889</v>
      </c>
      <c r="E64" s="106" t="inlineStr">
        <is>
          <t>Registration day</t>
        </is>
      </c>
      <c r="F64" s="107" t="n"/>
      <c r="G64" s="107" t="n"/>
      <c r="H64" s="107" t="n"/>
      <c r="I64" s="107" t="n"/>
      <c r="J64" s="107" t="n"/>
      <c r="K64" s="107" t="n"/>
      <c r="L64" s="107" t="n"/>
    </row>
    <row r="65" s="56">
      <c r="A65" s="105" t="inlineStr">
        <is>
          <t>15 Nov</t>
        </is>
      </c>
      <c r="B65" s="105" t="inlineStr">
        <is>
          <t>NEU Nanhu → Shenyang station</t>
        </is>
      </c>
      <c r="C65" s="82" t="inlineStr">
        <is>
          <t>Taxi</t>
        </is>
      </c>
      <c r="D65" s="104" t="n">
        <v>0.01388888888888889</v>
      </c>
      <c r="E65" s="106" t="n"/>
      <c r="F65" s="107" t="n"/>
      <c r="G65" s="107" t="n"/>
      <c r="H65" s="107" t="n"/>
      <c r="I65" s="107" t="n"/>
      <c r="J65" s="107" t="n"/>
      <c r="K65" s="107" t="n"/>
      <c r="L65" s="107" t="n"/>
    </row>
    <row r="66" s="56">
      <c r="A66" s="105" t="inlineStr">
        <is>
          <t>15–16 Nov</t>
        </is>
      </c>
      <c r="B66" s="105" t="inlineStr">
        <is>
          <t>Shenyang → Beijing</t>
        </is>
      </c>
      <c r="C66" s="82" t="inlineStr">
        <is>
          <t>K28 hard seat 22:24–08:40</t>
        </is>
      </c>
      <c r="D66" s="104" t="n">
        <v>0.4277777777777778</v>
      </c>
      <c r="E66" s="106" t="inlineStr">
        <is>
          <t>Overnight, after the contest</t>
        </is>
      </c>
      <c r="F66" s="107" t="n"/>
      <c r="G66" s="107" t="n"/>
      <c r="H66" s="107" t="n"/>
      <c r="I66" s="107" t="n"/>
      <c r="J66" s="107" t="n"/>
      <c r="K66" s="107" t="n"/>
      <c r="L66" s="107" t="n"/>
    </row>
    <row r="67" s="56">
      <c r="A67" s="105" t="inlineStr">
        <is>
          <t>16 Nov</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s="56">
      <c r="A68" s="105" t="inlineStr">
        <is>
          <t>16 Nov</t>
        </is>
      </c>
      <c r="B68" s="105" t="inlineStr">
        <is>
          <t>Beijing (PEK) → Ulaanbaatar</t>
        </is>
      </c>
      <c r="C68" s="82" t="inlineStr">
        <is>
          <t>Air China 12:55–15:05</t>
        </is>
      </c>
      <c r="D68" s="104" t="n">
        <v>0.09027777777777778</v>
      </c>
      <c r="E68" s="106" t="n"/>
      <c r="F68" s="107" t="n"/>
      <c r="G68" s="107" t="n"/>
      <c r="H68" s="107" t="n"/>
      <c r="I68" s="107" t="n"/>
      <c r="J68" s="107" t="n"/>
      <c r="K68" s="107" t="n"/>
      <c r="L68" s="107" t="n"/>
    </row>
    <row r="69" s="56">
      <c r="A69" s="105" t="inlineStr">
        <is>
          <t>16 Nov</t>
        </is>
      </c>
      <c r="B69" s="105" t="inlineStr">
        <is>
          <t>Chinggis Khaan airport → home</t>
        </is>
      </c>
      <c r="C69" s="82" t="inlineStr">
        <is>
          <t>Taxi</t>
        </is>
      </c>
      <c r="D69" s="104" t="n">
        <v>0.04166666666666666</v>
      </c>
      <c r="E69" s="106" t="n"/>
      <c r="F69" s="107" t="n"/>
      <c r="G69" s="107" t="n"/>
      <c r="H69" s="107" t="n"/>
      <c r="I69" s="107" t="n"/>
      <c r="J69" s="107" t="n"/>
      <c r="K69" s="107" t="n"/>
      <c r="L69" s="107" t="n"/>
    </row>
    <row r="70" s="56"/>
    <row r="71" s="56">
      <c r="C71" s="59" t="inlineStr">
        <is>
          <t>Total door-to-door</t>
        </is>
      </c>
      <c r="D71" s="109">
        <f>SUM(D59:D69)</f>
        <v/>
      </c>
    </row>
  </sheetData>
  <mergeCells count="20">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61:L61"/>
    <mergeCell ref="C55:L55"/>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out, berths</t>
        </is>
      </c>
    </row>
    <row r="2" ht="15" customHeight="1" s="56">
      <c r="A2" s="62" t="inlineStr">
        <is>
          <t>Same overland way out as 'Overland out (seats)' with a platskart berth to Zamyn-Uud and a hard sleeper on T301; arrive on day 1 morning, one hotel night; K28 seat + Air China home.</t>
        </is>
      </c>
    </row>
    <row r="4" ht="15" customHeight="1" s="56">
      <c r="A4" s="60" t="inlineStr">
        <is>
          <t>Days in destination (meals &amp; local transport)</t>
        </is>
      </c>
      <c r="B4" s="76" t="n">
        <v>4</v>
      </c>
      <c r="C4" s="62" t="inlineStr">
        <is>
          <t>12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CA955 Beijing Capital (PEK) 12:55 → Ulaanbaatar 15:05, nonstop</t>
        </is>
      </c>
      <c r="C10" s="83" t="inlineStr">
        <is>
          <t>16 Nov</t>
        </is>
      </c>
      <c r="D10" s="84" t="n">
        <v>0.09027777777777778</v>
      </c>
      <c r="E10" s="85" t="n">
        <v>171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US$171 pp, cheapest that day (MIAT OM224 11:30 US$193 on Trip.com / $176 on SlickTrip; Air China 08:25 $215; Capital + Hunnu via Erenhot $196)</t>
        </is>
      </c>
    </row>
    <row r="11" s="56">
      <c r="A11" s="79" t="inlineStr">
        <is>
          <t>Trains &amp; border crossing</t>
        </is>
      </c>
      <c r="B11" s="80" t="n"/>
      <c r="C11" s="80" t="n"/>
      <c r="D11" s="80" t="n"/>
      <c r="E11" s="80" t="n"/>
      <c r="F11" s="80" t="n"/>
      <c r="G11" s="80" t="n"/>
      <c r="H11" s="80" t="n"/>
      <c r="I11" s="80" t="n"/>
      <c r="J11" s="80" t="n"/>
      <c r="K11" s="80" t="n"/>
      <c r="L11" s="80" t="n"/>
    </row>
    <row r="12" ht="30" customHeight="1" s="56">
      <c r="B12" s="111" t="inlineStr">
        <is>
          <t>UBTZ train 276 Ulaanbaatar 16:40 → Zamyn-Uud 07:20, platskart berth incl. bedding</t>
        </is>
      </c>
      <c r="C12" s="83" t="inlineStr">
        <is>
          <t>12–13 Nov</t>
        </is>
      </c>
      <c r="D12" s="84" t="n">
        <v>0.6111111111111112</v>
      </c>
      <c r="E12" s="85" t="n">
        <v>51400</v>
      </c>
      <c r="F12" s="86" t="inlineStr">
        <is>
          <t>MNT</t>
        </is>
      </c>
      <c r="G12" s="87">
        <f>Compare!$B$6</f>
        <v/>
      </c>
      <c r="H12" s="88">
        <f>E12*G12*IF(F12="USD",Compare!$B$8,IF(F12="CNY",Compare!$B$9,IF(F12="HKD",Compare!$B$10,1)))</f>
        <v/>
      </c>
      <c r="I12" s="89">
        <f>E12</f>
        <v/>
      </c>
      <c r="J12" s="87">
        <f>Compare!$B$7</f>
        <v/>
      </c>
      <c r="K12" s="88">
        <f>I12*J12*IF(F12="USD",Compare!$B$8,IF(F12="CNY",Compare!$B$9,IF(F12="HKD",Compare!$B$10,1)))</f>
        <v/>
      </c>
      <c r="L12" s="112" t="inlineStr">
        <is>
          <t>eticket.ubtz.mn 22 Oct: daily; seat ₮26,000 (69 free on 12 Nov); platskart ₮44,000 + bedding ₮7,400; kupe ₮73,400 + ₮7,400. On sale now.</t>
        </is>
      </c>
    </row>
    <row r="13" ht="39" customHeight="1" s="56">
      <c r="B13" s="111" t="inlineStr">
        <is>
          <t>Shared jeep Zamyn-Uud → Erenhot across the border</t>
        </is>
      </c>
      <c r="C13" s="83" t="inlineStr">
        <is>
          <t>13 Nov (morning)</t>
        </is>
      </c>
      <c r="D13" s="84" t="n">
        <v>0.125</v>
      </c>
      <c r="E13" s="113" t="n">
        <v>100</v>
      </c>
      <c r="F13" s="86" t="inlineStr">
        <is>
          <t>CNY</t>
        </is>
      </c>
      <c r="G13" s="87">
        <f>Compare!$B$6</f>
        <v/>
      </c>
      <c r="H13" s="88">
        <f>E13*G13*IF(F13="USD",Compare!$B$8,IF(F13="CNY",Compare!$B$9,IF(F13="HKD",Compare!$B$10,1)))</f>
        <v/>
      </c>
      <c r="I13" s="114">
        <f>E13</f>
        <v/>
      </c>
      <c r="J13" s="87">
        <f>Compare!$B$7</f>
        <v/>
      </c>
      <c r="K13" s="88">
        <f>I13*J13*IF(F13="USD",Compare!$B$8,IF(F13="CNY",Compare!$B$9,IF(F13="HKD",Compare!$B$10,1)))</f>
        <v/>
      </c>
      <c r="L13" s="112" t="inlineStr">
        <is>
          <t>ASSUMPTION ¥50–110 pp (Wikivoyage, travel blogs); ~3 h with both border posts. Must reach Erenhot station for 12:45 – the next train (6858 13:48) misses T301. Border hours not verified.</t>
        </is>
      </c>
    </row>
    <row r="14" ht="30" customHeight="1" s="56">
      <c r="B14" s="111" t="inlineStr">
        <is>
          <t>Train 4654 Erenhot 12:45 → Jining South 18:11, hard seat</t>
        </is>
      </c>
      <c r="C14" s="83" t="inlineStr">
        <is>
          <t>13 Nov</t>
        </is>
      </c>
      <c r="D14" s="84" t="n">
        <v>0.2263888888888889</v>
      </c>
      <c r="E14" s="85" t="n">
        <v>44.5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¥44.5, hard sleeper ¥90.5. ChinaTicketOnline confirms 11 and 13 Nov; on sale 30 Oct 15:00 for 13 Nov.</t>
        </is>
      </c>
    </row>
    <row r="15" ht="39" customHeight="1" s="56">
      <c r="B15" s="111" t="inlineStr">
        <is>
          <t>Overnight train T301 Jining South 19:30 → Shenyang 10:16, hard sleeper</t>
        </is>
      </c>
      <c r="C15" s="83" t="inlineStr">
        <is>
          <t>13–14 Nov</t>
        </is>
      </c>
      <c r="D15" s="84" t="n">
        <v>0.6152777777777778</v>
      </c>
      <c r="E15" s="85" t="n">
        <v>280.5</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seat ¥163.5, hard sleeper ¥280.5, soft ¥438.5; 1 h 19 min change at Jining South. ChinaTicketOnline confirms 13 Nov, on sale 30 Oct 15:00. Also K1567 17:31 → 09:38 (same fares).</t>
        </is>
      </c>
    </row>
    <row r="16" ht="51" customHeight="1" s="56">
      <c r="B16" s="111" t="inlineStr">
        <is>
          <t>Overnight train K28 Shenyang 22:24 → Beijing 08:40, hard seat (after the contest)</t>
        </is>
      </c>
      <c r="C16" s="83" t="inlineStr">
        <is>
          <t>15 Nov (night)</t>
        </is>
      </c>
      <c r="D16" s="84" t="n">
        <v>0.4277777777777778</v>
      </c>
      <c r="E16" s="85" t="n">
        <v>112</v>
      </c>
      <c r="F16" s="86" t="inlineStr">
        <is>
          <t>CNY</t>
        </is>
      </c>
      <c r="G16" s="87">
        <f>Compare!$B$6</f>
        <v/>
      </c>
      <c r="H16" s="88">
        <f>E16*G16*IF(F16="USD",Compare!$B$8,IF(F16="CNY",Compare!$B$9,IF(F16="HKD",Compare!$B$10,1)))</f>
        <v/>
      </c>
      <c r="I16" s="89">
        <f>E16</f>
        <v/>
      </c>
      <c r="J16" s="87">
        <f>Compare!$B$7</f>
        <v/>
      </c>
      <c r="K16" s="88">
        <f>I16*J16*IF(F16="USD",Compare!$B$8,IF(F16="CNY",Compare!$B$9,IF(F16="HKD",Compare!$B$10,1)))</f>
        <v/>
      </c>
      <c r="L16"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14–15 Nov (1 night)</t>
        </is>
      </c>
      <c r="D18" s="84" t="n"/>
      <c r="E18" s="85" t="n">
        <v>457</v>
      </c>
      <c r="F18" s="86" t="inlineStr">
        <is>
          <t>CNY</t>
        </is>
      </c>
      <c r="G18" s="91" t="n">
        <v>1</v>
      </c>
      <c r="H18" s="88">
        <f>E18*G18*IF(F18="USD",Compare!$B$8,IF(F18="CNY",Compare!$B$9,IF(F18="HKD",Compare!$B$10,1)))</f>
        <v/>
      </c>
      <c r="I18" s="85" t="n">
        <v>457</v>
      </c>
      <c r="J18" s="91" t="n">
        <v>1</v>
      </c>
      <c r="K18" s="88">
        <f>I18*J18*IF(F18="USD",Compare!$B$8,IF(F18="CNY",Compare!$B$9,IF(F18="HKD",Compare!$B$10,1)))</f>
        <v/>
      </c>
      <c r="L18" s="112" t="inlineStr">
        <is>
          <t>Trip.com 22 Oct: ¥457 for 2 Budget Twin rooms × 1 night (14–15 Nov) incl. taxes, free cancellation until 18:00 on 13 Nov; same hotel as 'Sleep value' (9.0, King Koil mattresses).</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Ulaanbaatar railway station</t>
        </is>
      </c>
      <c r="C27" s="83" t="inlineStr">
        <is>
          <t>12 Nov</t>
        </is>
      </c>
      <c r="D27" s="84" t="n">
        <v>0.02083333333333333</v>
      </c>
      <c r="E27" s="113" t="n">
        <v>30000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~30k MNT for the group (city trip)</t>
        </is>
      </c>
    </row>
    <row r="28" ht="30" customHeight="1" s="56">
      <c r="B28" s="111" t="inlineStr">
        <is>
          <t>Taxi Chinggis Khaan airport → home (UB)</t>
        </is>
      </c>
      <c r="C28" s="83" t="inlineStr">
        <is>
          <t>16 Nov</t>
        </is>
      </c>
      <c r="D28" s="84" t="n">
        <v>0.04166666666666666</v>
      </c>
      <c r="E28" s="113" t="n">
        <v>100000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100k MNT per trip for the group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Overland for ~₮0.28M per person with a berth both nights. Cheaper way out than the Air China + G153 route of 'Sleep value' (₮0.91M per person); the rest of the trip is the same (Ji Hotel twin rooms, K28 hard seat + Air China 12:55 home), with hotel nights set by the arrival time.</t>
        </is>
      </c>
    </row>
    <row r="46" ht="30" customHeight="1" s="56">
      <c r="A46" s="75" t="inlineStr">
        <is>
          <t>Trade-off</t>
        </is>
      </c>
      <c r="B46" s="74" t="inlineStr">
        <is>
          <t>Two nights sitting up on trains in a row, right before day 1 (POOR for sleep); arrive 10:16 on registration day. The jeep fare and border hours are not verified, and missing the 12:45 train costs a day. Cold Gobi border in mid-November.</t>
        </is>
      </c>
    </row>
    <row r="47" ht="15" customHeight="1" s="56">
      <c r="A47" s="75" t="inlineStr">
        <is>
          <t>Book</t>
        </is>
      </c>
      <c r="B47" s="74" t="inlineStr">
        <is>
          <t>UBTZ 276 on eticket.ubtz.mn (on sale now); 4654 and T301 on 12306 at 15:00 on 30 Oct; K28 on 12306 at 09:30 on 1 Nov; Air China home on Trip.com.</t>
        </is>
      </c>
    </row>
    <row r="48" s="56"/>
    <row r="49" s="56">
      <c r="A49" s="72" t="inlineStr">
        <is>
          <t>Day-by-day plan</t>
        </is>
      </c>
    </row>
    <row r="50" s="56">
      <c r="A50" s="96" t="inlineStr">
        <is>
          <t>Date</t>
        </is>
      </c>
      <c r="B50" s="96" t="inlineStr">
        <is>
          <t>Sleep in</t>
        </is>
      </c>
      <c r="C50" s="96" t="inlineStr">
        <is>
          <t>What happens</t>
        </is>
      </c>
    </row>
    <row r="51" ht="15" customHeight="1" s="56">
      <c r="A51" s="74" t="inlineStr">
        <is>
          <t>Thu 12 Nov</t>
        </is>
      </c>
      <c r="B51" s="74" t="inlineStr">
        <is>
          <t>Train</t>
        </is>
      </c>
      <c r="C51" s="74" t="inlineStr">
        <is>
          <t>Taxi to Ulaanbaatar station; UBTZ 276 16:40 → Zamyn-Uud (overnight).</t>
        </is>
      </c>
    </row>
    <row r="52" ht="30" customHeight="1" s="56">
      <c r="A52" s="74" t="inlineStr">
        <is>
          <t>Fri 13 Nov</t>
        </is>
      </c>
      <c r="B52" s="74" t="inlineStr">
        <is>
          <t>Train</t>
        </is>
      </c>
      <c r="C52" s="74" t="inlineStr">
        <is>
          <t>Arrive Zamyn-Uud 07:20; shared jeep across the border to Erenhot (at the station by ~12:00); 4654 12:45 → Jining South 18:11; T301 19:30 → Shenyang (overnight).</t>
        </is>
      </c>
    </row>
    <row r="53" ht="15" customHeight="1" s="56">
      <c r="A53" s="74" t="inlineStr">
        <is>
          <t>Sat 14 Nov</t>
        </is>
      </c>
      <c r="B53" s="74" t="inlineStr">
        <is>
          <t>Shenyang</t>
        </is>
      </c>
      <c r="C53" s="74" t="inlineStr">
        <is>
          <t>Arrive Shenyang 10:16; taxi to NEU Nanhu for registration and practice; check in at Ji Hotel.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12 Nov</t>
        </is>
      </c>
      <c r="B59" s="105" t="inlineStr">
        <is>
          <t>Home → Ulaanbaatar railway station</t>
        </is>
      </c>
      <c r="C59" s="82" t="inlineStr">
        <is>
          <t>Taxi</t>
        </is>
      </c>
      <c r="D59" s="104" t="n">
        <v>0.02083333333333333</v>
      </c>
      <c r="E59" s="106" t="inlineStr">
        <is>
          <t>Leave ~16:00</t>
        </is>
      </c>
      <c r="F59" s="107" t="n"/>
      <c r="G59" s="107" t="n"/>
      <c r="H59" s="107" t="n"/>
      <c r="I59" s="107" t="n"/>
      <c r="J59" s="107" t="n"/>
      <c r="K59" s="107" t="n"/>
      <c r="L59" s="107" t="n"/>
    </row>
    <row r="60" s="56">
      <c r="A60" s="105" t="inlineStr">
        <is>
          <t>12–13 Nov</t>
        </is>
      </c>
      <c r="B60" s="105" t="inlineStr">
        <is>
          <t>Ulaanbaatar → Zamyn-Uud</t>
        </is>
      </c>
      <c r="C60" s="82" t="inlineStr">
        <is>
          <t>UBTZ 276 platskart 16:40–07:20</t>
        </is>
      </c>
      <c r="D60" s="104" t="n">
        <v>0.6111111111111112</v>
      </c>
      <c r="E60" s="106" t="inlineStr">
        <is>
          <t>Overnight</t>
        </is>
      </c>
      <c r="F60" s="107" t="n"/>
      <c r="G60" s="107" t="n"/>
      <c r="H60" s="107" t="n"/>
      <c r="I60" s="107" t="n"/>
      <c r="J60" s="107" t="n"/>
      <c r="K60" s="107" t="n"/>
      <c r="L60" s="107" t="n"/>
    </row>
    <row r="61" s="56">
      <c r="A61" s="105" t="inlineStr">
        <is>
          <t>13 Nov</t>
        </is>
      </c>
      <c r="B61" s="105" t="inlineStr">
        <is>
          <t>Zamyn-Uud → Erenhot (border)</t>
        </is>
      </c>
      <c r="C61" s="82" t="inlineStr">
        <is>
          <t>Shared jeep</t>
        </is>
      </c>
      <c r="D61" s="104" t="n">
        <v>0.125</v>
      </c>
      <c r="E61" s="106" t="inlineStr">
        <is>
          <t>Estimate incl. both border posts</t>
        </is>
      </c>
      <c r="F61" s="107" t="n"/>
      <c r="G61" s="107" t="n"/>
      <c r="H61" s="107" t="n"/>
      <c r="I61" s="107" t="n"/>
      <c r="J61" s="107" t="n"/>
      <c r="K61" s="107" t="n"/>
      <c r="L61" s="107" t="n"/>
    </row>
    <row r="62" s="56">
      <c r="A62" s="105" t="inlineStr">
        <is>
          <t>13 Nov</t>
        </is>
      </c>
      <c r="B62" s="105" t="inlineStr">
        <is>
          <t>Erenhot → Jining South</t>
        </is>
      </c>
      <c r="C62" s="82" t="inlineStr">
        <is>
          <t>4654 hard seat 12:45–18:11</t>
        </is>
      </c>
      <c r="D62" s="104" t="n">
        <v>0.2263888888888889</v>
      </c>
      <c r="E62" s="106" t="n"/>
      <c r="F62" s="107" t="n"/>
      <c r="G62" s="107" t="n"/>
      <c r="H62" s="107" t="n"/>
      <c r="I62" s="107" t="n"/>
      <c r="J62" s="107" t="n"/>
      <c r="K62" s="107" t="n"/>
      <c r="L62" s="107" t="n"/>
    </row>
    <row r="63" s="56">
      <c r="A63" s="105" t="inlineStr">
        <is>
          <t>13–14 Nov</t>
        </is>
      </c>
      <c r="B63" s="105" t="inlineStr">
        <is>
          <t>Jining South → Shenyang</t>
        </is>
      </c>
      <c r="C63" s="82" t="inlineStr">
        <is>
          <t>T301 hard sleeper 19:30–10:16</t>
        </is>
      </c>
      <c r="D63" s="104" t="n">
        <v>0.6152777777777778</v>
      </c>
      <c r="E63" s="106" t="inlineStr">
        <is>
          <t>1 h 19 min change; overnight</t>
        </is>
      </c>
      <c r="F63" s="107" t="n"/>
      <c r="G63" s="107" t="n"/>
      <c r="H63" s="107" t="n"/>
      <c r="I63" s="107" t="n"/>
      <c r="J63" s="107" t="n"/>
      <c r="K63" s="107" t="n"/>
      <c r="L63" s="107" t="n"/>
    </row>
    <row r="64" s="56">
      <c r="A64" s="105" t="inlineStr">
        <is>
          <t>14 Nov</t>
        </is>
      </c>
      <c r="B64" s="105" t="inlineStr">
        <is>
          <t>Shenyang station → NEU Nanhu</t>
        </is>
      </c>
      <c r="C64" s="82" t="inlineStr">
        <is>
          <t>Taxi</t>
        </is>
      </c>
      <c r="D64" s="104" t="n">
        <v>0.01388888888888889</v>
      </c>
      <c r="E64" s="106" t="inlineStr">
        <is>
          <t>Registration day</t>
        </is>
      </c>
      <c r="F64" s="107" t="n"/>
      <c r="G64" s="107" t="n"/>
      <c r="H64" s="107" t="n"/>
      <c r="I64" s="107" t="n"/>
      <c r="J64" s="107" t="n"/>
      <c r="K64" s="107" t="n"/>
      <c r="L64" s="107" t="n"/>
    </row>
    <row r="65" s="56">
      <c r="A65" s="105" t="inlineStr">
        <is>
          <t>15 Nov</t>
        </is>
      </c>
      <c r="B65" s="105" t="inlineStr">
        <is>
          <t>NEU Nanhu → Shenyang station</t>
        </is>
      </c>
      <c r="C65" s="82" t="inlineStr">
        <is>
          <t>Taxi</t>
        </is>
      </c>
      <c r="D65" s="104" t="n">
        <v>0.01388888888888889</v>
      </c>
      <c r="E65" s="106" t="n"/>
      <c r="F65" s="107" t="n"/>
      <c r="G65" s="107" t="n"/>
      <c r="H65" s="107" t="n"/>
      <c r="I65" s="107" t="n"/>
      <c r="J65" s="107" t="n"/>
      <c r="K65" s="107" t="n"/>
      <c r="L65" s="107" t="n"/>
    </row>
    <row r="66" s="56">
      <c r="A66" s="105" t="inlineStr">
        <is>
          <t>15–16 Nov</t>
        </is>
      </c>
      <c r="B66" s="105" t="inlineStr">
        <is>
          <t>Shenyang → Beijing</t>
        </is>
      </c>
      <c r="C66" s="82" t="inlineStr">
        <is>
          <t>K28 hard seat 22:24–08:40</t>
        </is>
      </c>
      <c r="D66" s="104" t="n">
        <v>0.4277777777777778</v>
      </c>
      <c r="E66" s="106" t="inlineStr">
        <is>
          <t>Overnight, after the contest</t>
        </is>
      </c>
      <c r="F66" s="107" t="n"/>
      <c r="G66" s="107" t="n"/>
      <c r="H66" s="107" t="n"/>
      <c r="I66" s="107" t="n"/>
      <c r="J66" s="107" t="n"/>
      <c r="K66" s="107" t="n"/>
      <c r="L66" s="107" t="n"/>
    </row>
    <row r="67" s="56">
      <c r="A67" s="105" t="inlineStr">
        <is>
          <t>16 Nov</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s="56">
      <c r="A68" s="105" t="inlineStr">
        <is>
          <t>16 Nov</t>
        </is>
      </c>
      <c r="B68" s="105" t="inlineStr">
        <is>
          <t>Beijing (PEK) → Ulaanbaatar</t>
        </is>
      </c>
      <c r="C68" s="82" t="inlineStr">
        <is>
          <t>Air China 12:55–15:05</t>
        </is>
      </c>
      <c r="D68" s="104" t="n">
        <v>0.09027777777777778</v>
      </c>
      <c r="E68" s="106" t="n"/>
      <c r="F68" s="107" t="n"/>
      <c r="G68" s="107" t="n"/>
      <c r="H68" s="107" t="n"/>
      <c r="I68" s="107" t="n"/>
      <c r="J68" s="107" t="n"/>
      <c r="K68" s="107" t="n"/>
      <c r="L68" s="107" t="n"/>
    </row>
    <row r="69" s="56">
      <c r="A69" s="105" t="inlineStr">
        <is>
          <t>16 Nov</t>
        </is>
      </c>
      <c r="B69" s="105" t="inlineStr">
        <is>
          <t>Chinggis Khaan airport → home</t>
        </is>
      </c>
      <c r="C69" s="82" t="inlineStr">
        <is>
          <t>Taxi</t>
        </is>
      </c>
      <c r="D69" s="104" t="n">
        <v>0.04166666666666666</v>
      </c>
      <c r="E69" s="106" t="n"/>
      <c r="F69" s="107" t="n"/>
      <c r="G69" s="107" t="n"/>
      <c r="H69" s="107" t="n"/>
      <c r="I69" s="107" t="n"/>
      <c r="J69" s="107" t="n"/>
      <c r="K69" s="107" t="n"/>
      <c r="L69" s="107" t="n"/>
    </row>
    <row r="70" s="56"/>
    <row r="71" s="56">
      <c r="C71" s="59" t="inlineStr">
        <is>
          <t>Total door-to-door</t>
        </is>
      </c>
      <c r="D71" s="109">
        <f>SUM(D59:D69)</f>
        <v/>
      </c>
    </row>
  </sheetData>
  <mergeCells count="20">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61:L61"/>
    <mergeCell ref="C55:L55"/>
    <mergeCell ref="E66:L66"/>
    <mergeCell ref="C51:L51"/>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Manzhouli seats</t>
        </is>
      </c>
    </row>
    <row r="2" ht="15" customHeight="1" s="56">
      <c r="A2" s="62" t="inlineStr">
        <is>
          <t>Hunnu Air to Manzhouli (Wed 11 Nov), K7092 overnight to Harbin and K928 to Shenyang, both in hard seats; three hotel nights before the contest; K28 seat + Air China home.</t>
        </is>
      </c>
    </row>
    <row r="4" ht="15" customHeight="1" s="56">
      <c r="A4" s="60" t="inlineStr">
        <is>
          <t>Days in destination (meals &amp; local transport)</t>
        </is>
      </c>
      <c r="B4" s="76" t="n">
        <v>5</v>
      </c>
      <c r="C4" s="62" t="inlineStr">
        <is>
          <t>11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51" customHeight="1" s="56">
      <c r="B10" s="111" t="inlineStr">
        <is>
          <t>Hunnu Air MR881 Ulaanbaatar 13:20 → Manzhouli 15:00, nonstop</t>
        </is>
      </c>
      <c r="C10" s="83" t="inlineStr">
        <is>
          <t>Wed 11 Nov</t>
        </is>
      </c>
      <c r="D10" s="84" t="n">
        <v>0.06944444444444445</v>
      </c>
      <c r="E10" s="85" t="n">
        <v>677</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¥677 (SlickTrip $108). Flies Wed and Sat only. Checked bag ~20 kg per travel guides (not confirmed on hunnuair.com). No same-day flight on to Harbin or Shenyang: Ctrip's connections all stop overnight in Hohhot or Beijing.</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51" customHeight="1" s="56">
      <c r="B13" s="111" t="inlineStr">
        <is>
          <t>Overnight train K7092 Manzhouli 19:17 → Harbin 07:11, hard seat</t>
        </is>
      </c>
      <c r="C13" s="83" t="inlineStr">
        <is>
          <t>11–12 Nov</t>
        </is>
      </c>
      <c r="D13" s="84" t="n">
        <v>0.4958333333333333</v>
      </c>
      <c r="E13" s="85" t="n">
        <v>119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¥119, hard sleeper ¥207, soft ¥324 (K7090 20:20 → 09:08 same fares). ChinaTicketOnline confirms 11 Nov, on sale 28 Oct 16:00. Direct Manzhouli → Shenyang trains (09:05 / 11:15 / 13:40, 18–21 h) leave before the flight lands.</t>
        </is>
      </c>
    </row>
    <row r="14" ht="39" customHeight="1" s="56">
      <c r="B14" s="111" t="inlineStr">
        <is>
          <t>Train K928 Harbin 07:48 → Shenyang North 14:32, hard seat</t>
        </is>
      </c>
      <c r="C14" s="83" t="inlineStr">
        <is>
          <t>12 Nov</t>
        </is>
      </c>
      <c r="D14" s="84" t="n">
        <v>0.2805555555555556</v>
      </c>
      <c r="E14" s="85" t="n">
        <v>75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¥75, hard sleeper ¥133; same station as K7092 (37 min). T184 Harbin West 07:10 also ¥75; G1280 09:11 → 11:42 ¥267 is the fast option. On sale 29 Oct 10:00.</t>
        </is>
      </c>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12–15 Nov (3 nights)</t>
        </is>
      </c>
      <c r="D17" s="84" t="n"/>
      <c r="E17" s="85" t="n">
        <v>457</v>
      </c>
      <c r="F17" s="86" t="inlineStr">
        <is>
          <t>CNY</t>
        </is>
      </c>
      <c r="G17" s="91" t="n">
        <v>3</v>
      </c>
      <c r="H17" s="88">
        <f>E17*G17*IF(F17="USD",Compare!$B$8,IF(F17="CNY",Compare!$B$9,IF(F17="HKD",Compare!$B$10,1)))</f>
        <v/>
      </c>
      <c r="I17" s="85" t="n">
        <v>457</v>
      </c>
      <c r="J17" s="91" t="n">
        <v>3</v>
      </c>
      <c r="K17" s="88">
        <f>I17*J17*IF(F17="USD",Compare!$B$8,IF(F17="CNY",Compare!$B$9,IF(F17="HKD",Compare!$B$10,1)))</f>
        <v/>
      </c>
      <c r="L17" s="112" t="inlineStr">
        <is>
          <t>Trip.com 22 Oct: ¥1,371 for 2 rooms × 3 nights incl. taxes, free cancellation until 18:00 on 11 Nov (prepay); same price for 3 or 4 adults. 9.0 from 1,433 reviews; 16 m² rooms high in an office tower, above the street. Breakfast ¥40 optional.</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Manzhouli airport → Manzhouli station</t>
        </is>
      </c>
      <c r="C21" s="83" t="inlineStr">
        <is>
          <t>11 Nov</t>
        </is>
      </c>
      <c r="D21" s="84" t="n"/>
      <c r="E21" s="113" t="n">
        <v>30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~¥30 per car, ~10 km</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SUM(D10:D11)+SUM(D13:D15)</f>
        <v/>
      </c>
      <c r="K40" s="104">
        <f>SUM(D10:D11)+SUM(D13:D15)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45" customHeight="1" s="56">
      <c r="A44" s="75" t="inlineStr">
        <is>
          <t>Why this plan</t>
        </is>
      </c>
      <c r="B44" s="74" t="inlineStr">
        <is>
          <t>Cheapest way out by air: ~₮0.48M per person (Hunnu ¥677). Arrives 12 Nov, so it keeps the three hotel nights and the rest day of 'Sleep value'. Cheaper way out than the Air China + G153 route of 'Sleep value' (₮0.91M per person); the rest of the trip is the same (Ji Hotel twin rooms, K28 hard seat + Air China 12:55 home), with hotel nights set by the arrival time.</t>
        </is>
      </c>
    </row>
    <row r="45" ht="30" customHeight="1" s="56">
      <c r="A45" s="75" t="inlineStr">
        <is>
          <t>Trade-off</t>
        </is>
      </c>
      <c r="B45" s="74" t="inlineStr">
        <is>
          <t>Manzhouli needs an overnight train: there is no same-day flight or fast train on to Harbin or Shenyang. One night sitting up on K7092 (11 Nov), four nights before the contest; hard sleeper ¥207 or soft ¥324 instead of the seat; G1280 (¥267, arrive 11:42) instead of K928 saves 3 h. Hunnu flies only Wed / Sat.</t>
        </is>
      </c>
    </row>
    <row r="46" ht="15" customHeight="1" s="56">
      <c r="A46" s="75" t="inlineStr">
        <is>
          <t>Book</t>
        </is>
      </c>
      <c r="B46" s="74" t="inlineStr">
        <is>
          <t>Hunnu on Ctrip now; K7092 on 12306 at 16:00 on 28 Oct; K928 at 10:00 on 29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Wed 11 Nov</t>
        </is>
      </c>
      <c r="B50" s="74" t="inlineStr">
        <is>
          <t>Train (seat)</t>
        </is>
      </c>
      <c r="C50" s="74" t="inlineStr">
        <is>
          <t>Hunnu MR881 UB 13:20 → Manzhouli 15:00; taxi to Manzhouli station; K7092 19:17 → Harbin (overnight).</t>
        </is>
      </c>
    </row>
    <row r="51" ht="15" customHeight="1" s="56">
      <c r="A51" s="74" t="inlineStr">
        <is>
          <t>Thu 12 Nov</t>
        </is>
      </c>
      <c r="B51" s="74" t="inlineStr">
        <is>
          <t>Shenyang</t>
        </is>
      </c>
      <c r="C51" s="74" t="inlineStr">
        <is>
          <t>Arrive Harbin 07:11; K928 07:48 → Shenyang North 14:32; taxi to Ji Hotel.</t>
        </is>
      </c>
    </row>
    <row r="52" ht="15" customHeight="1" s="56">
      <c r="A52" s="74" t="inlineStr">
        <is>
          <t>Fri 13 Nov</t>
        </is>
      </c>
      <c r="B52" s="74" t="inlineStr">
        <is>
          <t>Shenyang</t>
        </is>
      </c>
      <c r="C52" s="74" t="inlineStr">
        <is>
          <t>Free rest day.</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11 Nov</t>
        </is>
      </c>
      <c r="B59" s="105" t="inlineStr">
        <is>
          <t>Home → Chinggis Khaan airport</t>
        </is>
      </c>
      <c r="C59" s="82" t="inlineStr">
        <is>
          <t>Taxi (~50 km)</t>
        </is>
      </c>
      <c r="D59" s="104" t="n">
        <v>0.04166666666666666</v>
      </c>
      <c r="E59" s="106" t="inlineStr">
        <is>
          <t>Leave ~10:45</t>
        </is>
      </c>
      <c r="F59" s="107" t="n"/>
      <c r="G59" s="107" t="n"/>
      <c r="H59" s="107" t="n"/>
      <c r="I59" s="107" t="n"/>
      <c r="J59" s="107" t="n"/>
      <c r="K59" s="107" t="n"/>
      <c r="L59" s="107" t="n"/>
    </row>
    <row r="60" s="56">
      <c r="A60" s="105" t="inlineStr">
        <is>
          <t>11 Nov</t>
        </is>
      </c>
      <c r="B60" s="105" t="inlineStr">
        <is>
          <t>Ulaanbaatar → Manzhouli</t>
        </is>
      </c>
      <c r="C60" s="82" t="inlineStr">
        <is>
          <t>Hunnu MR881 13:20–15:00</t>
        </is>
      </c>
      <c r="D60" s="104" t="n">
        <v>0.06944444444444445</v>
      </c>
      <c r="E60" s="106" t="n"/>
      <c r="F60" s="107" t="n"/>
      <c r="G60" s="107" t="n"/>
      <c r="H60" s="107" t="n"/>
      <c r="I60" s="107" t="n"/>
      <c r="J60" s="107" t="n"/>
      <c r="K60" s="107" t="n"/>
      <c r="L60" s="107" t="n"/>
    </row>
    <row r="61" s="56">
      <c r="A61" s="105" t="inlineStr">
        <is>
          <t>11 Nov</t>
        </is>
      </c>
      <c r="B61" s="105" t="inlineStr">
        <is>
          <t>Manzhouli arrival + taxi to the station</t>
        </is>
      </c>
      <c r="C61" s="82" t="inlineStr">
        <is>
          <t>Taxi</t>
        </is>
      </c>
      <c r="D61" s="104" t="n">
        <v>0.04166666666666666</v>
      </c>
      <c r="E61" s="106" t="inlineStr">
        <is>
          <t>Estimate</t>
        </is>
      </c>
      <c r="F61" s="107" t="n"/>
      <c r="G61" s="107" t="n"/>
      <c r="H61" s="107" t="n"/>
      <c r="I61" s="107" t="n"/>
      <c r="J61" s="107" t="n"/>
      <c r="K61" s="107" t="n"/>
      <c r="L61" s="107" t="n"/>
    </row>
    <row r="62" s="56">
      <c r="A62" s="105" t="inlineStr">
        <is>
          <t>11–12 Nov</t>
        </is>
      </c>
      <c r="B62" s="105" t="inlineStr">
        <is>
          <t>Manzhouli → Harbin</t>
        </is>
      </c>
      <c r="C62" s="82" t="inlineStr">
        <is>
          <t>K7092 hard seat 19:17–07:11</t>
        </is>
      </c>
      <c r="D62" s="104" t="n">
        <v>0.4958333333333333</v>
      </c>
      <c r="E62" s="106" t="inlineStr">
        <is>
          <t>Overnight</t>
        </is>
      </c>
      <c r="F62" s="107" t="n"/>
      <c r="G62" s="107" t="n"/>
      <c r="H62" s="107" t="n"/>
      <c r="I62" s="107" t="n"/>
      <c r="J62" s="107" t="n"/>
      <c r="K62" s="107" t="n"/>
      <c r="L62" s="107" t="n"/>
    </row>
    <row r="63" s="56">
      <c r="A63" s="105" t="inlineStr">
        <is>
          <t>12 Nov</t>
        </is>
      </c>
      <c r="B63" s="105" t="inlineStr">
        <is>
          <t>Harbin → Shenyang North</t>
        </is>
      </c>
      <c r="C63" s="82" t="inlineStr">
        <is>
          <t>K928 hard seat 07:48–14:32</t>
        </is>
      </c>
      <c r="D63" s="104" t="n">
        <v>0.2805555555555556</v>
      </c>
      <c r="E63" s="106" t="inlineStr">
        <is>
          <t>Same station, 37 min change</t>
        </is>
      </c>
      <c r="F63" s="107" t="n"/>
      <c r="G63" s="107" t="n"/>
      <c r="H63" s="107" t="n"/>
      <c r="I63" s="107" t="n"/>
      <c r="J63" s="107" t="n"/>
      <c r="K63" s="107" t="n"/>
      <c r="L63" s="107" t="n"/>
    </row>
    <row r="64" s="56">
      <c r="A64" s="105" t="inlineStr">
        <is>
          <t>12 Nov</t>
        </is>
      </c>
      <c r="B64" s="105" t="inlineStr">
        <is>
          <t>Shenyang North → Ji Hotel</t>
        </is>
      </c>
      <c r="C64" s="82" t="inlineStr">
        <is>
          <t>Taxi</t>
        </is>
      </c>
      <c r="D64" s="104" t="n">
        <v>0.01736111111111111</v>
      </c>
      <c r="E64" s="106" t="n"/>
      <c r="F64" s="107" t="n"/>
      <c r="G64" s="107" t="n"/>
      <c r="H64" s="107" t="n"/>
      <c r="I64" s="107" t="n"/>
      <c r="J64" s="107" t="n"/>
      <c r="K64" s="107" t="n"/>
      <c r="L64" s="107" t="n"/>
    </row>
    <row r="65" s="56">
      <c r="A65" s="105" t="inlineStr">
        <is>
          <t>13–15 Nov</t>
        </is>
      </c>
      <c r="B65" s="105" t="inlineStr">
        <is>
          <t>Hotel ↔ NEU Nanhu (each way)</t>
        </is>
      </c>
      <c r="C65" s="82" t="inlineStr">
        <is>
          <t>Walk</t>
        </is>
      </c>
      <c r="D65" s="104" t="inlineStr">
        <is>
          <t>daily</t>
        </is>
      </c>
      <c r="E65" s="106" t="inlineStr">
        <is>
          <t>~15 min walk</t>
        </is>
      </c>
      <c r="F65" s="107" t="n"/>
      <c r="G65" s="107" t="n"/>
      <c r="H65" s="107" t="n"/>
      <c r="I65" s="107" t="n"/>
      <c r="J65" s="107" t="n"/>
      <c r="K65" s="107" t="n"/>
      <c r="L65" s="107" t="n"/>
    </row>
    <row r="66" s="56">
      <c r="A66" s="105" t="inlineStr">
        <is>
          <t>15 Nov</t>
        </is>
      </c>
      <c r="B66" s="105" t="inlineStr">
        <is>
          <t>NEU Nanhu → Shenyang station</t>
        </is>
      </c>
      <c r="C66" s="82" t="inlineStr">
        <is>
          <t>Taxi</t>
        </is>
      </c>
      <c r="D66" s="104" t="n">
        <v>0.01388888888888889</v>
      </c>
      <c r="E66" s="106" t="n"/>
      <c r="F66" s="107" t="n"/>
      <c r="G66" s="107" t="n"/>
      <c r="H66" s="107" t="n"/>
      <c r="I66" s="107" t="n"/>
      <c r="J66" s="107" t="n"/>
      <c r="K66" s="107" t="n"/>
      <c r="L66" s="107" t="n"/>
    </row>
    <row r="67" s="56">
      <c r="A67" s="105" t="inlineStr">
        <is>
          <t>15–16 Nov</t>
        </is>
      </c>
      <c r="B67" s="105" t="inlineStr">
        <is>
          <t>Shenyang → Beijing</t>
        </is>
      </c>
      <c r="C67" s="82" t="inlineStr">
        <is>
          <t>K28 hard seat 22:24–08:40</t>
        </is>
      </c>
      <c r="D67" s="104" t="n">
        <v>0.4277777777777778</v>
      </c>
      <c r="E67" s="106" t="inlineStr">
        <is>
          <t>Overnight, after the contest</t>
        </is>
      </c>
      <c r="F67" s="107" t="n"/>
      <c r="G67" s="107" t="n"/>
      <c r="H67" s="107" t="n"/>
      <c r="I67" s="107" t="n"/>
      <c r="J67" s="107" t="n"/>
      <c r="K67" s="107" t="n"/>
      <c r="L67" s="107" t="n"/>
    </row>
    <row r="68" s="56">
      <c r="A68" s="105" t="inlineStr">
        <is>
          <t>16 Nov</t>
        </is>
      </c>
      <c r="B68" s="105" t="inlineStr">
        <is>
          <t>Beijing station → PEK</t>
        </is>
      </c>
      <c r="C68" s="82" t="inlineStr">
        <is>
          <t>Metro line 2 + Airport Express</t>
        </is>
      </c>
      <c r="D68" s="104" t="n">
        <v>0.04166666666666666</v>
      </c>
      <c r="E68" s="106" t="inlineStr">
        <is>
          <t>Be at PEK by ~10:55</t>
        </is>
      </c>
      <c r="F68" s="107" t="n"/>
      <c r="G68" s="107" t="n"/>
      <c r="H68" s="107" t="n"/>
      <c r="I68" s="107" t="n"/>
      <c r="J68" s="107" t="n"/>
      <c r="K68" s="107" t="n"/>
      <c r="L68" s="107" t="n"/>
    </row>
    <row r="69" s="56">
      <c r="A69" s="105" t="inlineStr">
        <is>
          <t>16 Nov</t>
        </is>
      </c>
      <c r="B69" s="105" t="inlineStr">
        <is>
          <t>Beijing (PEK) → Ulaanbaatar</t>
        </is>
      </c>
      <c r="C69" s="82" t="inlineStr">
        <is>
          <t>Air China 12:55–15:05</t>
        </is>
      </c>
      <c r="D69" s="104" t="n">
        <v>0.09027777777777778</v>
      </c>
      <c r="E69" s="106" t="n"/>
      <c r="F69" s="107" t="n"/>
      <c r="G69" s="107" t="n"/>
      <c r="H69" s="107" t="n"/>
      <c r="I69" s="107" t="n"/>
      <c r="J69" s="107" t="n"/>
      <c r="K69" s="107" t="n"/>
      <c r="L69" s="107" t="n"/>
    </row>
    <row r="70" s="56">
      <c r="A70" s="105" t="inlineStr">
        <is>
          <t>16 Nov</t>
        </is>
      </c>
      <c r="B70" s="105" t="inlineStr">
        <is>
          <t>Chinggis Khaan airport → home</t>
        </is>
      </c>
      <c r="C70" s="82" t="inlineStr">
        <is>
          <t>Taxi</t>
        </is>
      </c>
      <c r="D70" s="104" t="n">
        <v>0.04166666666666666</v>
      </c>
      <c r="E70" s="106" t="n"/>
      <c r="F70" s="107" t="n"/>
      <c r="G70" s="107" t="n"/>
      <c r="H70" s="107" t="n"/>
      <c r="I70" s="107" t="n"/>
      <c r="J70" s="107" t="n"/>
      <c r="K70" s="107" t="n"/>
      <c r="L70" s="107" t="n"/>
    </row>
    <row r="71" s="56"/>
    <row r="72">
      <c r="C72" s="59" t="inlineStr">
        <is>
          <t>Total door-to-door</t>
        </is>
      </c>
      <c r="D72" s="109">
        <f>SUM(D59:D70)</f>
        <v/>
      </c>
    </row>
  </sheetData>
  <mergeCells count="22">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E70:L70"/>
    <mergeCell ref="C50:L50"/>
    <mergeCell ref="E61:L61"/>
    <mergeCell ref="C55:L55"/>
    <mergeCell ref="E66:L66"/>
    <mergeCell ref="C51:L51"/>
    <mergeCell ref="B45:L4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Hunnu Daxing + K341</t>
        </is>
      </c>
    </row>
    <row r="2" ht="15" customHeight="1" s="56">
      <c r="A2" s="62" t="inlineStr">
        <is>
          <t>Hunnu Air to Beijing Daxing on Fri 13 Nov, K341 overnight to Shenyang in a hard seat; arrive on day 1 morning, one hotel night;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Hunnu Air MR801 Ulaanbaatar 17:55 → Beijing Daxing (PKX) 20:15, nonstop</t>
        </is>
      </c>
      <c r="C10" s="83" t="inlineStr">
        <is>
          <t>Fri 13 Nov</t>
        </is>
      </c>
      <c r="D10" s="84" t="n">
        <v>0.09722222222222222</v>
      </c>
      <c r="E10" s="85" t="n">
        <v>921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¥921 (SlickTrip $186; MIAT 17:15 ¥975, Air China 16:10 ¥1,031 the same day). Checked bag ~20 kg per travel guides (not confirmed).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9" customHeight="1" s="56">
      <c r="B13" s="111" t="inlineStr">
        <is>
          <t>Overnight train K341 Beijing 23:00 → Shenyang 08:47, hard seat</t>
        </is>
      </c>
      <c r="C13" s="83" t="inlineStr">
        <is>
          <t>13–14 Nov</t>
        </is>
      </c>
      <c r="D13" s="84" t="n">
        <v>0.4076388888888889</v>
      </c>
      <c r="E13" s="85" t="n">
        <v>112</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¥112, hard sleeper ¥194. ChinaTicketOnline confirms 13 Nov, on sale 30 Oct 10:00. Fallback if late: G-trains from Beijing Chaoyang next morning (¥355–369, e.g. G101 08:00).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14–15 Nov (1 night)</t>
        </is>
      </c>
      <c r="D16" s="84" t="n"/>
      <c r="E16" s="85" t="n">
        <v>457</v>
      </c>
      <c r="F16" s="86" t="inlineStr">
        <is>
          <t>CNY</t>
        </is>
      </c>
      <c r="G16" s="91" t="n">
        <v>1</v>
      </c>
      <c r="H16" s="88">
        <f>E16*G16*IF(F16="USD",Compare!$B$8,IF(F16="CNY",Compare!$B$9,IF(F16="HKD",Compare!$B$10,1)))</f>
        <v/>
      </c>
      <c r="I16" s="85" t="n">
        <v>457</v>
      </c>
      <c r="J16" s="91" t="n">
        <v>1</v>
      </c>
      <c r="K16" s="88">
        <f>I16*J16*IF(F16="USD",Compare!$B$8,IF(F16="CNY",Compare!$B$9,IF(F16="HKD",Compare!$B$10,1)))</f>
        <v/>
      </c>
      <c r="L16" s="112" t="inlineStr">
        <is>
          <t>Trip.com 22 Oct: ¥457 for 2 Budget Twin rooms × 1 night (14–15 Nov) incl. taxes, free cancellation until 18:00 on 13 Nov; same hotel as 'Sleep value' (9.0, King Koil mattresses).</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Daxing Airport Express + metro to Beijing station</t>
        </is>
      </c>
      <c r="C20" s="83" t="inlineStr">
        <is>
          <t>13 Nov</t>
        </is>
      </c>
      <c r="D20" s="84" t="n"/>
      <c r="E20" s="113" t="n">
        <v>40</v>
      </c>
      <c r="F20" s="86" t="inlineStr">
        <is>
          <t>CNY</t>
        </is>
      </c>
      <c r="G20" s="87">
        <f>Compare!$B$6</f>
        <v/>
      </c>
      <c r="H20" s="88">
        <f>E20*G20*IF(F20="USD",Compare!$B$8,IF(F20="CNY",Compare!$B$9,IF(F20="HKD",Compare!$B$10,1)))</f>
        <v/>
      </c>
      <c r="I20" s="114">
        <f>E20</f>
        <v/>
      </c>
      <c r="J20" s="87">
        <f>Compare!$B$7</f>
        <v/>
      </c>
      <c r="K20" s="88">
        <f>I20*J20*IF(F20="USD",Compare!$B$8,IF(F20="CNY",Compare!$B$9,IF(F20="HKD",Compare!$B$10,1)))</f>
        <v/>
      </c>
      <c r="L20" s="112" t="inlineStr">
        <is>
          <t>ASSUMPTION ~¥35 + ¥5 pp, ~1 h 15 min</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~₮0.58M per person to Shenyang and only one hotel night and three days of meals. Cheaper way out than the Air China + G153 route of 'Sleep value' (₮0.91M per person); the rest of the trip is the same (Ji Hotel twin rooms, K28 hard seat + Air China 12:55 home), with hotel nights set by the arrival time.</t>
        </is>
      </c>
    </row>
    <row r="44" ht="30" customHeight="1" s="56">
      <c r="A44" s="75" t="inlineStr">
        <is>
          <t>Trade-off</t>
        </is>
      </c>
      <c r="B44" s="74" t="inlineStr">
        <is>
          <t>The night before day 1 is spent sitting up on K341 (POOR for sleep) and you arrive on registration morning. Only 45–60 min between landing and the 23:00 train; if it is missed, take a G-train next morning (¥355–369). Daxing is ~1 h 15 min from Beijing station.</t>
        </is>
      </c>
    </row>
    <row r="45" ht="15" customHeight="1" s="56">
      <c r="A45" s="75" t="inlineStr">
        <is>
          <t>Book</t>
        </is>
      </c>
      <c r="B45" s="74" t="inlineStr">
        <is>
          <t>Hunnu on Ctrip now; K341 on 12306 at 10:00 on 30 Oct; K28 on 12306 at 09:30 on 1 Nov; Air China home on Trip.com.</t>
        </is>
      </c>
    </row>
    <row r="46" s="56"/>
    <row r="47" s="56">
      <c r="A47" s="72" t="inlineStr">
        <is>
          <t>Day-by-day plan</t>
        </is>
      </c>
    </row>
    <row r="48" s="56">
      <c r="A48" s="96" t="inlineStr">
        <is>
          <t>Date</t>
        </is>
      </c>
      <c r="B48" s="96" t="inlineStr">
        <is>
          <t>Sleep in</t>
        </is>
      </c>
      <c r="C48" s="96" t="inlineStr">
        <is>
          <t>What happens</t>
        </is>
      </c>
    </row>
    <row r="49" ht="15" customHeight="1" s="56">
      <c r="A49" s="74" t="inlineStr">
        <is>
          <t>Fri 13 Nov</t>
        </is>
      </c>
      <c r="B49" s="74" t="inlineStr">
        <is>
          <t>Train (seat)</t>
        </is>
      </c>
      <c r="C49" s="74" t="inlineStr">
        <is>
          <t>Hunnu MR801 UB 17:55 → Beijing Daxing 20:15; Daxing Airport Express + metro to Beijing station; K341 23:00 → Shenyang (overnight).</t>
        </is>
      </c>
    </row>
    <row r="50" ht="15" customHeight="1" s="56">
      <c r="A50" s="74" t="inlineStr">
        <is>
          <t>Sat 14 Nov</t>
        </is>
      </c>
      <c r="B50" s="74" t="inlineStr">
        <is>
          <t>Shenyang</t>
        </is>
      </c>
      <c r="C50" s="74" t="inlineStr">
        <is>
          <t>Arrive Shenyang 08:47; taxi to NEU Nanhu for registration and practice; check in at Ji Hotel. Lights out ~22:30.</t>
        </is>
      </c>
    </row>
    <row r="51" ht="30" customHeight="1" s="56">
      <c r="A51" s="74" t="inlineStr">
        <is>
          <t>Sun 15 Nov</t>
        </is>
      </c>
      <c r="B51" s="74" t="inlineStr">
        <is>
          <t>Train (seat)</t>
        </is>
      </c>
      <c r="C51" s="74" t="inlineStr">
        <is>
          <t>CONTEST. Wake ~06:50, walk ~15 min. Check out before leaving, luggage stored at the hotel. Awards ~17:00; taxi to Shenyang station; K28 22:24 hard seat → Beijing 08:40.</t>
        </is>
      </c>
    </row>
    <row r="52" ht="15" customHeight="1" s="56">
      <c r="A52" s="74" t="inlineStr">
        <is>
          <t>Mon 16 Nov</t>
        </is>
      </c>
      <c r="B52" s="74" t="inlineStr">
        <is>
          <t>Home</t>
        </is>
      </c>
      <c r="C52" s="74" t="inlineStr">
        <is>
          <t>Metro line 2 + Airport Express to PEK T3 (~1 h). Air China 12:55 → UB 15:05.</t>
        </is>
      </c>
    </row>
    <row r="53" s="56"/>
    <row r="54" s="56">
      <c r="A54" s="72" t="inlineStr">
        <is>
          <t>Door-to-door travel times</t>
        </is>
      </c>
    </row>
    <row r="55" s="56">
      <c r="A55" s="96" t="inlineStr">
        <is>
          <t>Date</t>
        </is>
      </c>
      <c r="B55" s="96" t="inlineStr">
        <is>
          <t>Leg</t>
        </is>
      </c>
      <c r="C55" s="96" t="inlineStr">
        <is>
          <t>Mode</t>
        </is>
      </c>
      <c r="D55" s="96" t="inlineStr">
        <is>
          <t>Expected time</t>
        </is>
      </c>
      <c r="E55" s="96" t="inlineStr">
        <is>
          <t>Notes</t>
        </is>
      </c>
    </row>
    <row r="56" s="56">
      <c r="A56" s="105" t="inlineStr">
        <is>
          <t>13 Nov</t>
        </is>
      </c>
      <c r="B56" s="105" t="inlineStr">
        <is>
          <t>Home → Chinggis Khaan airport</t>
        </is>
      </c>
      <c r="C56" s="82" t="inlineStr">
        <is>
          <t>Taxi (~50 km)</t>
        </is>
      </c>
      <c r="D56" s="104" t="n">
        <v>0.04166666666666666</v>
      </c>
      <c r="E56" s="106" t="inlineStr">
        <is>
          <t>Leave ~15:00</t>
        </is>
      </c>
      <c r="F56" s="107" t="n"/>
      <c r="G56" s="107" t="n"/>
      <c r="H56" s="107" t="n"/>
      <c r="I56" s="107" t="n"/>
      <c r="J56" s="107" t="n"/>
      <c r="K56" s="107" t="n"/>
      <c r="L56" s="107" t="n"/>
    </row>
    <row r="57" s="56">
      <c r="A57" s="105" t="inlineStr">
        <is>
          <t>13 Nov</t>
        </is>
      </c>
      <c r="B57" s="105" t="inlineStr">
        <is>
          <t>Ulaanbaatar → Beijing Daxing</t>
        </is>
      </c>
      <c r="C57" s="82" t="inlineStr">
        <is>
          <t>Hunnu MR801 17:55–20:15</t>
        </is>
      </c>
      <c r="D57" s="104" t="n">
        <v>0.09722222222222222</v>
      </c>
      <c r="E57" s="106" t="n"/>
      <c r="F57" s="107" t="n"/>
      <c r="G57" s="107" t="n"/>
      <c r="H57" s="107" t="n"/>
      <c r="I57" s="107" t="n"/>
      <c r="J57" s="107" t="n"/>
      <c r="K57" s="107" t="n"/>
      <c r="L57" s="107" t="n"/>
    </row>
    <row r="58" s="56">
      <c r="A58" s="105" t="inlineStr">
        <is>
          <t>13 Nov</t>
        </is>
      </c>
      <c r="B58" s="105" t="inlineStr">
        <is>
          <t>PKX arrival: immigration, bags</t>
        </is>
      </c>
      <c r="C58" s="82" t="inlineStr">
        <is>
          <t>—</t>
        </is>
      </c>
      <c r="D58" s="104" t="n">
        <v>0.03125</v>
      </c>
      <c r="E58" s="106" t="inlineStr">
        <is>
          <t>Estimate</t>
        </is>
      </c>
      <c r="F58" s="107" t="n"/>
      <c r="G58" s="107" t="n"/>
      <c r="H58" s="107" t="n"/>
      <c r="I58" s="107" t="n"/>
      <c r="J58" s="107" t="n"/>
      <c r="K58" s="107" t="n"/>
      <c r="L58" s="107" t="n"/>
    </row>
    <row r="59" s="56">
      <c r="A59" s="105" t="inlineStr">
        <is>
          <t>13 Nov</t>
        </is>
      </c>
      <c r="B59" s="105" t="inlineStr">
        <is>
          <t>Daxing → Beijing station</t>
        </is>
      </c>
      <c r="C59" s="82" t="inlineStr">
        <is>
          <t>Daxing Airport Express + metro</t>
        </is>
      </c>
      <c r="D59" s="104" t="n">
        <v>0.05208333333333334</v>
      </c>
      <c r="E59" s="106" t="inlineStr">
        <is>
          <t>Estimate; ~45 min spare</t>
        </is>
      </c>
      <c r="F59" s="107" t="n"/>
      <c r="G59" s="107" t="n"/>
      <c r="H59" s="107" t="n"/>
      <c r="I59" s="107" t="n"/>
      <c r="J59" s="107" t="n"/>
      <c r="K59" s="107" t="n"/>
      <c r="L59" s="107" t="n"/>
    </row>
    <row r="60" s="56">
      <c r="A60" s="105" t="inlineStr">
        <is>
          <t>13–14 Nov</t>
        </is>
      </c>
      <c r="B60" s="105" t="inlineStr">
        <is>
          <t>Beijing → Shenyang</t>
        </is>
      </c>
      <c r="C60" s="82" t="inlineStr">
        <is>
          <t>K341 hard seat 23:00–08:47</t>
        </is>
      </c>
      <c r="D60" s="104" t="n">
        <v>0.4076388888888889</v>
      </c>
      <c r="E60" s="106" t="inlineStr">
        <is>
          <t>Overnight</t>
        </is>
      </c>
      <c r="F60" s="107" t="n"/>
      <c r="G60" s="107" t="n"/>
      <c r="H60" s="107" t="n"/>
      <c r="I60" s="107" t="n"/>
      <c r="J60" s="107" t="n"/>
      <c r="K60" s="107" t="n"/>
      <c r="L60" s="107" t="n"/>
    </row>
    <row r="61" s="56">
      <c r="A61" s="105" t="inlineStr">
        <is>
          <t>14 Nov</t>
        </is>
      </c>
      <c r="B61" s="105" t="inlineStr">
        <is>
          <t>Shenyang station → NEU Nanhu</t>
        </is>
      </c>
      <c r="C61" s="82" t="inlineStr">
        <is>
          <t>Taxi</t>
        </is>
      </c>
      <c r="D61" s="104" t="n">
        <v>0.01388888888888889</v>
      </c>
      <c r="E61" s="106" t="inlineStr">
        <is>
          <t>Registration day</t>
        </is>
      </c>
      <c r="F61" s="107" t="n"/>
      <c r="G61" s="107" t="n"/>
      <c r="H61" s="107" t="n"/>
      <c r="I61" s="107" t="n"/>
      <c r="J61" s="107" t="n"/>
      <c r="K61" s="107" t="n"/>
      <c r="L61" s="107" t="n"/>
    </row>
    <row r="62" s="56">
      <c r="A62" s="105" t="inlineStr">
        <is>
          <t>15 Nov</t>
        </is>
      </c>
      <c r="B62" s="105" t="inlineStr">
        <is>
          <t>NEU Nanhu → Shenyang station</t>
        </is>
      </c>
      <c r="C62" s="82" t="inlineStr">
        <is>
          <t>Taxi</t>
        </is>
      </c>
      <c r="D62" s="104" t="n">
        <v>0.01388888888888889</v>
      </c>
      <c r="E62" s="106" t="n"/>
      <c r="F62" s="107" t="n"/>
      <c r="G62" s="107" t="n"/>
      <c r="H62" s="107" t="n"/>
      <c r="I62" s="107" t="n"/>
      <c r="J62" s="107" t="n"/>
      <c r="K62" s="107" t="n"/>
      <c r="L62" s="107" t="n"/>
    </row>
    <row r="63" s="56">
      <c r="A63" s="105" t="inlineStr">
        <is>
          <t>15–16 Nov</t>
        </is>
      </c>
      <c r="B63" s="105" t="inlineStr">
        <is>
          <t>Shenyang → Beijing</t>
        </is>
      </c>
      <c r="C63" s="82" t="inlineStr">
        <is>
          <t>K28 hard seat 22:24–08:40</t>
        </is>
      </c>
      <c r="D63" s="104" t="n">
        <v>0.4277777777777778</v>
      </c>
      <c r="E63" s="106" t="inlineStr">
        <is>
          <t>Overnight, after the contest</t>
        </is>
      </c>
      <c r="F63" s="107" t="n"/>
      <c r="G63" s="107" t="n"/>
      <c r="H63" s="107" t="n"/>
      <c r="I63" s="107" t="n"/>
      <c r="J63" s="107" t="n"/>
      <c r="K63" s="107" t="n"/>
      <c r="L63" s="107" t="n"/>
    </row>
    <row r="64"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s="56"/>
    <row r="68" s="56">
      <c r="C68" s="59" t="inlineStr">
        <is>
          <t>Total door-to-door</t>
        </is>
      </c>
      <c r="D68" s="109">
        <f>SUM(D56:D66)</f>
        <v/>
      </c>
    </row>
    <row r="69" s="56"/>
    <row r="70" s="56"/>
    <row r="71" s="56"/>
  </sheetData>
  <mergeCells count="19">
    <mergeCell ref="E56:L56"/>
    <mergeCell ref="E58:L58"/>
    <mergeCell ref="C52:L52"/>
    <mergeCell ref="E62:L62"/>
    <mergeCell ref="B43:L4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MIAT 13 Nov + K341</t>
        </is>
      </c>
    </row>
    <row r="2" ht="15" customHeight="1" s="56">
      <c r="A2" s="62" t="inlineStr">
        <is>
          <t>MIAT to Beijing Capital on Fri 13 Nov 17:15, K341 overnight to Shenyang in a hard seat; arrive on day 1 morning, one hotel night;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MIAT OM223 Ulaanbaatar 17:15 → Beijing Capital (PEK) 19:30, nonstop</t>
        </is>
      </c>
      <c r="C10" s="83" t="inlineStr">
        <is>
          <t>Fri 13 Nov</t>
        </is>
      </c>
      <c r="D10" s="84" t="n">
        <v>0.09375</v>
      </c>
      <c r="E10" s="85" t="n">
        <v>975</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¥975 (SlickTrip $154; Trip.com $151 on 30 Sep). Checked bag included.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9" customHeight="1" s="56">
      <c r="B13" s="111" t="inlineStr">
        <is>
          <t>Overnight train K341 Beijing 23:00 → Shenyang 08:47, hard seat</t>
        </is>
      </c>
      <c r="C13" s="83" t="inlineStr">
        <is>
          <t>13–14 Nov</t>
        </is>
      </c>
      <c r="D13" s="84" t="n">
        <v>0.4076388888888889</v>
      </c>
      <c r="E13" s="85" t="n">
        <v>112</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¥112, hard sleeper ¥194. ChinaTicketOnline confirms 13 Nov, on sale 30 Oct 10:00. Fallback if late: G-trains from Beijing Chaoyang next morning (¥355–369, e.g. G101 08:00).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14–15 Nov (1 night)</t>
        </is>
      </c>
      <c r="D16" s="84" t="n"/>
      <c r="E16" s="85" t="n">
        <v>457</v>
      </c>
      <c r="F16" s="86" t="inlineStr">
        <is>
          <t>CNY</t>
        </is>
      </c>
      <c r="G16" s="91" t="n">
        <v>1</v>
      </c>
      <c r="H16" s="88">
        <f>E16*G16*IF(F16="USD",Compare!$B$8,IF(F16="CNY",Compare!$B$9,IF(F16="HKD",Compare!$B$10,1)))</f>
        <v/>
      </c>
      <c r="I16" s="85" t="n">
        <v>457</v>
      </c>
      <c r="J16" s="91" t="n">
        <v>1</v>
      </c>
      <c r="K16" s="88">
        <f>I16*J16*IF(F16="USD",Compare!$B$8,IF(F16="CNY",Compare!$B$9,IF(F16="HKD",Compare!$B$10,1)))</f>
        <v/>
      </c>
      <c r="L16" s="112" t="inlineStr">
        <is>
          <t>Trip.com 22 Oct: ¥457 for 2 Budget Twin rooms × 1 night (14–15 Nov) incl. taxes, free cancellation until 18:00 on 13 Nov; same hotel as 'Sleep value' (9.0, King Koil mattresses).</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Airport Express + metro line 2, PEK → Beijing station</t>
        </is>
      </c>
      <c r="C20" s="83" t="inlineStr">
        <is>
          <t>13 Nov</t>
        </is>
      </c>
      <c r="D20" s="84" t="n"/>
      <c r="E20" s="113" t="n">
        <v>30</v>
      </c>
      <c r="F20" s="86" t="inlineStr">
        <is>
          <t>CNY</t>
        </is>
      </c>
      <c r="G20" s="87">
        <f>Compare!$B$6</f>
        <v/>
      </c>
      <c r="H20" s="88">
        <f>E20*G20*IF(F20="USD",Compare!$B$8,IF(F20="CNY",Compare!$B$9,IF(F20="HKD",Compare!$B$10,1)))</f>
        <v/>
      </c>
      <c r="I20" s="114">
        <f>E20</f>
        <v/>
      </c>
      <c r="J20" s="87">
        <f>Compare!$B$7</f>
        <v/>
      </c>
      <c r="K20" s="88">
        <f>I20*J20*IF(F20="USD",Compare!$B$8,IF(F20="CNY",Compare!$B$9,IF(F20="HKD",Compare!$B$10,1)))</f>
        <v/>
      </c>
      <c r="L20" s="112" t="inlineStr">
        <is>
          <t>ASSUMPTION Airport Express ¥25 + metro ¥4–5 pp, ~1 h</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~₮0.60M per person to Shenyang; Beijing Capital is closer to the station than Daxing. Cheaper way out than the Air China + G153 route of 'Sleep value' (₮0.91M per person); the rest of the trip is the same (Ji Hotel twin rooms, K28 hard seat + Air China 12:55 home), with hotel nights set by the arrival time.</t>
        </is>
      </c>
    </row>
    <row r="44" ht="30" customHeight="1" s="56">
      <c r="A44" s="75" t="inlineStr">
        <is>
          <t>Trade-off</t>
        </is>
      </c>
      <c r="B44" s="74" t="inlineStr">
        <is>
          <t>The night before day 1 is spent sitting up on K341 (POOR for sleep) and you arrive on registration morning. Only 45–60 min between landing and the 23:00 train; if it is missed, take a G-train next morning (¥355–369).</t>
        </is>
      </c>
    </row>
    <row r="45" ht="15" customHeight="1" s="56">
      <c r="A45" s="75" t="inlineStr">
        <is>
          <t>Book</t>
        </is>
      </c>
      <c r="B45" s="74" t="inlineStr">
        <is>
          <t>MIAT on Ctrip now; K341 on 12306 at 10:00 on 30 Oct; K28 on 12306 at 09:30 on 1 Nov; Air China home on Trip.com.</t>
        </is>
      </c>
    </row>
    <row r="46" s="56"/>
    <row r="47" s="56">
      <c r="A47" s="72" t="inlineStr">
        <is>
          <t>Day-by-day plan</t>
        </is>
      </c>
    </row>
    <row r="48" s="56">
      <c r="A48" s="96" t="inlineStr">
        <is>
          <t>Date</t>
        </is>
      </c>
      <c r="B48" s="96" t="inlineStr">
        <is>
          <t>Sleep in</t>
        </is>
      </c>
      <c r="C48" s="96" t="inlineStr">
        <is>
          <t>What happens</t>
        </is>
      </c>
    </row>
    <row r="49" ht="15" customHeight="1" s="56">
      <c r="A49" s="74" t="inlineStr">
        <is>
          <t>Fri 13 Nov</t>
        </is>
      </c>
      <c r="B49" s="74" t="inlineStr">
        <is>
          <t>Train (seat)</t>
        </is>
      </c>
      <c r="C49" s="74" t="inlineStr">
        <is>
          <t>MIAT OM223 UB 17:15 → Beijing Capital 19:30; Airport Express + metro to Beijing station; K341 23:00 → Shenyang (overnight).</t>
        </is>
      </c>
    </row>
    <row r="50" ht="15" customHeight="1" s="56">
      <c r="A50" s="74" t="inlineStr">
        <is>
          <t>Sat 14 Nov</t>
        </is>
      </c>
      <c r="B50" s="74" t="inlineStr">
        <is>
          <t>Shenyang</t>
        </is>
      </c>
      <c r="C50" s="74" t="inlineStr">
        <is>
          <t>Arrive Shenyang 08:47; taxi to NEU Nanhu for registration and practice; check in at Ji Hotel. Lights out ~22:30.</t>
        </is>
      </c>
    </row>
    <row r="51" ht="30" customHeight="1" s="56">
      <c r="A51" s="74" t="inlineStr">
        <is>
          <t>Sun 15 Nov</t>
        </is>
      </c>
      <c r="B51" s="74" t="inlineStr">
        <is>
          <t>Train (seat)</t>
        </is>
      </c>
      <c r="C51" s="74" t="inlineStr">
        <is>
          <t>CONTEST. Wake ~06:50, walk ~15 min. Check out before leaving, luggage stored at the hotel. Awards ~17:00; taxi to Shenyang station; K28 22:24 hard seat → Beijing 08:40.</t>
        </is>
      </c>
    </row>
    <row r="52" ht="15" customHeight="1" s="56">
      <c r="A52" s="74" t="inlineStr">
        <is>
          <t>Mon 16 Nov</t>
        </is>
      </c>
      <c r="B52" s="74" t="inlineStr">
        <is>
          <t>Home</t>
        </is>
      </c>
      <c r="C52" s="74" t="inlineStr">
        <is>
          <t>Metro line 2 + Airport Express to PEK T3 (~1 h). Air China 12:55 → UB 15:05.</t>
        </is>
      </c>
    </row>
    <row r="53" s="56"/>
    <row r="54" s="56">
      <c r="A54" s="72" t="inlineStr">
        <is>
          <t>Door-to-door travel times</t>
        </is>
      </c>
    </row>
    <row r="55" s="56">
      <c r="A55" s="96" t="inlineStr">
        <is>
          <t>Date</t>
        </is>
      </c>
      <c r="B55" s="96" t="inlineStr">
        <is>
          <t>Leg</t>
        </is>
      </c>
      <c r="C55" s="96" t="inlineStr">
        <is>
          <t>Mode</t>
        </is>
      </c>
      <c r="D55" s="96" t="inlineStr">
        <is>
          <t>Expected time</t>
        </is>
      </c>
      <c r="E55" s="96" t="inlineStr">
        <is>
          <t>Notes</t>
        </is>
      </c>
    </row>
    <row r="56" s="56">
      <c r="A56" s="105" t="inlineStr">
        <is>
          <t>13 Nov</t>
        </is>
      </c>
      <c r="B56" s="105" t="inlineStr">
        <is>
          <t>Home → Chinggis Khaan airport</t>
        </is>
      </c>
      <c r="C56" s="82" t="inlineStr">
        <is>
          <t>Taxi (~50 km)</t>
        </is>
      </c>
      <c r="D56" s="104" t="n">
        <v>0.04166666666666666</v>
      </c>
      <c r="E56" s="106" t="inlineStr">
        <is>
          <t>Leave ~14:15</t>
        </is>
      </c>
      <c r="F56" s="107" t="n"/>
      <c r="G56" s="107" t="n"/>
      <c r="H56" s="107" t="n"/>
      <c r="I56" s="107" t="n"/>
      <c r="J56" s="107" t="n"/>
      <c r="K56" s="107" t="n"/>
      <c r="L56" s="107" t="n"/>
    </row>
    <row r="57" s="56">
      <c r="A57" s="105" t="inlineStr">
        <is>
          <t>13 Nov</t>
        </is>
      </c>
      <c r="B57" s="105" t="inlineStr">
        <is>
          <t>Ulaanbaatar → Beijing (PEK)</t>
        </is>
      </c>
      <c r="C57" s="82" t="inlineStr">
        <is>
          <t>MIAT OM223 17:15–19:30</t>
        </is>
      </c>
      <c r="D57" s="104" t="n">
        <v>0.09375</v>
      </c>
      <c r="E57" s="106" t="n"/>
      <c r="F57" s="107" t="n"/>
      <c r="G57" s="107" t="n"/>
      <c r="H57" s="107" t="n"/>
      <c r="I57" s="107" t="n"/>
      <c r="J57" s="107" t="n"/>
      <c r="K57" s="107" t="n"/>
      <c r="L57" s="107" t="n"/>
    </row>
    <row r="58"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s="56">
      <c r="A59" s="105" t="inlineStr">
        <is>
          <t>13 Nov</t>
        </is>
      </c>
      <c r="B59" s="105" t="inlineStr">
        <is>
          <t>PEK → Beijing station</t>
        </is>
      </c>
      <c r="C59" s="82" t="inlineStr">
        <is>
          <t>Airport Express + metro line 2</t>
        </is>
      </c>
      <c r="D59" s="104" t="n">
        <v>0.04166666666666666</v>
      </c>
      <c r="E59" s="106" t="inlineStr">
        <is>
          <t>Estimate</t>
        </is>
      </c>
      <c r="F59" s="107" t="n"/>
      <c r="G59" s="107" t="n"/>
      <c r="H59" s="107" t="n"/>
      <c r="I59" s="107" t="n"/>
      <c r="J59" s="107" t="n"/>
      <c r="K59" s="107" t="n"/>
      <c r="L59" s="107" t="n"/>
    </row>
    <row r="60" s="56">
      <c r="A60" s="105" t="inlineStr">
        <is>
          <t>13–14 Nov</t>
        </is>
      </c>
      <c r="B60" s="105" t="inlineStr">
        <is>
          <t>Beijing → Shenyang</t>
        </is>
      </c>
      <c r="C60" s="82" t="inlineStr">
        <is>
          <t>K341 hard seat 23:00–08:47</t>
        </is>
      </c>
      <c r="D60" s="104" t="n">
        <v>0.4076388888888889</v>
      </c>
      <c r="E60" s="106" t="inlineStr">
        <is>
          <t>Overnight</t>
        </is>
      </c>
      <c r="F60" s="107" t="n"/>
      <c r="G60" s="107" t="n"/>
      <c r="H60" s="107" t="n"/>
      <c r="I60" s="107" t="n"/>
      <c r="J60" s="107" t="n"/>
      <c r="K60" s="107" t="n"/>
      <c r="L60" s="107" t="n"/>
    </row>
    <row r="61" s="56">
      <c r="A61" s="105" t="inlineStr">
        <is>
          <t>14 Nov</t>
        </is>
      </c>
      <c r="B61" s="105" t="inlineStr">
        <is>
          <t>Shenyang station → NEU Nanhu</t>
        </is>
      </c>
      <c r="C61" s="82" t="inlineStr">
        <is>
          <t>Taxi</t>
        </is>
      </c>
      <c r="D61" s="104" t="n">
        <v>0.01388888888888889</v>
      </c>
      <c r="E61" s="106" t="inlineStr">
        <is>
          <t>Registration day</t>
        </is>
      </c>
      <c r="F61" s="107" t="n"/>
      <c r="G61" s="107" t="n"/>
      <c r="H61" s="107" t="n"/>
      <c r="I61" s="107" t="n"/>
      <c r="J61" s="107" t="n"/>
      <c r="K61" s="107" t="n"/>
      <c r="L61" s="107" t="n"/>
    </row>
    <row r="62" s="56">
      <c r="A62" s="105" t="inlineStr">
        <is>
          <t>15 Nov</t>
        </is>
      </c>
      <c r="B62" s="105" t="inlineStr">
        <is>
          <t>NEU Nanhu → Shenyang station</t>
        </is>
      </c>
      <c r="C62" s="82" t="inlineStr">
        <is>
          <t>Taxi</t>
        </is>
      </c>
      <c r="D62" s="104" t="n">
        <v>0.01388888888888889</v>
      </c>
      <c r="E62" s="106" t="n"/>
      <c r="F62" s="107" t="n"/>
      <c r="G62" s="107" t="n"/>
      <c r="H62" s="107" t="n"/>
      <c r="I62" s="107" t="n"/>
      <c r="J62" s="107" t="n"/>
      <c r="K62" s="107" t="n"/>
      <c r="L62" s="107" t="n"/>
    </row>
    <row r="63" s="56">
      <c r="A63" s="105" t="inlineStr">
        <is>
          <t>15–16 Nov</t>
        </is>
      </c>
      <c r="B63" s="105" t="inlineStr">
        <is>
          <t>Shenyang → Beijing</t>
        </is>
      </c>
      <c r="C63" s="82" t="inlineStr">
        <is>
          <t>K28 hard seat 22:24–08:40</t>
        </is>
      </c>
      <c r="D63" s="104" t="n">
        <v>0.4277777777777778</v>
      </c>
      <c r="E63" s="106" t="inlineStr">
        <is>
          <t>Overnight, after the contest</t>
        </is>
      </c>
      <c r="F63" s="107" t="n"/>
      <c r="G63" s="107" t="n"/>
      <c r="H63" s="107" t="n"/>
      <c r="I63" s="107" t="n"/>
      <c r="J63" s="107" t="n"/>
      <c r="K63" s="107" t="n"/>
      <c r="L63" s="107" t="n"/>
    </row>
    <row r="64"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s="56"/>
    <row r="68" s="56">
      <c r="C68" s="59" t="inlineStr">
        <is>
          <t>Total door-to-door</t>
        </is>
      </c>
      <c r="D68" s="109">
        <f>SUM(D56:D66)</f>
        <v/>
      </c>
    </row>
    <row r="69" s="56"/>
    <row r="70" s="56"/>
    <row r="71" s="56"/>
  </sheetData>
  <mergeCells count="19">
    <mergeCell ref="E56:L56"/>
    <mergeCell ref="E58:L58"/>
    <mergeCell ref="C52:L52"/>
    <mergeCell ref="E62:L62"/>
    <mergeCell ref="B43:L4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Hunnu Erenhot</t>
        </is>
      </c>
    </row>
    <row r="2" ht="15" customHeight="1" s="56">
      <c r="A2" s="62" t="inlineStr">
        <is>
          <t>Hunnu Air to Erenhot on Fri 13 Nov, then 4654 and the T301 overnight in hard seats; arrive on day 1 morning, one hotel night; K28 seat + Air China home.</t>
        </is>
      </c>
    </row>
    <row r="4" ht="15" customHeight="1" s="56">
      <c r="A4" s="60" t="inlineStr">
        <is>
          <t>Days in destination (meals &amp; local transport)</t>
        </is>
      </c>
      <c r="B4" s="76" t="n">
        <v>3.5</v>
      </c>
      <c r="C4" s="62" t="inlineStr">
        <is>
          <t>13 Nov morning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Hunnu Air MR861 Ulaanbaatar 08:45 → Erenhot 10:00, nonstop</t>
        </is>
      </c>
      <c r="C10" s="83" t="inlineStr">
        <is>
          <t>Fri 13 Nov</t>
        </is>
      </c>
      <c r="D10" s="84" t="n">
        <v>0.05208333333333334</v>
      </c>
      <c r="E10" s="85" t="n">
        <v>136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22 Oct: $136 on 11, 12 and 13 Nov (usual $120–140). Checked bag ~20 kg per travel guides (not confirmed).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 &amp; border crossing</t>
        </is>
      </c>
      <c r="B12" s="80" t="n"/>
      <c r="C12" s="80" t="n"/>
      <c r="D12" s="80" t="n"/>
      <c r="E12" s="80" t="n"/>
      <c r="F12" s="80" t="n"/>
      <c r="G12" s="80" t="n"/>
      <c r="H12" s="80" t="n"/>
      <c r="I12" s="80" t="n"/>
      <c r="J12" s="80" t="n"/>
      <c r="K12" s="80" t="n"/>
      <c r="L12" s="80" t="n"/>
    </row>
    <row r="13" ht="30" customHeight="1" s="56">
      <c r="B13" s="111" t="inlineStr">
        <is>
          <t>Train 4654 Erenhot 12:45 → Jining South 18:11, hard seat</t>
        </is>
      </c>
      <c r="C13" s="83" t="inlineStr">
        <is>
          <t>13 Nov</t>
        </is>
      </c>
      <c r="D13" s="84" t="n">
        <v>0.2263888888888889</v>
      </c>
      <c r="E13" s="85" t="n">
        <v>44.5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¥44.5, hard sleeper ¥90.5. ChinaTicketOnline confirms 11 and 13 Nov; on sale 30 Oct 15:00 for 13 Nov.</t>
        </is>
      </c>
    </row>
    <row r="14" ht="39" customHeight="1" s="56">
      <c r="B14" s="111" t="inlineStr">
        <is>
          <t>Overnight train T301 Jining South 19:30 → Shenyang 10:16, hard seat</t>
        </is>
      </c>
      <c r="C14" s="83" t="inlineStr">
        <is>
          <t>13–14 Nov</t>
        </is>
      </c>
      <c r="D14" s="84" t="n">
        <v>0.6152777777777778</v>
      </c>
      <c r="E14" s="85" t="n">
        <v>163.5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¥163.5, hard sleeper ¥280.5, soft ¥438.5; 1 h 19 min change at Jining South. ChinaTicketOnline confirms 13 Nov, on sale 30 Oct 15:00. Also K1567 17:31 → 09:38 (same fares).</t>
        </is>
      </c>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14–15 Nov (1 night)</t>
        </is>
      </c>
      <c r="D17" s="84" t="n"/>
      <c r="E17" s="85" t="n">
        <v>457</v>
      </c>
      <c r="F17" s="86" t="inlineStr">
        <is>
          <t>CNY</t>
        </is>
      </c>
      <c r="G17" s="91" t="n">
        <v>1</v>
      </c>
      <c r="H17" s="88">
        <f>E17*G17*IF(F17="USD",Compare!$B$8,IF(F17="CNY",Compare!$B$9,IF(F17="HKD",Compare!$B$10,1)))</f>
        <v/>
      </c>
      <c r="I17" s="85" t="n">
        <v>457</v>
      </c>
      <c r="J17" s="91" t="n">
        <v>1</v>
      </c>
      <c r="K17" s="88">
        <f>I17*J17*IF(F17="USD",Compare!$B$8,IF(F17="CNY",Compare!$B$9,IF(F17="HKD",Compare!$B$10,1)))</f>
        <v/>
      </c>
      <c r="L17" s="112" t="inlineStr">
        <is>
          <t>Trip.com 22 Oct: ¥457 for 2 Budget Twin rooms × 1 night (14–15 Nov) incl. taxes, free cancellation until 18:00 on 13 Nov; same hotel as 'Sleep value' (9.0, King Koil mattresses).</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Erenhot airport → Erenhot station</t>
        </is>
      </c>
      <c r="C21" s="83" t="inlineStr">
        <is>
          <t>13 Nov</t>
        </is>
      </c>
      <c r="D21" s="84" t="n"/>
      <c r="E21" s="113" t="n">
        <v>30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~¥30 per car</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SUM(D10:D11)+SUM(D13:D15)</f>
        <v/>
      </c>
      <c r="K40" s="104">
        <f>SUM(D10:D11)+SUM(D13:D15)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45" customHeight="1" s="56">
      <c r="A44" s="75" t="inlineStr">
        <is>
          <t>Why this plan</t>
        </is>
      </c>
      <c r="B44" s="74" t="inlineStr">
        <is>
          <t>Flies over the border instead of the jeep: ~₮0.61M per person, the same trains as the overland plans. Cheaper way out than the Air China + G153 route of 'Sleep value' (₮0.91M per person); the rest of the trip is the same (Ji Hotel twin rooms, K28 hard seat + Air China 12:55 home), with hotel nights set by the arrival time.</t>
        </is>
      </c>
    </row>
    <row r="45" ht="30" customHeight="1" s="56">
      <c r="A45" s="75" t="inlineStr">
        <is>
          <t>Trade-off</t>
        </is>
      </c>
      <c r="B45" s="74" t="inlineStr">
        <is>
          <t>Wake ~05:30 for the 08:45 flight, then a seated night on T301 before day 1 (POOR for sleep). Costs ~₮0.42M pp more than the overland seats for a safer border crossing.</t>
        </is>
      </c>
    </row>
    <row r="46" ht="15" customHeight="1" s="56">
      <c r="A46" s="75" t="inlineStr">
        <is>
          <t>Book</t>
        </is>
      </c>
      <c r="B46" s="74" t="inlineStr">
        <is>
          <t>Hunnu on SlickTrip / Ctrip now; 4654 and T301 on 12306 at 15:00 on 30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Fri 13 Nov</t>
        </is>
      </c>
      <c r="B50" s="74" t="inlineStr">
        <is>
          <t>Train (seat)</t>
        </is>
      </c>
      <c r="C50" s="74" t="inlineStr">
        <is>
          <t>Hunnu MR861 UB 08:45 → Erenhot 10:00; taxi to Erenhot station; 4654 12:45 → Jining South 18:11; T301 19:30 → Shenyang (overnight).</t>
        </is>
      </c>
    </row>
    <row r="51" ht="15" customHeight="1" s="56">
      <c r="A51" s="74" t="inlineStr">
        <is>
          <t>Sat 14 Nov</t>
        </is>
      </c>
      <c r="B51" s="74" t="inlineStr">
        <is>
          <t>Shenyang</t>
        </is>
      </c>
      <c r="C51" s="74" t="inlineStr">
        <is>
          <t>Taxi from the station to NEU Nanhu for registration and practice; check in at Ji Hotel (twin rooms).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13 Nov</t>
        </is>
      </c>
      <c r="B57" s="105" t="inlineStr">
        <is>
          <t>Home → Chinggis Khaan airport</t>
        </is>
      </c>
      <c r="C57" s="82" t="inlineStr">
        <is>
          <t>Taxi (~50 km)</t>
        </is>
      </c>
      <c r="D57" s="104" t="n">
        <v>0.04166666666666666</v>
      </c>
      <c r="E57" s="106" t="inlineStr">
        <is>
          <t>Leave ~06:15</t>
        </is>
      </c>
      <c r="F57" s="107" t="n"/>
      <c r="G57" s="107" t="n"/>
      <c r="H57" s="107" t="n"/>
      <c r="I57" s="107" t="n"/>
      <c r="J57" s="107" t="n"/>
      <c r="K57" s="107" t="n"/>
      <c r="L57" s="107" t="n"/>
    </row>
    <row r="58" s="56">
      <c r="A58" s="105" t="inlineStr">
        <is>
          <t>13 Nov</t>
        </is>
      </c>
      <c r="B58" s="105" t="inlineStr">
        <is>
          <t>Ulaanbaatar → Erenhot</t>
        </is>
      </c>
      <c r="C58" s="82" t="inlineStr">
        <is>
          <t>Hunnu MR861 08:45–10:00</t>
        </is>
      </c>
      <c r="D58" s="104" t="n">
        <v>0.05208333333333334</v>
      </c>
      <c r="E58" s="106" t="n"/>
      <c r="F58" s="107" t="n"/>
      <c r="G58" s="107" t="n"/>
      <c r="H58" s="107" t="n"/>
      <c r="I58" s="107" t="n"/>
      <c r="J58" s="107" t="n"/>
      <c r="K58" s="107" t="n"/>
      <c r="L58" s="107" t="n"/>
    </row>
    <row r="59" s="56">
      <c r="A59" s="105" t="inlineStr">
        <is>
          <t>13 Nov</t>
        </is>
      </c>
      <c r="B59" s="105" t="inlineStr">
        <is>
          <t>Erenhot arrival + taxi to the station</t>
        </is>
      </c>
      <c r="C59" s="82" t="inlineStr">
        <is>
          <t>Taxi</t>
        </is>
      </c>
      <c r="D59" s="104" t="n">
        <v>0.03125</v>
      </c>
      <c r="E59" s="106" t="inlineStr">
        <is>
          <t>Estimate</t>
        </is>
      </c>
      <c r="F59" s="107" t="n"/>
      <c r="G59" s="107" t="n"/>
      <c r="H59" s="107" t="n"/>
      <c r="I59" s="107" t="n"/>
      <c r="J59" s="107" t="n"/>
      <c r="K59" s="107" t="n"/>
      <c r="L59" s="107" t="n"/>
    </row>
    <row r="60" s="56">
      <c r="A60" s="105" t="inlineStr">
        <is>
          <t>13 Nov</t>
        </is>
      </c>
      <c r="B60" s="105" t="inlineStr">
        <is>
          <t>Erenhot → Jining South</t>
        </is>
      </c>
      <c r="C60" s="82" t="inlineStr">
        <is>
          <t>4654 hard seat 12:45–18:11</t>
        </is>
      </c>
      <c r="D60" s="104" t="n">
        <v>0.2263888888888889</v>
      </c>
      <c r="E60" s="106" t="n"/>
      <c r="F60" s="107" t="n"/>
      <c r="G60" s="107" t="n"/>
      <c r="H60" s="107" t="n"/>
      <c r="I60" s="107" t="n"/>
      <c r="J60" s="107" t="n"/>
      <c r="K60" s="107" t="n"/>
      <c r="L60" s="107" t="n"/>
    </row>
    <row r="61" s="56">
      <c r="A61" s="105" t="inlineStr">
        <is>
          <t>13–14 Nov</t>
        </is>
      </c>
      <c r="B61" s="105" t="inlineStr">
        <is>
          <t>Jining South → Shenyang</t>
        </is>
      </c>
      <c r="C61" s="82" t="inlineStr">
        <is>
          <t>T301 hard seat 19:30–10:16</t>
        </is>
      </c>
      <c r="D61" s="104" t="n">
        <v>0.6152777777777778</v>
      </c>
      <c r="E61" s="106" t="inlineStr">
        <is>
          <t>Overnight</t>
        </is>
      </c>
      <c r="F61" s="107" t="n"/>
      <c r="G61" s="107" t="n"/>
      <c r="H61" s="107" t="n"/>
      <c r="I61" s="107" t="n"/>
      <c r="J61" s="107" t="n"/>
      <c r="K61" s="107" t="n"/>
      <c r="L61" s="107" t="n"/>
    </row>
    <row r="62" s="56">
      <c r="A62" s="105" t="inlineStr">
        <is>
          <t>14 Nov</t>
        </is>
      </c>
      <c r="B62" s="105" t="inlineStr">
        <is>
          <t>Shenyang station → NEU Nanhu</t>
        </is>
      </c>
      <c r="C62" s="82" t="inlineStr">
        <is>
          <t>Taxi</t>
        </is>
      </c>
      <c r="D62" s="104" t="n">
        <v>0.01388888888888889</v>
      </c>
      <c r="E62" s="106" t="inlineStr">
        <is>
          <t>Registration day</t>
        </is>
      </c>
      <c r="F62" s="107" t="n"/>
      <c r="G62" s="107" t="n"/>
      <c r="H62" s="107" t="n"/>
      <c r="I62" s="107" t="n"/>
      <c r="J62" s="107" t="n"/>
      <c r="K62" s="107" t="n"/>
      <c r="L62" s="107" t="n"/>
    </row>
    <row r="63" s="56">
      <c r="A63" s="105" t="inlineStr">
        <is>
          <t>15 Nov</t>
        </is>
      </c>
      <c r="B63" s="105" t="inlineStr">
        <is>
          <t>NEU Nanhu → Shenyang station</t>
        </is>
      </c>
      <c r="C63" s="82" t="inlineStr">
        <is>
          <t>Taxi</t>
        </is>
      </c>
      <c r="D63" s="104" t="n">
        <v>0.01388888888888889</v>
      </c>
      <c r="E63" s="106" t="n"/>
      <c r="F63" s="107" t="n"/>
      <c r="G63" s="107" t="n"/>
      <c r="H63" s="107" t="n"/>
      <c r="I63" s="107" t="n"/>
      <c r="J63" s="107" t="n"/>
      <c r="K63" s="107" t="n"/>
      <c r="L63" s="107" t="n"/>
    </row>
    <row r="64" s="56">
      <c r="A64" s="105" t="inlineStr">
        <is>
          <t>15–16 Nov</t>
        </is>
      </c>
      <c r="B64" s="105" t="inlineStr">
        <is>
          <t>Shenyang → Beijing</t>
        </is>
      </c>
      <c r="C64" s="82" t="inlineStr">
        <is>
          <t>K28 hard seat 22:24–08:40</t>
        </is>
      </c>
      <c r="D64" s="104" t="n">
        <v>0.4277777777777778</v>
      </c>
      <c r="E64" s="106" t="inlineStr">
        <is>
          <t>Overnight, after the contest</t>
        </is>
      </c>
      <c r="F64" s="107" t="n"/>
      <c r="G64" s="107" t="n"/>
      <c r="H64" s="107" t="n"/>
      <c r="I64" s="107" t="n"/>
      <c r="J64" s="107" t="n"/>
      <c r="K64" s="107" t="n"/>
      <c r="L64" s="107" t="n"/>
    </row>
    <row r="65" s="56">
      <c r="A65" s="105" t="inlineStr">
        <is>
          <t>16 Nov</t>
        </is>
      </c>
      <c r="B65" s="105" t="inlineStr">
        <is>
          <t>Beijing station → PEK</t>
        </is>
      </c>
      <c r="C65" s="82" t="inlineStr">
        <is>
          <t>Metro line 2 + Airport Express</t>
        </is>
      </c>
      <c r="D65" s="104" t="n">
        <v>0.04166666666666666</v>
      </c>
      <c r="E65" s="106" t="inlineStr">
        <is>
          <t>Be at PEK by ~10:55</t>
        </is>
      </c>
      <c r="F65" s="107" t="n"/>
      <c r="G65" s="107" t="n"/>
      <c r="H65" s="107" t="n"/>
      <c r="I65" s="107" t="n"/>
      <c r="J65" s="107" t="n"/>
      <c r="K65" s="107" t="n"/>
      <c r="L65" s="107" t="n"/>
    </row>
    <row r="66" s="56">
      <c r="A66" s="105" t="inlineStr">
        <is>
          <t>16 Nov</t>
        </is>
      </c>
      <c r="B66" s="105" t="inlineStr">
        <is>
          <t>Beijing (PEK) → Ulaanbaatar</t>
        </is>
      </c>
      <c r="C66" s="82" t="inlineStr">
        <is>
          <t>Air China 12:55–15:05</t>
        </is>
      </c>
      <c r="D66" s="104" t="n">
        <v>0.09027777777777778</v>
      </c>
      <c r="E66" s="106" t="n"/>
      <c r="F66" s="107" t="n"/>
      <c r="G66" s="107" t="n"/>
      <c r="H66" s="107" t="n"/>
      <c r="I66" s="107" t="n"/>
      <c r="J66" s="107" t="n"/>
      <c r="K66" s="107" t="n"/>
      <c r="L66" s="107" t="n"/>
    </row>
    <row r="67" s="56">
      <c r="A67" s="105" t="inlineStr">
        <is>
          <t>16 Nov</t>
        </is>
      </c>
      <c r="B67" s="105" t="inlineStr">
        <is>
          <t>Chinggis Khaan airport → home</t>
        </is>
      </c>
      <c r="C67" s="82" t="inlineStr">
        <is>
          <t>Taxi</t>
        </is>
      </c>
      <c r="D67" s="104" t="n">
        <v>0.04166666666666666</v>
      </c>
      <c r="E67" s="106" t="n"/>
      <c r="F67" s="107" t="n"/>
      <c r="G67" s="107" t="n"/>
      <c r="H67" s="107" t="n"/>
      <c r="I67" s="107" t="n"/>
      <c r="J67" s="107" t="n"/>
      <c r="K67" s="107" t="n"/>
      <c r="L67" s="107" t="n"/>
    </row>
    <row r="68" s="56"/>
    <row r="69" s="56">
      <c r="C69" s="59" t="inlineStr">
        <is>
          <t>Total door-to-door</t>
        </is>
      </c>
      <c r="D69" s="109">
        <f>SUM(D57:D67)</f>
        <v/>
      </c>
    </row>
    <row r="70" s="56"/>
    <row r="71" s="56"/>
  </sheetData>
  <mergeCells count="19">
    <mergeCell ref="E58:L58"/>
    <mergeCell ref="C52:L52"/>
    <mergeCell ref="E62:L62"/>
    <mergeCell ref="B46:L46"/>
    <mergeCell ref="E67:L67"/>
    <mergeCell ref="B43:L43"/>
    <mergeCell ref="C53:L53"/>
    <mergeCell ref="E64:L64"/>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Hohhot red-eye</t>
        </is>
      </c>
    </row>
    <row r="2" ht="15" customHeight="1" s="56">
      <c r="A2" s="62" t="inlineStr">
        <is>
          <t>MIAT red-eye to Hohhot (Wed 11 Nov 22:25), a short hotel night, T304 overnight to Shenyang in a hard seat; two hotel nights before the contest; K28 seat + Air China home.</t>
        </is>
      </c>
    </row>
    <row r="4" ht="15" customHeight="1" s="56">
      <c r="A4" s="60" t="inlineStr">
        <is>
          <t>Days in destination (meals &amp; local transport)</t>
        </is>
      </c>
      <c r="B4" s="76" t="n">
        <v>4.5</v>
      </c>
      <c r="C4" s="62" t="inlineStr">
        <is>
          <t>12 Nov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MIAT OM257 Ulaanbaatar 22:25 → Hohhot 00:15 (+1), nonstop (red-eye)</t>
        </is>
      </c>
      <c r="C10" s="83" t="inlineStr">
        <is>
          <t>Wed 11 Nov</t>
        </is>
      </c>
      <c r="D10" s="84" t="n">
        <v>0.0763888888888889</v>
      </c>
      <c r="E10" s="85" t="n">
        <v>946</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¥946 on 11 and 13 Nov (SlickTrip $148). Air China CA758 13:00 is ¥1,011.</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0" customHeight="1" s="56">
      <c r="B13" s="111" t="inlineStr">
        <is>
          <t>Overnight train T304 Hohhot East 17:36 → Shenyang 10:16, hard seat</t>
        </is>
      </c>
      <c r="C13" s="83" t="inlineStr">
        <is>
          <t>12–13 Nov</t>
        </is>
      </c>
      <c r="D13" s="84" t="n">
        <v>0.6944444444444444</v>
      </c>
      <c r="E13" s="85" t="n">
        <v>173.5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¥173.5, hard sleeper ¥296.5, soft ¥464.5. ChinaTicketOnline confirms 12 Nov, on sale 29 Oct 14:00.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30" customHeight="1" s="56">
      <c r="B16" s="111" t="inlineStr">
        <is>
          <t>Budget hotel in Hohhot for the rest of the night after the red-eye</t>
        </is>
      </c>
      <c r="C16" s="83" t="inlineStr">
        <is>
          <t>12 Nov (00:30–noon)</t>
        </is>
      </c>
      <c r="D16" s="84" t="n"/>
      <c r="E16" s="113" t="n">
        <v>200</v>
      </c>
      <c r="F16" s="86" t="inlineStr">
        <is>
          <t>CNY</t>
        </is>
      </c>
      <c r="G16" s="91" t="n">
        <v>1</v>
      </c>
      <c r="H16" s="88">
        <f>E16*G16*IF(F16="USD",Compare!$B$8,IF(F16="CNY",Compare!$B$9,IF(F16="HKD",Compare!$B$10,1)))</f>
        <v/>
      </c>
      <c r="I16" s="113" t="n">
        <v>200</v>
      </c>
      <c r="J16" s="91" t="n">
        <v>2</v>
      </c>
      <c r="K16" s="88">
        <f>I16*J16*IF(F16="USD",Compare!$B$8,IF(F16="CNY",Compare!$B$9,IF(F16="HKD",Compare!$B$10,1)))</f>
        <v/>
      </c>
      <c r="L16" s="112" t="inlineStr">
        <is>
          <t>ASSUMPTION ~¥200 per room (1 room for 3, 2 rooms for 4); not searched</t>
        </is>
      </c>
    </row>
    <row r="17" ht="60" customHeight="1" s="56">
      <c r="B17" s="111" t="inlineStr">
        <is>
          <t>Ji Hotel Sanhao Street, 55 Sanhao St (~940 m to NEU Nanhu, ~15 min walk): 2 Budget Twin rooms, King Koil mattresses, windows, floors 4–16 – a bed each</t>
        </is>
      </c>
      <c r="C17" s="83" t="inlineStr">
        <is>
          <t>13–15 Nov (2 nights)</t>
        </is>
      </c>
      <c r="D17" s="84" t="n"/>
      <c r="E17" s="113" t="n">
        <v>457</v>
      </c>
      <c r="F17" s="86" t="inlineStr">
        <is>
          <t>CNY</t>
        </is>
      </c>
      <c r="G17" s="91" t="n">
        <v>2</v>
      </c>
      <c r="H17" s="88">
        <f>E17*G17*IF(F17="USD",Compare!$B$8,IF(F17="CNY",Compare!$B$9,IF(F17="HKD",Compare!$B$10,1)))</f>
        <v/>
      </c>
      <c r="I17" s="113" t="n">
        <v>457</v>
      </c>
      <c r="J17" s="91" t="n">
        <v>2</v>
      </c>
      <c r="K17" s="88">
        <f>I17*J17*IF(F17="USD",Compare!$B$8,IF(F17="CNY",Compare!$B$9,IF(F17="HKD",Compare!$B$10,1)))</f>
        <v/>
      </c>
      <c r="L17" s="112" t="inlineStr">
        <is>
          <t>ASSUMPTION 2 nights at ¥457 per night for 2 Budget Twin rooms (Trip.com 22 Oct: ¥457 for 14–15 Nov, ¥1,371 for 12–15 Nov).</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Taxis Hohhot airport → hotel → Hohhot East station</t>
        </is>
      </c>
      <c r="C21" s="83" t="inlineStr">
        <is>
          <t>12 Nov</t>
        </is>
      </c>
      <c r="D21" s="84" t="n"/>
      <c r="E21" s="113" t="n">
        <v>60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~¥60 per car for both rides</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SUM(D10:D11)+SUM(D13:D14)</f>
        <v/>
      </c>
      <c r="K40" s="104">
        <f>SUM(D10:D11)+SUM(D13:D14)</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30" customHeight="1" s="56">
      <c r="A44" s="75" t="inlineStr">
        <is>
          <t>Why this plan</t>
        </is>
      </c>
      <c r="B44" s="74" t="inlineStr">
        <is>
          <t>~₮0.61M per person to Shenyang by the cheapest flight into Hohhot. Cheaper way out than the Air China + G153 route of 'Sleep value' (₮0.91M per person); the rest of the trip is the same (Ji Hotel twin rooms, K28 hard seat + Air China 12:55 home), with hotel nights set by the arrival time.</t>
        </is>
      </c>
    </row>
    <row r="45" ht="15" customHeight="1" s="56">
      <c r="A45" s="75" t="inlineStr">
        <is>
          <t>Trade-off</t>
        </is>
      </c>
      <c r="B45" s="74" t="inlineStr">
        <is>
          <t>Red-eye landing at 00:15 (bed ~01:30) and a seated night on T304 three nights before the contest; two hotel nights after it. Hohhot hotel price is a guess.</t>
        </is>
      </c>
    </row>
    <row r="46" ht="15" customHeight="1" s="56">
      <c r="A46" s="75" t="inlineStr">
        <is>
          <t>Book</t>
        </is>
      </c>
      <c r="B46" s="74" t="inlineStr">
        <is>
          <t>MIAT on Ctrip now; T304 on 12306 at 14:00 on 29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Wed 11 Nov</t>
        </is>
      </c>
      <c r="B50" s="74" t="inlineStr">
        <is>
          <t>Hohhot (budget hotel)</t>
        </is>
      </c>
      <c r="C50" s="74" t="inlineStr">
        <is>
          <t>MIAT OM257 UB 22:25 → Hohhot 00:15; taxi to a budget hotel; bed ~01:30.</t>
        </is>
      </c>
    </row>
    <row r="51" ht="15" customHeight="1" s="56">
      <c r="A51" s="74" t="inlineStr">
        <is>
          <t>Thu 12 Nov</t>
        </is>
      </c>
      <c r="B51" s="74" t="inlineStr">
        <is>
          <t>Train (seat)</t>
        </is>
      </c>
      <c r="C51" s="74" t="inlineStr">
        <is>
          <t>Late morning in Hohhot; taxi to Hohhot East; T304 17:36 → Shenyang (overnight).</t>
        </is>
      </c>
    </row>
    <row r="52" ht="15" customHeight="1" s="56">
      <c r="A52" s="74" t="inlineStr">
        <is>
          <t>Fri 13 Nov</t>
        </is>
      </c>
      <c r="B52" s="74" t="inlineStr">
        <is>
          <t>Shenyang</t>
        </is>
      </c>
      <c r="C52" s="74" t="inlineStr">
        <is>
          <t>Arrive Shenyang 10:16; taxi to Ji Hotel; rest.</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11 Nov</t>
        </is>
      </c>
      <c r="B59" s="105" t="inlineStr">
        <is>
          <t>Home → Chinggis Khaan airport</t>
        </is>
      </c>
      <c r="C59" s="82" t="inlineStr">
        <is>
          <t>Taxi (~50 km)</t>
        </is>
      </c>
      <c r="D59" s="104" t="n">
        <v>0.04166666666666666</v>
      </c>
      <c r="E59" s="106" t="inlineStr">
        <is>
          <t>Leave ~19:30</t>
        </is>
      </c>
      <c r="F59" s="107" t="n"/>
      <c r="G59" s="107" t="n"/>
      <c r="H59" s="107" t="n"/>
      <c r="I59" s="107" t="n"/>
      <c r="J59" s="107" t="n"/>
      <c r="K59" s="107" t="n"/>
      <c r="L59" s="107" t="n"/>
    </row>
    <row r="60" s="56">
      <c r="A60" s="105" t="inlineStr">
        <is>
          <t>11–12 Nov</t>
        </is>
      </c>
      <c r="B60" s="105" t="inlineStr">
        <is>
          <t>Ulaanbaatar → Hohhot</t>
        </is>
      </c>
      <c r="C60" s="82" t="inlineStr">
        <is>
          <t>MIAT OM257 22:25–00:15</t>
        </is>
      </c>
      <c r="D60" s="104" t="n">
        <v>0.0763888888888889</v>
      </c>
      <c r="E60" s="106" t="inlineStr">
        <is>
          <t>Red-eye</t>
        </is>
      </c>
      <c r="F60" s="107" t="n"/>
      <c r="G60" s="107" t="n"/>
      <c r="H60" s="107" t="n"/>
      <c r="I60" s="107" t="n"/>
      <c r="J60" s="107" t="n"/>
      <c r="K60" s="107" t="n"/>
      <c r="L60" s="107" t="n"/>
    </row>
    <row r="61" s="56">
      <c r="A61" s="105" t="inlineStr">
        <is>
          <t>12 Nov</t>
        </is>
      </c>
      <c r="B61" s="105" t="inlineStr">
        <is>
          <t>HET arrival + taxi to a hotel</t>
        </is>
      </c>
      <c r="C61" s="82" t="inlineStr">
        <is>
          <t>Taxi</t>
        </is>
      </c>
      <c r="D61" s="104" t="n">
        <v>0.04166666666666666</v>
      </c>
      <c r="E61" s="106" t="inlineStr">
        <is>
          <t>Estimate</t>
        </is>
      </c>
      <c r="F61" s="107" t="n"/>
      <c r="G61" s="107" t="n"/>
      <c r="H61" s="107" t="n"/>
      <c r="I61" s="107" t="n"/>
      <c r="J61" s="107" t="n"/>
      <c r="K61" s="107" t="n"/>
      <c r="L61" s="107" t="n"/>
    </row>
    <row r="62" s="56">
      <c r="A62" s="105" t="inlineStr">
        <is>
          <t>12 Nov</t>
        </is>
      </c>
      <c r="B62" s="105" t="inlineStr">
        <is>
          <t>Hotel → Hohhot East station</t>
        </is>
      </c>
      <c r="C62" s="82" t="inlineStr">
        <is>
          <t>Taxi</t>
        </is>
      </c>
      <c r="D62" s="104" t="n">
        <v>0.02083333333333333</v>
      </c>
      <c r="E62" s="106" t="inlineStr">
        <is>
          <t>Estimate</t>
        </is>
      </c>
      <c r="F62" s="107" t="n"/>
      <c r="G62" s="107" t="n"/>
      <c r="H62" s="107" t="n"/>
      <c r="I62" s="107" t="n"/>
      <c r="J62" s="107" t="n"/>
      <c r="K62" s="107" t="n"/>
      <c r="L62" s="107" t="n"/>
    </row>
    <row r="63" s="56">
      <c r="A63" s="105" t="inlineStr">
        <is>
          <t>12–13 Nov</t>
        </is>
      </c>
      <c r="B63" s="105" t="inlineStr">
        <is>
          <t>Hohhot East → Shenyang</t>
        </is>
      </c>
      <c r="C63" s="82" t="inlineStr">
        <is>
          <t>T304 hard seat 17:36–10:16</t>
        </is>
      </c>
      <c r="D63" s="104" t="n">
        <v>0.6944444444444444</v>
      </c>
      <c r="E63" s="106" t="inlineStr">
        <is>
          <t>Overnight</t>
        </is>
      </c>
      <c r="F63" s="107" t="n"/>
      <c r="G63" s="107" t="n"/>
      <c r="H63" s="107" t="n"/>
      <c r="I63" s="107" t="n"/>
      <c r="J63" s="107" t="n"/>
      <c r="K63" s="107" t="n"/>
      <c r="L63" s="107" t="n"/>
    </row>
    <row r="64" s="56">
      <c r="A64" s="105" t="inlineStr">
        <is>
          <t>13 Nov</t>
        </is>
      </c>
      <c r="B64" s="105" t="inlineStr">
        <is>
          <t>Shenyang station → Ji Hotel</t>
        </is>
      </c>
      <c r="C64" s="82" t="inlineStr">
        <is>
          <t>Taxi</t>
        </is>
      </c>
      <c r="D64" s="104" t="n">
        <v>0.01388888888888889</v>
      </c>
      <c r="E64" s="106" t="n"/>
      <c r="F64" s="107" t="n"/>
      <c r="G64" s="107" t="n"/>
      <c r="H64" s="107" t="n"/>
      <c r="I64" s="107" t="n"/>
      <c r="J64" s="107" t="n"/>
      <c r="K64" s="107" t="n"/>
      <c r="L64" s="107" t="n"/>
    </row>
    <row r="65" s="56">
      <c r="A65" s="105" t="inlineStr">
        <is>
          <t>14–15 Nov</t>
        </is>
      </c>
      <c r="B65" s="105" t="inlineStr">
        <is>
          <t>Hotel ↔ NEU Nanhu (each way)</t>
        </is>
      </c>
      <c r="C65" s="82" t="inlineStr">
        <is>
          <t>Walk</t>
        </is>
      </c>
      <c r="D65" s="104" t="inlineStr">
        <is>
          <t>daily</t>
        </is>
      </c>
      <c r="E65" s="106" t="inlineStr">
        <is>
          <t>~15 min walk</t>
        </is>
      </c>
      <c r="F65" s="107" t="n"/>
      <c r="G65" s="107" t="n"/>
      <c r="H65" s="107" t="n"/>
      <c r="I65" s="107" t="n"/>
      <c r="J65" s="107" t="n"/>
      <c r="K65" s="107" t="n"/>
      <c r="L65" s="107" t="n"/>
    </row>
    <row r="66" s="56">
      <c r="A66" s="105" t="inlineStr">
        <is>
          <t>15 Nov</t>
        </is>
      </c>
      <c r="B66" s="105" t="inlineStr">
        <is>
          <t>NEU Nanhu → Shenyang station</t>
        </is>
      </c>
      <c r="C66" s="82" t="inlineStr">
        <is>
          <t>Taxi</t>
        </is>
      </c>
      <c r="D66" s="104" t="n">
        <v>0.01388888888888889</v>
      </c>
      <c r="E66" s="106" t="n"/>
      <c r="F66" s="107" t="n"/>
      <c r="G66" s="107" t="n"/>
      <c r="H66" s="107" t="n"/>
      <c r="I66" s="107" t="n"/>
      <c r="J66" s="107" t="n"/>
      <c r="K66" s="107" t="n"/>
      <c r="L66" s="107" t="n"/>
    </row>
    <row r="67" s="56">
      <c r="A67" s="105" t="inlineStr">
        <is>
          <t>15–16 Nov</t>
        </is>
      </c>
      <c r="B67" s="105" t="inlineStr">
        <is>
          <t>Shenyang → Beijing</t>
        </is>
      </c>
      <c r="C67" s="82" t="inlineStr">
        <is>
          <t>K28 hard seat 22:24–08:40</t>
        </is>
      </c>
      <c r="D67" s="104" t="n">
        <v>0.4277777777777778</v>
      </c>
      <c r="E67" s="106" t="inlineStr">
        <is>
          <t>Overnight, after the contest</t>
        </is>
      </c>
      <c r="F67" s="107" t="n"/>
      <c r="G67" s="107" t="n"/>
      <c r="H67" s="107" t="n"/>
      <c r="I67" s="107" t="n"/>
      <c r="J67" s="107" t="n"/>
      <c r="K67" s="107" t="n"/>
      <c r="L67" s="107" t="n"/>
    </row>
    <row r="68" s="56">
      <c r="A68" s="105" t="inlineStr">
        <is>
          <t>16 Nov</t>
        </is>
      </c>
      <c r="B68" s="105" t="inlineStr">
        <is>
          <t>Beijing station → PEK</t>
        </is>
      </c>
      <c r="C68" s="82" t="inlineStr">
        <is>
          <t>Metro line 2 + Airport Express</t>
        </is>
      </c>
      <c r="D68" s="104" t="n">
        <v>0.04166666666666666</v>
      </c>
      <c r="E68" s="106" t="inlineStr">
        <is>
          <t>Be at PEK by ~10:55</t>
        </is>
      </c>
      <c r="F68" s="107" t="n"/>
      <c r="G68" s="107" t="n"/>
      <c r="H68" s="107" t="n"/>
      <c r="I68" s="107" t="n"/>
      <c r="J68" s="107" t="n"/>
      <c r="K68" s="107" t="n"/>
      <c r="L68" s="107" t="n"/>
    </row>
    <row r="69" s="56">
      <c r="A69" s="105" t="inlineStr">
        <is>
          <t>16 Nov</t>
        </is>
      </c>
      <c r="B69" s="105" t="inlineStr">
        <is>
          <t>Beijing (PEK) → Ulaanbaatar</t>
        </is>
      </c>
      <c r="C69" s="82" t="inlineStr">
        <is>
          <t>Air China 12:55–15:05</t>
        </is>
      </c>
      <c r="D69" s="104" t="n">
        <v>0.09027777777777778</v>
      </c>
      <c r="E69" s="106" t="n"/>
      <c r="F69" s="107" t="n"/>
      <c r="G69" s="107" t="n"/>
      <c r="H69" s="107" t="n"/>
      <c r="I69" s="107" t="n"/>
      <c r="J69" s="107" t="n"/>
      <c r="K69" s="107" t="n"/>
      <c r="L69" s="107" t="n"/>
    </row>
    <row r="70" s="56">
      <c r="A70" s="105" t="inlineStr">
        <is>
          <t>16 Nov</t>
        </is>
      </c>
      <c r="B70" s="105" t="inlineStr">
        <is>
          <t>Chinggis Khaan airport → home</t>
        </is>
      </c>
      <c r="C70" s="82" t="inlineStr">
        <is>
          <t>Taxi</t>
        </is>
      </c>
      <c r="D70" s="104" t="n">
        <v>0.04166666666666666</v>
      </c>
      <c r="E70" s="106" t="n"/>
      <c r="F70" s="107" t="n"/>
      <c r="G70" s="107" t="n"/>
      <c r="H70" s="107" t="n"/>
      <c r="I70" s="107" t="n"/>
      <c r="J70" s="107" t="n"/>
      <c r="K70" s="107" t="n"/>
      <c r="L70" s="107" t="n"/>
    </row>
    <row r="71" s="56"/>
    <row r="72">
      <c r="C72" s="59" t="inlineStr">
        <is>
          <t>Total door-to-door</t>
        </is>
      </c>
      <c r="D72" s="109">
        <f>SUM(D59:D70)</f>
        <v/>
      </c>
    </row>
  </sheetData>
  <mergeCells count="22">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E70:L70"/>
    <mergeCell ref="C50:L50"/>
    <mergeCell ref="E61:L61"/>
    <mergeCell ref="C55:L55"/>
    <mergeCell ref="E66:L66"/>
    <mergeCell ref="C51:L51"/>
    <mergeCell ref="B45:L4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Hohhot + Spring</t>
        </is>
      </c>
    </row>
    <row r="2" ht="15" customHeight="1" s="56">
      <c r="A2" s="62" t="inlineStr">
        <is>
          <t>No early alarm and no night train, like 'Sleep value', but cheaper: Air China to Hohhot and a ¥360 Spring flight to Shenyang (¥220 + taxes, two tickets); three nights in Ji Hotel twin rooms; K28 seat + Air China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CA758 Ulaanbaatar 13:00 → Hohhot 14:40, nonstop, checked bag included</t>
        </is>
      </c>
      <c r="C10" s="83" t="inlineStr">
        <is>
          <t>Thu 12 Nov</t>
        </is>
      </c>
      <c r="D10" s="84" t="n">
        <v>0.06944444444444445</v>
      </c>
      <c r="E10" s="85" t="n">
        <v>1011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27 Oct: ¥1,011 incl. taxes on every day 10–13 Nov (Trip.com ¥1,009; 22 Oct also ¥1,011; SlickTrip $268). Separate ticket from the Spring flight: a 4 h 25 min self-transfer in Hohhot (immigration, collect bags, check in again).</t>
        </is>
      </c>
    </row>
    <row r="11" ht="39" customHeight="1" s="56">
      <c r="B11" s="111" t="inlineStr">
        <is>
          <t>Spring Airlines 9C6782 Hohhot 19:05 → Shenyang Taoxian 21:15, nonstop (A320)</t>
        </is>
      </c>
      <c r="C11" s="83" t="inlineStr">
        <is>
          <t>Thu 12 Nov</t>
        </is>
      </c>
      <c r="D11" s="84" t="n">
        <v>0.09027777777777778</v>
      </c>
      <c r="E11" s="85" t="n">
        <v>360</v>
      </c>
      <c r="F11" s="86" t="inlineStr">
        <is>
          <t>CNY</t>
        </is>
      </c>
      <c r="G11" s="87">
        <f>Compare!$B$6</f>
        <v/>
      </c>
      <c r="H11" s="88">
        <f>E11*G11*IF(F11="USD",Compare!$B$8,IF(F11="CNY",Compare!$B$9,IF(F11="HKD",Compare!$B$10,1)))</f>
        <v/>
      </c>
      <c r="I11" s="89">
        <f>E11</f>
        <v/>
      </c>
      <c r="J11" s="87">
        <f>Compare!$B$7</f>
        <v/>
      </c>
      <c r="K11" s="88">
        <f>I11*J11*IF(F11="USD",Compare!$B$8,IF(F11="CNY",Compare!$B$9,IF(F11="HKD",Compare!$B$10,1)))</f>
        <v/>
      </c>
      <c r="L11" s="112" t="inlineStr">
        <is>
          <t>Ctrip 27 Oct: fare ¥220 (10 and 12 Nov; 11 / 13 Nov ¥400) + ¥50 airport fee + ¥90 fuel surcharge (domestic &gt; 800 km from 10 Oct 2026) = ¥360. Trip.com shows CNY 360 incl. taxes on 10 Nov (12 Nov only a CNY 520 bundle). The 22 Oct ¥290 left the taxes out. Only a 7 kg cabin bag (20×30×40 cm). Booked apart from CA758 – one ticket UB → SHE is ¥1,531 on Ctrip / ¥1,528 on Trip.com (12 Nov).</t>
        </is>
      </c>
    </row>
    <row r="12" ht="30" customHeight="1" s="56">
      <c r="B12" s="111" t="inlineStr">
        <is>
          <t>Spring checked bag, one per person (bought online with the ticket)</t>
        </is>
      </c>
      <c r="C12" s="83" t="inlineStr">
        <is>
          <t>Thu 12 Nov</t>
        </is>
      </c>
      <c r="D12" s="84" t="n"/>
      <c r="E12" s="85" t="n">
        <v>120</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Ctrip 27 Oct: the 9C6782 fare with a 20 kg checked bag is ¥340 vs ¥220 without (+¥120, same taxes). Only people who check a bag need it.</t>
        </is>
      </c>
    </row>
    <row r="13" ht="39" customHeight="1" s="56">
      <c r="B13" s="111" t="inlineStr">
        <is>
          <t>Air China CA955 Beijing Capital (PEK) 12:55 → Ulaanbaatar 15:05, nonstop</t>
        </is>
      </c>
      <c r="C13" s="83" t="inlineStr">
        <is>
          <t>16 Nov</t>
        </is>
      </c>
      <c r="D13" s="84" t="n">
        <v>0.09027777777777778</v>
      </c>
      <c r="E13" s="85" t="n">
        <v>171</v>
      </c>
      <c r="F13" s="86" t="inlineStr">
        <is>
          <t>USD</t>
        </is>
      </c>
      <c r="G13" s="87">
        <f>Compare!$B$6</f>
        <v/>
      </c>
      <c r="H13" s="88">
        <f>E13*G13*IF(F13="USD",Compare!$B$8,IF(F13="CNY",Compare!$B$9,IF(F13="HKD",Compare!$B$10,1)))</f>
        <v/>
      </c>
      <c r="I13" s="89">
        <f>E13</f>
        <v/>
      </c>
      <c r="J13" s="87">
        <f>Compare!$B$7</f>
        <v/>
      </c>
      <c r="K13" s="88">
        <f>I13*J13*IF(F13="USD",Compare!$B$8,IF(F13="CNY",Compare!$B$9,IF(F13="HKD",Compare!$B$10,1)))</f>
        <v/>
      </c>
      <c r="L13" s="112" t="inlineStr">
        <is>
          <t>Trip.com 22 Oct: US$171 pp, cheapest that day (MIAT OM224 11:30 US$193 on Trip.com / $176 on SlickTrip; Air China 08:25 $215; Capital + Hunnu via Erenhot $196)</t>
        </is>
      </c>
    </row>
    <row r="14" s="56">
      <c r="A14" s="79" t="inlineStr">
        <is>
          <t>Trains</t>
        </is>
      </c>
      <c r="B14" s="80" t="n"/>
      <c r="C14" s="80" t="n"/>
      <c r="D14" s="80" t="n"/>
      <c r="E14" s="80" t="n"/>
      <c r="F14" s="80" t="n"/>
      <c r="G14" s="80" t="n"/>
      <c r="H14" s="80" t="n"/>
      <c r="I14" s="80" t="n"/>
      <c r="J14" s="80" t="n"/>
      <c r="K14" s="80" t="n"/>
      <c r="L14" s="80" t="n"/>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12–15 Nov (3 nights)</t>
        </is>
      </c>
      <c r="D17" s="84" t="n"/>
      <c r="E17" s="85" t="n">
        <v>457</v>
      </c>
      <c r="F17" s="86" t="inlineStr">
        <is>
          <t>CNY</t>
        </is>
      </c>
      <c r="G17" s="91" t="n">
        <v>3</v>
      </c>
      <c r="H17" s="88">
        <f>E17*G17*IF(F17="USD",Compare!$B$8,IF(F17="CNY",Compare!$B$9,IF(F17="HKD",Compare!$B$10,1)))</f>
        <v/>
      </c>
      <c r="I17" s="85" t="n">
        <v>457</v>
      </c>
      <c r="J17" s="91" t="n">
        <v>3</v>
      </c>
      <c r="K17" s="88">
        <f>I17*J17*IF(F17="USD",Compare!$B$8,IF(F17="CNY",Compare!$B$9,IF(F17="HKD",Compare!$B$10,1)))</f>
        <v/>
      </c>
      <c r="L17" s="112" t="inlineStr">
        <is>
          <t>Trip.com 22 Oct: ¥1,371 for 2 rooms × 3 nights incl. taxes, free cancellation until 18:00 on 11 Nov (prepay); same price for 3 or 4 adults. 9.0 from 1,433 reviews; 16 m² rooms high in an office tower, above the street. Breakfast ¥40 optional.</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Shenyang Taoxian airport → Ji Hotel</t>
        </is>
      </c>
      <c r="C21" s="83" t="inlineStr">
        <is>
          <t>12 Nov</t>
        </is>
      </c>
      <c r="D21" s="84" t="n"/>
      <c r="E21" s="113" t="n">
        <v>90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~¥90 per car, ~25 km, ~40 min</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SUM(D10:D13)+SUM(D15:D15)</f>
        <v/>
      </c>
      <c r="K40" s="104">
        <f>SUM(D10:D13)+SUM(D15:D15)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30" customHeight="1" s="56">
      <c r="A44" s="75" t="inlineStr">
        <is>
          <t>Why this plan</t>
        </is>
      </c>
      <c r="B44" s="74" t="inlineStr">
        <is>
          <t>Same sleep as 'Sleep value' (wake ~08:30, three hotel nights, rest day on 13 Nov, a bed each) for ~₮0.13M per person less: Air China to Hohhot + Spring to Shenyang instead of Air China to Beijing + G153.</t>
        </is>
      </c>
    </row>
    <row r="45" ht="30" customHeight="1" s="56">
      <c r="A45" s="75" t="inlineStr">
        <is>
          <t>Trade-off</t>
        </is>
      </c>
      <c r="B45" s="74" t="inlineStr">
        <is>
          <t>Two separate tickets: if CA758 is more than ~3 h late the ¥360 Spring ticket is lost (fallback Air China CA8179 Hohhot 08:55 next morning ¥620 + a Hohhot hotel). Spring includes only a 7 kg cabin bag (a 20 kg bag fare is ¥120 more). Arrive ~22:15 instead of 20:30.</t>
        </is>
      </c>
    </row>
    <row r="46" ht="15" customHeight="1" s="56">
      <c r="A46" s="75" t="inlineStr">
        <is>
          <t>Book</t>
        </is>
      </c>
      <c r="B46" s="74" t="inlineStr">
        <is>
          <t>CA758 and 9C6782 on Ctrip now (two bookings); hotel now;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30" customHeight="1" s="56">
      <c r="A50" s="74" t="inlineStr">
        <is>
          <t>Thu 12 Nov</t>
        </is>
      </c>
      <c r="B50" s="74" t="inlineStr">
        <is>
          <t>Shenyang</t>
        </is>
      </c>
      <c r="C50" s="74" t="inlineStr">
        <is>
          <t>Wake ~08:30. Air China CA758 UB 13:00 → Hohhot 14:40; immigration, collect bags, check in again; Spring 9C6782 19:05 → Shenyang 21:15; taxi to Ji Hotel (~22:15). Bed ~23:30.</t>
        </is>
      </c>
    </row>
    <row r="51" ht="15" customHeight="1" s="56">
      <c r="A51" s="74" t="inlineStr">
        <is>
          <t>Fri 13 Nov</t>
        </is>
      </c>
      <c r="B51" s="74" t="inlineStr">
        <is>
          <t>Shenyang</t>
        </is>
      </c>
      <c r="C51" s="74" t="inlineStr">
        <is>
          <t>Free rest day.</t>
        </is>
      </c>
    </row>
    <row r="52" ht="15" customHeight="1" s="56">
      <c r="A52" s="74" t="inlineStr">
        <is>
          <t>Sat 14 Nov</t>
        </is>
      </c>
      <c r="B52" s="74" t="inlineStr">
        <is>
          <t>Shenyang</t>
        </is>
      </c>
      <c r="C52" s="74" t="inlineStr">
        <is>
          <t>Registration, opening and practice at NEU Nanhu. Lights out ~22:30.</t>
        </is>
      </c>
    </row>
    <row r="53" ht="30" customHeight="1" s="56">
      <c r="A53" s="74" t="inlineStr">
        <is>
          <t>Sun 15 Nov</t>
        </is>
      </c>
      <c r="B53" s="74" t="inlineStr">
        <is>
          <t>Train (seat)</t>
        </is>
      </c>
      <c r="C53" s="74" t="inlineStr">
        <is>
          <t>CONTEST. Wake ~06:50, walk ~15 min. Check out before leaving, luggage stored at the hotel. Awards ~17:00; taxi to Shenyang station; K28 22:24 hard seat → Beijing 08:40.</t>
        </is>
      </c>
    </row>
    <row r="54" ht="15" customHeight="1" s="56">
      <c r="A54" s="74" t="inlineStr">
        <is>
          <t>Mon 16 Nov</t>
        </is>
      </c>
      <c r="B54" s="74" t="inlineStr">
        <is>
          <t>Home</t>
        </is>
      </c>
      <c r="C54" s="74" t="inlineStr">
        <is>
          <t>Metro line 2 + Airport Express to PEK T3 (~1 h). Air China 12:55 → UB 15:05.</t>
        </is>
      </c>
    </row>
    <row r="55" s="56"/>
    <row r="56" s="56">
      <c r="A56" s="72" t="inlineStr">
        <is>
          <t>Door-to-door travel times</t>
        </is>
      </c>
    </row>
    <row r="57" s="56">
      <c r="A57" s="96" t="inlineStr">
        <is>
          <t>Date</t>
        </is>
      </c>
      <c r="B57" s="96" t="inlineStr">
        <is>
          <t>Leg</t>
        </is>
      </c>
      <c r="C57" s="96" t="inlineStr">
        <is>
          <t>Mode</t>
        </is>
      </c>
      <c r="D57" s="96" t="inlineStr">
        <is>
          <t>Expected time</t>
        </is>
      </c>
      <c r="E57" s="96" t="inlineStr">
        <is>
          <t>Notes</t>
        </is>
      </c>
    </row>
    <row r="58" s="56">
      <c r="A58" s="105" t="inlineStr">
        <is>
          <t>12 Nov</t>
        </is>
      </c>
      <c r="B58" s="105" t="inlineStr">
        <is>
          <t>Home → Chinggis Khaan airport</t>
        </is>
      </c>
      <c r="C58" s="82" t="inlineStr">
        <is>
          <t>Taxi (~50 km)</t>
        </is>
      </c>
      <c r="D58" s="104" t="n">
        <v>0.04166666666666666</v>
      </c>
      <c r="E58" s="106" t="inlineStr">
        <is>
          <t>Leave ~10:30 for the 13:00 flight</t>
        </is>
      </c>
      <c r="F58" s="107" t="n"/>
      <c r="G58" s="107" t="n"/>
      <c r="H58" s="107" t="n"/>
      <c r="I58" s="107" t="n"/>
      <c r="J58" s="107" t="n"/>
      <c r="K58" s="107" t="n"/>
      <c r="L58" s="107" t="n"/>
    </row>
    <row r="59" s="56">
      <c r="A59" s="105" t="inlineStr">
        <is>
          <t>12 Nov</t>
        </is>
      </c>
      <c r="B59" s="105" t="inlineStr">
        <is>
          <t>Ulaanbaatar → Hohhot</t>
        </is>
      </c>
      <c r="C59" s="82" t="inlineStr">
        <is>
          <t>Air China CA758 13:00–14:40</t>
        </is>
      </c>
      <c r="D59" s="104" t="n">
        <v>0.06944444444444445</v>
      </c>
      <c r="E59" s="106" t="n"/>
      <c r="F59" s="107" t="n"/>
      <c r="G59" s="107" t="n"/>
      <c r="H59" s="107" t="n"/>
      <c r="I59" s="107" t="n"/>
      <c r="J59" s="107" t="n"/>
      <c r="K59" s="107" t="n"/>
      <c r="L59" s="107" t="n"/>
    </row>
    <row r="60" s="56">
      <c r="A60" s="105" t="inlineStr">
        <is>
          <t>12 Nov</t>
        </is>
      </c>
      <c r="B60" s="105" t="inlineStr">
        <is>
          <t>Hohhot: immigration, bags, Spring check-in</t>
        </is>
      </c>
      <c r="C60" s="82" t="inlineStr">
        <is>
          <t>Self-transfer</t>
        </is>
      </c>
      <c r="D60" s="104" t="n">
        <v>0.04166666666666666</v>
      </c>
      <c r="E60" s="106" t="inlineStr">
        <is>
          <t>Estimate; 4 h 25 min between flights</t>
        </is>
      </c>
      <c r="F60" s="107" t="n"/>
      <c r="G60" s="107" t="n"/>
      <c r="H60" s="107" t="n"/>
      <c r="I60" s="107" t="n"/>
      <c r="J60" s="107" t="n"/>
      <c r="K60" s="107" t="n"/>
      <c r="L60" s="107" t="n"/>
    </row>
    <row r="61" s="56">
      <c r="A61" s="105" t="inlineStr">
        <is>
          <t>12 Nov</t>
        </is>
      </c>
      <c r="B61" s="105" t="inlineStr">
        <is>
          <t>Hohhot → Shenyang</t>
        </is>
      </c>
      <c r="C61" s="82" t="inlineStr">
        <is>
          <t>Spring 9C6782 19:05–21:15</t>
        </is>
      </c>
      <c r="D61" s="104" t="n">
        <v>0.09027777777777778</v>
      </c>
      <c r="E61" s="106" t="n"/>
      <c r="F61" s="107" t="n"/>
      <c r="G61" s="107" t="n"/>
      <c r="H61" s="107" t="n"/>
      <c r="I61" s="107" t="n"/>
      <c r="J61" s="107" t="n"/>
      <c r="K61" s="107" t="n"/>
      <c r="L61" s="107" t="n"/>
    </row>
    <row r="62" s="56">
      <c r="A62" s="105" t="inlineStr">
        <is>
          <t>12 Nov</t>
        </is>
      </c>
      <c r="B62" s="105" t="inlineStr">
        <is>
          <t>Taoxian airport → Ji Hotel</t>
        </is>
      </c>
      <c r="C62" s="82" t="inlineStr">
        <is>
          <t>Taxi (~25 km)</t>
        </is>
      </c>
      <c r="D62" s="104" t="n">
        <v>0.03125</v>
      </c>
      <c r="E62" s="106" t="inlineStr">
        <is>
          <t>Check in ~22:15</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SUM(D58:D68)</f>
        <v/>
      </c>
    </row>
    <row r="71" s="56"/>
  </sheetData>
  <mergeCells count="20">
    <mergeCell ref="E58:L58"/>
    <mergeCell ref="C52:L52"/>
    <mergeCell ref="E68:L68"/>
    <mergeCell ref="E62:L62"/>
    <mergeCell ref="B46:L46"/>
    <mergeCell ref="E67:L67"/>
    <mergeCell ref="B43:L43"/>
    <mergeCell ref="C53:L53"/>
    <mergeCell ref="E64:L64"/>
    <mergeCell ref="E63:L63"/>
    <mergeCell ref="E60:L60"/>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Spring via Shanghai</t>
        </is>
      </c>
    </row>
    <row r="2" ht="15" customHeight="1" s="56">
      <c r="A2" s="62" t="inlineStr">
        <is>
          <t>No early alarm and no night train, and the cheapest flights-only way out: Spring Airlines UB → Shanghai Pudong and Pudong → Shenyang on Fri 13 Nov (two tickets, 2 h 05 min self-transfer); two nights in Ji Hotel twin rooms;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Spring Airlines 9C6520 Ulaanbaatar 13:00 → Shanghai Pudong T2 16:45, nonstop (A320), 7 kg cabin bag only</t>
        </is>
      </c>
      <c r="C10" s="83" t="inlineStr">
        <is>
          <t>Fri 13 Nov</t>
        </is>
      </c>
      <c r="D10" s="84" t="n">
        <v>0.15625</v>
      </c>
      <c r="E10" s="85" t="n">
        <v>808</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27 Oct: ¥808 incl. taxes on 13 Nov (10 / 12 Nov ¥1,108; no Spring flight on 11 Nov). Non-refundable. Trip.com sells it with 9C6759 as a self-transfer package for ₮751,400 (₮780,300 with bags) – two Ctrip tickets are cheaper.</t>
        </is>
      </c>
    </row>
    <row r="11" ht="39" customHeight="1" s="56">
      <c r="B11" s="111" t="inlineStr">
        <is>
          <t>Spring Airlines 9C6759 Shanghai Pudong T2 18:50 → Shenyang Taoxian 21:10, nonstop (A320)</t>
        </is>
      </c>
      <c r="C11" s="83" t="inlineStr">
        <is>
          <t>Fri 13 Nov</t>
        </is>
      </c>
      <c r="D11" s="84" t="n">
        <v>0.09722222222222222</v>
      </c>
      <c r="E11" s="85" t="n">
        <v>430</v>
      </c>
      <c r="F11" s="86" t="inlineStr">
        <is>
          <t>CNY</t>
        </is>
      </c>
      <c r="G11" s="87">
        <f>Compare!$B$6</f>
        <v/>
      </c>
      <c r="H11" s="88">
        <f>E11*G11*IF(F11="USD",Compare!$B$8,IF(F11="CNY",Compare!$B$9,IF(F11="HKD",Compare!$B$10,1)))</f>
        <v/>
      </c>
      <c r="I11" s="89">
        <f>E11</f>
        <v/>
      </c>
      <c r="J11" s="87">
        <f>Compare!$B$7</f>
        <v/>
      </c>
      <c r="K11" s="88">
        <f>I11*J11*IF(F11="USD",Compare!$B$8,IF(F11="CNY",Compare!$B$9,IF(F11="HKD",Compare!$B$10,1)))</f>
        <v/>
      </c>
      <c r="L11" s="112" t="inlineStr">
        <is>
          <t>Ctrip 27 Oct: fare ¥290 + ¥50 airport fee + ¥90 fuel surcharge = ¥430 (7 kg cabin bag, 20×30×40 cm). Separate ticket from 9C6520: 2 h 05 min self-transfer at Pudong T2 (immigration, collect bags, check in again by 18:05). 18:50 on Fridays only (14:35 on Thursdays).</t>
        </is>
      </c>
    </row>
    <row r="12" ht="30" customHeight="1" s="56">
      <c r="B12" s="111" t="inlineStr">
        <is>
          <t>Spring checked bag, 20 kg on both flights (bag fares bought with the tickets)</t>
        </is>
      </c>
      <c r="C12" s="83" t="inlineStr">
        <is>
          <t>Fri 13 Nov</t>
        </is>
      </c>
      <c r="D12" s="84" t="n"/>
      <c r="E12" s="85" t="n">
        <v>170</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Ctrip 27 Oct: 20 kg bag fares are ¥858 vs ¥808 on 9C6520 (+¥50) and ¥410 vs ¥290 on 9C6759 (+¥120), same taxes. Cabin bags only saves it.</t>
        </is>
      </c>
    </row>
    <row r="13" ht="39" customHeight="1" s="56">
      <c r="B13" s="111" t="inlineStr">
        <is>
          <t>Air China CA955 Beijing Capital (PEK) 12:55 → Ulaanbaatar 15:05, nonstop</t>
        </is>
      </c>
      <c r="C13" s="83" t="inlineStr">
        <is>
          <t>16 Nov</t>
        </is>
      </c>
      <c r="D13" s="84" t="n">
        <v>0.09027777777777778</v>
      </c>
      <c r="E13" s="85" t="n">
        <v>171</v>
      </c>
      <c r="F13" s="86" t="inlineStr">
        <is>
          <t>USD</t>
        </is>
      </c>
      <c r="G13" s="87">
        <f>Compare!$B$6</f>
        <v/>
      </c>
      <c r="H13" s="88">
        <f>E13*G13*IF(F13="USD",Compare!$B$8,IF(F13="CNY",Compare!$B$9,IF(F13="HKD",Compare!$B$10,1)))</f>
        <v/>
      </c>
      <c r="I13" s="89">
        <f>E13</f>
        <v/>
      </c>
      <c r="J13" s="87">
        <f>Compare!$B$7</f>
        <v/>
      </c>
      <c r="K13" s="88">
        <f>I13*J13*IF(F13="USD",Compare!$B$8,IF(F13="CNY",Compare!$B$9,IF(F13="HKD",Compare!$B$10,1)))</f>
        <v/>
      </c>
      <c r="L13" s="112" t="inlineStr">
        <is>
          <t>Trip.com 22 Oct: US$171 pp, cheapest that day (MIAT OM224 11:30 US$193 on Trip.com / $176 on SlickTrip; Air China 08:25 $215; Capital + Hunnu via Erenhot $196)</t>
        </is>
      </c>
    </row>
    <row r="14" s="56">
      <c r="A14" s="79" t="inlineStr">
        <is>
          <t>Trains</t>
        </is>
      </c>
      <c r="B14" s="80" t="n"/>
      <c r="C14" s="80" t="n"/>
      <c r="D14" s="80" t="n"/>
      <c r="E14" s="80" t="n"/>
      <c r="F14" s="80" t="n"/>
      <c r="G14" s="80" t="n"/>
      <c r="H14" s="80" t="n"/>
      <c r="I14" s="80" t="n"/>
      <c r="J14" s="80" t="n"/>
      <c r="K14" s="80" t="n"/>
      <c r="L14" s="80" t="n"/>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13–15 Nov (2 nights)</t>
        </is>
      </c>
      <c r="D17" s="84" t="n"/>
      <c r="E17" s="85" t="n">
        <v>457</v>
      </c>
      <c r="F17" s="86" t="inlineStr">
        <is>
          <t>CNY</t>
        </is>
      </c>
      <c r="G17" s="91" t="n">
        <v>2</v>
      </c>
      <c r="H17" s="88">
        <f>E17*G17*IF(F17="USD",Compare!$B$8,IF(F17="CNY",Compare!$B$9,IF(F17="HKD",Compare!$B$10,1)))</f>
        <v/>
      </c>
      <c r="I17" s="85" t="n">
        <v>457</v>
      </c>
      <c r="J17" s="91" t="n">
        <v>2</v>
      </c>
      <c r="K17" s="88">
        <f>I17*J17*IF(F17="USD",Compare!$B$8,IF(F17="CNY",Compare!$B$9,IF(F17="HKD",Compare!$B$10,1)))</f>
        <v/>
      </c>
      <c r="L17" s="112" t="inlineStr">
        <is>
          <t>Trip.com 22 Oct: ¥457 for 2 rooms per night incl. taxes (14–15 Nov; ¥1,371 for 12–15 Nov), 2 nights at that rate; free cancellation; same price for 3 or 4 adults. 9.0 from 1,433 reviews; 16 m² rooms high in an office tower, above the street. Breakfast ¥40 optional.</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Shenyang Taoxian airport → Ji Hotel</t>
        </is>
      </c>
      <c r="C21" s="83" t="inlineStr">
        <is>
          <t>13 Nov</t>
        </is>
      </c>
      <c r="D21" s="84" t="n"/>
      <c r="E21" s="113" t="n">
        <v>90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~¥90 per car, ~25 km, ~40 min</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SUM(D10:D13)+SUM(D15:D15)</f>
        <v/>
      </c>
      <c r="K40" s="104">
        <f>SUM(D10:D13)+SUM(D15:D15)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30" customHeight="1" s="56">
      <c r="A44" s="75" t="inlineStr">
        <is>
          <t>Why this plan</t>
        </is>
      </c>
      <c r="B44" s="74" t="inlineStr">
        <is>
          <t>Cheapest way out with no early alarm and no night train: ₮771k per person UB airport → hotel with bags (₮680k cabin bags only) vs ₮815k for Hohhot + Spring, flights only, and one hotel night fewer.</t>
        </is>
      </c>
    </row>
    <row r="45" ht="30" customHeight="1" s="56">
      <c r="A45" s="75" t="inlineStr">
        <is>
          <t>Trade-off</t>
        </is>
      </c>
      <c r="B45" s="74" t="inlineStr">
        <is>
          <t>Two separate tickets with only 2 h 05 min in Shanghai (international → domestic, both Pudong T2) on the evening before day 1, and no spare day. If 9C6520 is late the ¥430 Spring ticket is lost; same-night fallbacks CZ6502 19:00 → 21:30, MU6195 19:30 → 21:55, CZ6520 20:55 → 23:20 (new ticket, not priced). Spring includes only a 7 kg cabin bag. Arrive ~22:15 on 13 Nov.</t>
        </is>
      </c>
    </row>
    <row r="46" ht="15" customHeight="1" s="56">
      <c r="A46" s="75" t="inlineStr">
        <is>
          <t>Book</t>
        </is>
      </c>
      <c r="B46" s="74" t="inlineStr">
        <is>
          <t>9C6520 and 9C6759 on Ctrip now (two bookings; online check-in for 9C6759, cabin bags make the transfer easier); Ji Hotel for 13–15 Nov;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30" customHeight="1" s="56">
      <c r="A50" s="74" t="inlineStr">
        <is>
          <t>Fri 13 Nov</t>
        </is>
      </c>
      <c r="B50" s="74" t="inlineStr">
        <is>
          <t>Shenyang</t>
        </is>
      </c>
      <c r="C50" s="74" t="inlineStr">
        <is>
          <t>Wake ~08:30. Spring 9C6520 UB 13:00 → Shanghai Pudong T2 16:45; immigration, collect bags, check in for 9C6759 by 18:05; 18:50 → Shenyang 21:10; taxi to Ji Hotel (~22:15). Bed ~23:15.</t>
        </is>
      </c>
    </row>
    <row r="51" ht="15" customHeight="1" s="56">
      <c r="A51" s="74" t="inlineStr">
        <is>
          <t>Sat 14 Nov</t>
        </is>
      </c>
      <c r="B51" s="74" t="inlineStr">
        <is>
          <t>Shenyang</t>
        </is>
      </c>
      <c r="C51" s="74" t="inlineStr">
        <is>
          <t>Registration, opening and practice at NEU Nanhu. Lights out ~22:30.</t>
        </is>
      </c>
    </row>
    <row r="52" ht="15"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30" customHeight="1" s="56">
      <c r="A53" s="74" t="inlineStr">
        <is>
          <t>Mon 16 Nov</t>
        </is>
      </c>
      <c r="B53" s="74" t="inlineStr">
        <is>
          <t>Home</t>
        </is>
      </c>
      <c r="C53" s="74" t="inlineStr">
        <is>
          <t>Metro line 2 + Airport Express to PEK T3 (~1 h). Air China 12:55 → UB 15:05.</t>
        </is>
      </c>
    </row>
    <row r="54" ht="15" customHeight="1" s="56">
      <c r="A54" s="74" t="n"/>
      <c r="B54" s="74" t="n"/>
      <c r="C54" s="74" t="n"/>
    </row>
    <row r="55" s="56"/>
    <row r="56" s="56">
      <c r="A56" s="72" t="inlineStr">
        <is>
          <t>Door-to-door travel times</t>
        </is>
      </c>
    </row>
    <row r="57" s="56">
      <c r="A57" s="96" t="inlineStr">
        <is>
          <t>Date</t>
        </is>
      </c>
      <c r="B57" s="96" t="inlineStr">
        <is>
          <t>Leg</t>
        </is>
      </c>
      <c r="C57" s="96" t="inlineStr">
        <is>
          <t>Mode</t>
        </is>
      </c>
      <c r="D57" s="96" t="inlineStr">
        <is>
          <t>Expected time</t>
        </is>
      </c>
      <c r="E57" s="96" t="inlineStr">
        <is>
          <t>Notes</t>
        </is>
      </c>
    </row>
    <row r="58" s="56">
      <c r="A58" s="105" t="inlineStr">
        <is>
          <t>13 Nov</t>
        </is>
      </c>
      <c r="B58" s="105" t="inlineStr">
        <is>
          <t>Home → Chinggis Khaan airport</t>
        </is>
      </c>
      <c r="C58" s="82" t="inlineStr">
        <is>
          <t>Taxi (~50 km)</t>
        </is>
      </c>
      <c r="D58" s="104" t="n">
        <v>0.04166666666666666</v>
      </c>
      <c r="E58" s="106" t="inlineStr">
        <is>
          <t>Leave ~10:30 for the 13:00 flight</t>
        </is>
      </c>
      <c r="F58" s="107" t="n"/>
      <c r="G58" s="107" t="n"/>
      <c r="H58" s="107" t="n"/>
      <c r="I58" s="107" t="n"/>
      <c r="J58" s="107" t="n"/>
      <c r="K58" s="107" t="n"/>
      <c r="L58" s="107" t="n"/>
    </row>
    <row r="59" s="56">
      <c r="A59" s="105" t="inlineStr">
        <is>
          <t>13 Nov</t>
        </is>
      </c>
      <c r="B59" s="105" t="inlineStr">
        <is>
          <t>Ulaanbaatar → Shanghai Pudong</t>
        </is>
      </c>
      <c r="C59" s="82" t="inlineStr">
        <is>
          <t>Spring 9C6520 13:00–16:45</t>
        </is>
      </c>
      <c r="D59" s="104" t="n">
        <v>0.15625</v>
      </c>
      <c r="E59" s="106" t="n"/>
      <c r="F59" s="107" t="n"/>
      <c r="G59" s="107" t="n"/>
      <c r="H59" s="107" t="n"/>
      <c r="I59" s="107" t="n"/>
      <c r="J59" s="107" t="n"/>
      <c r="K59" s="107" t="n"/>
      <c r="L59" s="107" t="n"/>
    </row>
    <row r="60" s="56">
      <c r="A60" s="105" t="inlineStr">
        <is>
          <t>13 Nov</t>
        </is>
      </c>
      <c r="B60" s="105" t="inlineStr">
        <is>
          <t>Pudong T2: immigration, bags, Spring check-in</t>
        </is>
      </c>
      <c r="C60" s="82" t="inlineStr">
        <is>
          <t>Self-transfer</t>
        </is>
      </c>
      <c r="D60" s="104" t="n">
        <v>0.04166666666666666</v>
      </c>
      <c r="E60" s="106" t="inlineStr">
        <is>
          <t>Estimate; 2 h 05 min between flights, check-in closes 18:05</t>
        </is>
      </c>
      <c r="F60" s="107" t="n"/>
      <c r="G60" s="107" t="n"/>
      <c r="H60" s="107" t="n"/>
      <c r="I60" s="107" t="n"/>
      <c r="J60" s="107" t="n"/>
      <c r="K60" s="107" t="n"/>
      <c r="L60" s="107" t="n"/>
    </row>
    <row r="61" s="56">
      <c r="A61" s="105" t="inlineStr">
        <is>
          <t>13 Nov</t>
        </is>
      </c>
      <c r="B61" s="105" t="inlineStr">
        <is>
          <t>Shanghai → Shenyang</t>
        </is>
      </c>
      <c r="C61" s="82" t="inlineStr">
        <is>
          <t>Spring 9C6759 18:50–21:10</t>
        </is>
      </c>
      <c r="D61" s="104" t="n">
        <v>0.09722222222222222</v>
      </c>
      <c r="E61" s="106" t="n"/>
      <c r="F61" s="107" t="n"/>
      <c r="G61" s="107" t="n"/>
      <c r="H61" s="107" t="n"/>
      <c r="I61" s="107" t="n"/>
      <c r="J61" s="107" t="n"/>
      <c r="K61" s="107" t="n"/>
      <c r="L61" s="107" t="n"/>
    </row>
    <row r="62" s="56">
      <c r="A62" s="105" t="inlineStr">
        <is>
          <t>13 Nov</t>
        </is>
      </c>
      <c r="B62" s="105" t="inlineStr">
        <is>
          <t>Taoxian airport → Ji Hotel</t>
        </is>
      </c>
      <c r="C62" s="82" t="inlineStr">
        <is>
          <t>Taxi (~25 km)</t>
        </is>
      </c>
      <c r="D62" s="104" t="n">
        <v>0.03125</v>
      </c>
      <c r="E62" s="106" t="inlineStr">
        <is>
          <t>Check in ~22:15</t>
        </is>
      </c>
      <c r="F62" s="107" t="n"/>
      <c r="G62" s="107" t="n"/>
      <c r="H62" s="107" t="n"/>
      <c r="I62" s="107" t="n"/>
      <c r="J62" s="107" t="n"/>
      <c r="K62" s="107" t="n"/>
      <c r="L62" s="107" t="n"/>
    </row>
    <row r="63" s="56">
      <c r="A63" s="105" t="inlineStr">
        <is>
          <t>14–15 Nov</t>
        </is>
      </c>
      <c r="B63" s="105" t="inlineStr">
        <is>
          <t>Hotel ↔ NEU Nanhu (each way)</t>
        </is>
      </c>
      <c r="C63" s="82" t="inlineStr">
        <is>
          <t>Walk</t>
        </is>
      </c>
      <c r="D63" s="104" t="inlineStr">
        <is>
          <t>daily</t>
        </is>
      </c>
      <c r="E63" s="106" t="inlineStr">
        <is>
          <t>~15 min walk</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SUM(D58:D68)</f>
        <v/>
      </c>
    </row>
    <row r="71" s="56"/>
  </sheetData>
  <mergeCells count="20">
    <mergeCell ref="E58:L58"/>
    <mergeCell ref="C52:L52"/>
    <mergeCell ref="E68:L68"/>
    <mergeCell ref="E62:L62"/>
    <mergeCell ref="B46:L46"/>
    <mergeCell ref="E67:L67"/>
    <mergeCell ref="B43:L43"/>
    <mergeCell ref="C53:L53"/>
    <mergeCell ref="E64:L64"/>
    <mergeCell ref="E63:L63"/>
    <mergeCell ref="E60:L60"/>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2" customWidth="1" style="56" min="1" max="1"/>
    <col width="22" customWidth="1" style="56" min="2" max="2"/>
    <col width="18" customWidth="1" style="56" min="3" max="3"/>
    <col width="22" customWidth="1" style="56" min="4" max="4"/>
    <col width="12" customWidth="1" style="56" min="5" max="5"/>
    <col width="16" customWidth="1" style="56" min="6" max="6"/>
    <col width="16" customWidth="1" style="56" min="7" max="7"/>
    <col width="16" customWidth="1" style="56" min="8" max="8"/>
    <col width="18" customWidth="1" style="56" min="9" max="9"/>
    <col width="16" customWidth="1" style="56" min="10" max="10"/>
    <col width="10" customWidth="1" style="56" min="11" max="11"/>
    <col width="48" customWidth="1" style="56" min="12" max="12"/>
  </cols>
  <sheetData>
    <row r="1">
      <c r="A1" s="57" t="inlineStr">
        <is>
          <t>Shenyang – way out compared (UB → Shenyang, cheapest first)</t>
        </is>
      </c>
    </row>
    <row r="2" ht="45" customHeight="1" s="56">
      <c r="A2" s="59" t="inlineStr">
        <is>
          <t>Way out = the flights, trains, border jeep and transfer rows of each plan sheet up to arrival in Shenyang (UB home taxi and contingency not included). The rest of every new plan is 'Sleep value' (Ji Hotel twin rooms, K28 hard seat + Air China home) with hotel nights set by the arrival. Prices checked 22 Oct 2026.</t>
        </is>
      </c>
    </row>
    <row r="4" ht="48" customHeight="1" s="56">
      <c r="A4" s="66" t="inlineStr">
        <is>
          <t>Plan (sheet)</t>
        </is>
      </c>
      <c r="B4" s="66" t="inlineStr">
        <is>
          <t>Leave UB</t>
        </is>
      </c>
      <c r="C4" s="66" t="inlineStr">
        <is>
          <t>Arrive Shenyang</t>
        </is>
      </c>
      <c r="D4" s="66" t="inlineStr">
        <is>
          <t>Nights on a train before the contest</t>
        </is>
      </c>
      <c r="E4" s="66" t="inlineStr">
        <is>
          <t>Hotel nights before the contest</t>
        </is>
      </c>
      <c r="F4" s="66" t="inlineStr">
        <is>
          <t>Way out per person – 3 ppl</t>
        </is>
      </c>
      <c r="G4" s="66" t="inlineStr">
        <is>
          <t>Way out – team of 3</t>
        </is>
      </c>
      <c r="H4" s="66" t="inlineStr">
        <is>
          <t>Way out – 4 ppl (funded)</t>
        </is>
      </c>
      <c r="I4" s="66" t="inlineStr">
        <is>
          <t>Whole trip per person – 3 ppl (unfunded)</t>
        </is>
      </c>
      <c r="J4" s="66" t="inlineStr">
        <is>
          <t>Whole trip – team of 3</t>
        </is>
      </c>
      <c r="K4" s="66" t="inlineStr">
        <is>
          <t>Sleep check</t>
        </is>
      </c>
      <c r="L4" s="66" t="inlineStr">
        <is>
          <t>Notes</t>
        </is>
      </c>
    </row>
    <row r="5" ht="30" customHeight="1" s="56">
      <c r="A5" s="67" t="inlineStr">
        <is>
          <t>Shenyang – Overland out (seats)</t>
        </is>
      </c>
      <c r="B5" s="68" t="inlineStr">
        <is>
          <t>Thu 12 Nov 16:40 (train)</t>
        </is>
      </c>
      <c r="C5" s="68" t="inlineStr">
        <is>
          <t>Sat 14 Nov 10:16</t>
        </is>
      </c>
      <c r="D5" s="69" t="inlineStr">
        <is>
          <t>2 (seats)</t>
        </is>
      </c>
      <c r="E5" s="68" t="n">
        <v>1</v>
      </c>
      <c r="F5" s="68">
        <f>('Shenyang – Overland out (seats)'!H12+'Shenyang – Overland out (seats)'!H13+'Shenyang – Overland out (seats)'!H14+'Shenyang – Overland out (seats)'!H15)/Compare!$B$6</f>
        <v/>
      </c>
      <c r="G5" s="69">
        <f>'Shenyang – Overland out (seats)'!H12+'Shenyang – Overland out (seats)'!H13+'Shenyang – Overland out (seats)'!H14+'Shenyang – Overland out (seats)'!H15</f>
        <v/>
      </c>
      <c r="H5" s="70">
        <f>'Shenyang – Overland out (seats)'!K12+'Shenyang – Overland out (seats)'!K13+'Shenyang – Overland out (seats)'!K14+'Shenyang – Overland out (seats)'!K15</f>
        <v/>
      </c>
      <c r="I5" s="70">
        <f>'Shenyang – Overland out (seats)'!H39</f>
        <v/>
      </c>
      <c r="J5" s="124">
        <f>'Shenyang – Overland out (seats)'!H40</f>
        <v/>
      </c>
      <c r="K5" s="71" t="inlineStr">
        <is>
          <t>POOR</t>
        </is>
      </c>
      <c r="L5" s="123" t="inlineStr">
        <is>
          <t>Jeep fare and border hours not verified; missing 4654 at 12:45 costs a day</t>
        </is>
      </c>
    </row>
    <row r="6" ht="30" customHeight="1" s="56">
      <c r="A6" s="67" t="inlineStr">
        <is>
          <t>Shenyang – Overland out, berths</t>
        </is>
      </c>
      <c r="B6" s="68" t="inlineStr">
        <is>
          <t>Thu 12 Nov 16:40 (train)</t>
        </is>
      </c>
      <c r="C6" s="68" t="inlineStr">
        <is>
          <t>Sat 14 Nov 10:16</t>
        </is>
      </c>
      <c r="D6" s="69" t="inlineStr">
        <is>
          <t>2 (berths)</t>
        </is>
      </c>
      <c r="E6" s="68" t="n">
        <v>1</v>
      </c>
      <c r="F6" s="68">
        <f>('Shenyang – Overland out, berths'!H12+'Shenyang – Overland out, berths'!H13+'Shenyang – Overland out, berths'!H14+'Shenyang – Overland out, berths'!H15)/Compare!$B$6</f>
        <v/>
      </c>
      <c r="G6" s="69">
        <f>'Shenyang – Overland out, berths'!H12+'Shenyang – Overland out, berths'!H13+'Shenyang – Overland out, berths'!H14+'Shenyang – Overland out, berths'!H15</f>
        <v/>
      </c>
      <c r="H6" s="70">
        <f>'Shenyang – Overland out, berths'!K12+'Shenyang – Overland out, berths'!K13+'Shenyang – Overland out, berths'!K14+'Shenyang – Overland out, berths'!K15</f>
        <v/>
      </c>
      <c r="I6" s="70">
        <f>'Shenyang – Overland out, berths'!H39</f>
        <v/>
      </c>
      <c r="J6" s="124">
        <f>'Shenyang – Overland out, berths'!H40</f>
        <v/>
      </c>
      <c r="K6" s="71" t="inlineStr">
        <is>
          <t>POOR</t>
        </is>
      </c>
      <c r="L6" s="123" t="inlineStr">
        <is>
          <t>Same timing; platskart + T301 hard sleeper</t>
        </is>
      </c>
    </row>
    <row r="7" ht="30" customHeight="1" s="56">
      <c r="A7" s="67" t="inlineStr">
        <is>
          <t>Shenyang – Manzhouli seats</t>
        </is>
      </c>
      <c r="B7" s="68" t="inlineStr">
        <is>
          <t>Wed 11 Nov 13:20</t>
        </is>
      </c>
      <c r="C7" s="68" t="inlineStr">
        <is>
          <t>Thu 12 Nov 14:32</t>
        </is>
      </c>
      <c r="D7" s="69" t="inlineStr">
        <is>
          <t>1 (seat, 11 Nov)</t>
        </is>
      </c>
      <c r="E7" s="68" t="n">
        <v>3</v>
      </c>
      <c r="F7" s="68">
        <f>('Shenyang – Manzhouli seats'!H10+'Shenyang – Manzhouli seats'!H13+'Shenyang – Manzhouli seats'!H14+'Shenyang – Manzhouli seats'!H21)/Compare!$B$6</f>
        <v/>
      </c>
      <c r="G7" s="69">
        <f>'Shenyang – Manzhouli seats'!H10+'Shenyang – Manzhouli seats'!H13+'Shenyang – Manzhouli seats'!H14+'Shenyang – Manzhouli seats'!H21</f>
        <v/>
      </c>
      <c r="H7" s="70">
        <f>'Shenyang – Manzhouli seats'!K10+'Shenyang – Manzhouli seats'!K13+'Shenyang – Manzhouli seats'!K14+'Shenyang – Manzhouli seats'!K21</f>
        <v/>
      </c>
      <c r="I7" s="70">
        <f>'Shenyang – Manzhouli seats'!H38</f>
        <v/>
      </c>
      <c r="J7" s="124">
        <f>'Shenyang – Manzhouli seats'!H39</f>
        <v/>
      </c>
      <c r="K7" s="71" t="inlineStr">
        <is>
          <t>OK</t>
        </is>
      </c>
      <c r="L7" s="123" t="inlineStr">
        <is>
          <t>Hunnu flies Wed / Sat only; Manzhouli always needs an overnight train</t>
        </is>
      </c>
    </row>
    <row r="8" ht="30" customHeight="1" s="56">
      <c r="A8" s="67" t="inlineStr">
        <is>
          <t>Shenyang – Hunnu Daxing + K341</t>
        </is>
      </c>
      <c r="B8" s="68" t="inlineStr">
        <is>
          <t>Fri 13 Nov 17:55</t>
        </is>
      </c>
      <c r="C8" s="68" t="inlineStr">
        <is>
          <t>Sat 14 Nov 08:47</t>
        </is>
      </c>
      <c r="D8" s="69" t="inlineStr">
        <is>
          <t>1 (seat, eve of day 1)</t>
        </is>
      </c>
      <c r="E8" s="68" t="n">
        <v>1</v>
      </c>
      <c r="F8" s="68">
        <f>('Shenyang – Hunnu Daxing + K341'!H10+'Shenyang – Hunnu Daxing + K341'!H13+'Shenyang – Hunnu Daxing + K341'!H20)/Compare!$B$6</f>
        <v/>
      </c>
      <c r="G8" s="69">
        <f>'Shenyang – Hunnu Daxing + K341'!H10+'Shenyang – Hunnu Daxing + K341'!H13+'Shenyang – Hunnu Daxing + K341'!H20</f>
        <v/>
      </c>
      <c r="H8" s="70">
        <f>'Shenyang – Hunnu Daxing + K341'!K10+'Shenyang – Hunnu Daxing + K341'!K13+'Shenyang – Hunnu Daxing + K341'!K20</f>
        <v/>
      </c>
      <c r="I8" s="70">
        <f>'Shenyang – Hunnu Daxing + K341'!H37</f>
        <v/>
      </c>
      <c r="J8" s="124">
        <f>'Shenyang – Hunnu Daxing + K341'!H38</f>
        <v/>
      </c>
      <c r="K8" s="71" t="inlineStr">
        <is>
          <t>POOR</t>
        </is>
      </c>
      <c r="L8" s="123" t="inlineStr">
        <is>
          <t>~45 min spare between Daxing landing and K341</t>
        </is>
      </c>
    </row>
    <row r="9" ht="30" customHeight="1" s="56">
      <c r="A9" s="67" t="inlineStr">
        <is>
          <t>Shenyang – MIAT 13 Nov + K341</t>
        </is>
      </c>
      <c r="B9" s="68" t="inlineStr">
        <is>
          <t>Fri 13 Nov 17:15</t>
        </is>
      </c>
      <c r="C9" s="68" t="inlineStr">
        <is>
          <t>Sat 14 Nov 08:47</t>
        </is>
      </c>
      <c r="D9" s="69" t="inlineStr">
        <is>
          <t>1 (seat, eve of day 1)</t>
        </is>
      </c>
      <c r="E9" s="68" t="n">
        <v>1</v>
      </c>
      <c r="F9" s="68">
        <f>('Shenyang – MIAT 13 Nov + K341'!H10+'Shenyang – MIAT 13 Nov + K341'!H13+'Shenyang – MIAT 13 Nov + K341'!H20)/Compare!$B$6</f>
        <v/>
      </c>
      <c r="G9" s="69">
        <f>'Shenyang – MIAT 13 Nov + K341'!H10+'Shenyang – MIAT 13 Nov + K341'!H13+'Shenyang – MIAT 13 Nov + K341'!H20</f>
        <v/>
      </c>
      <c r="H9" s="70">
        <f>'Shenyang – MIAT 13 Nov + K341'!K10+'Shenyang – MIAT 13 Nov + K341'!K13+'Shenyang – MIAT 13 Nov + K341'!K20</f>
        <v/>
      </c>
      <c r="I9" s="70">
        <f>'Shenyang – MIAT 13 Nov + K341'!H37</f>
        <v/>
      </c>
      <c r="J9" s="124">
        <f>'Shenyang – MIAT 13 Nov + K341'!H38</f>
        <v/>
      </c>
      <c r="K9" s="71" t="inlineStr">
        <is>
          <t>POOR</t>
        </is>
      </c>
      <c r="L9" s="123" t="inlineStr"/>
    </row>
    <row r="10" ht="30" customHeight="1" s="56">
      <c r="A10" s="67" t="inlineStr">
        <is>
          <t>Shenyang – Hunnu Erenhot</t>
        </is>
      </c>
      <c r="B10" s="68" t="inlineStr">
        <is>
          <t>Fri 13 Nov 08:45</t>
        </is>
      </c>
      <c r="C10" s="68" t="inlineStr">
        <is>
          <t>Sat 14 Nov 10:16</t>
        </is>
      </c>
      <c r="D10" s="69" t="inlineStr">
        <is>
          <t>1 (seat, eve of day 1)</t>
        </is>
      </c>
      <c r="E10" s="68" t="n">
        <v>1</v>
      </c>
      <c r="F10" s="68">
        <f>('Shenyang – Hunnu Erenhot'!H10+'Shenyang – Hunnu Erenhot'!H13+'Shenyang – Hunnu Erenhot'!H14+'Shenyang – Hunnu Erenhot'!H21)/Compare!$B$6</f>
        <v/>
      </c>
      <c r="G10" s="69">
        <f>'Shenyang – Hunnu Erenhot'!H10+'Shenyang – Hunnu Erenhot'!H13+'Shenyang – Hunnu Erenhot'!H14+'Shenyang – Hunnu Erenhot'!H21</f>
        <v/>
      </c>
      <c r="H10" s="70">
        <f>'Shenyang – Hunnu Erenhot'!K10+'Shenyang – Hunnu Erenhot'!K13+'Shenyang – Hunnu Erenhot'!K14+'Shenyang – Hunnu Erenhot'!K21</f>
        <v/>
      </c>
      <c r="I10" s="70">
        <f>'Shenyang – Hunnu Erenhot'!H38</f>
        <v/>
      </c>
      <c r="J10" s="124">
        <f>'Shenyang – Hunnu Erenhot'!H39</f>
        <v/>
      </c>
      <c r="K10" s="71" t="inlineStr">
        <is>
          <t>POOR</t>
        </is>
      </c>
      <c r="L10" s="123" t="inlineStr">
        <is>
          <t>Same trains as overland; wake ~05:30</t>
        </is>
      </c>
    </row>
    <row r="11" ht="30" customHeight="1" s="56">
      <c r="A11" s="67" t="inlineStr">
        <is>
          <t>Shenyang – Hohhot red-eye</t>
        </is>
      </c>
      <c r="B11" s="68" t="inlineStr">
        <is>
          <t>Wed 11 Nov 22:25</t>
        </is>
      </c>
      <c r="C11" s="68" t="inlineStr">
        <is>
          <t>Fri 13 Nov 10:16</t>
        </is>
      </c>
      <c r="D11" s="69" t="inlineStr">
        <is>
          <t>1 (seat, 12 Nov)</t>
        </is>
      </c>
      <c r="E11" s="68" t="n">
        <v>2</v>
      </c>
      <c r="F11" s="68">
        <f>('Shenyang – Hohhot red-eye'!H10+'Shenyang – Hohhot red-eye'!H13+'Shenyang – Hohhot red-eye'!H16+'Shenyang – Hohhot red-eye'!H21)/Compare!$B$6</f>
        <v/>
      </c>
      <c r="G11" s="69">
        <f>'Shenyang – Hohhot red-eye'!H10+'Shenyang – Hohhot red-eye'!H13+'Shenyang – Hohhot red-eye'!H16+'Shenyang – Hohhot red-eye'!H21</f>
        <v/>
      </c>
      <c r="H11" s="70">
        <f>'Shenyang – Hohhot red-eye'!K10+'Shenyang – Hohhot red-eye'!K13+'Shenyang – Hohhot red-eye'!K16+'Shenyang – Hohhot red-eye'!K21</f>
        <v/>
      </c>
      <c r="I11" s="70">
        <f>'Shenyang – Hohhot red-eye'!H38</f>
        <v/>
      </c>
      <c r="J11" s="124">
        <f>'Shenyang – Hohhot red-eye'!H39</f>
        <v/>
      </c>
      <c r="K11" s="71" t="inlineStr">
        <is>
          <t>WATCH</t>
        </is>
      </c>
      <c r="L11" s="123" t="inlineStr">
        <is>
          <t>Hohhot hotel price is a guess</t>
        </is>
      </c>
    </row>
    <row r="12" ht="30" customHeight="1" s="56">
      <c r="A12" s="67" t="inlineStr">
        <is>
          <t>Shenyang – Budget</t>
        </is>
      </c>
      <c r="B12" s="68" t="inlineStr">
        <is>
          <t>Fri 13 Nov 17:15</t>
        </is>
      </c>
      <c r="C12" s="68" t="inlineStr">
        <is>
          <t>Sat 14 Nov 07:00</t>
        </is>
      </c>
      <c r="D12" s="69" t="inlineStr">
        <is>
          <t>1 (soft sleeper, eve of day 1)</t>
        </is>
      </c>
      <c r="E12" s="68" t="n">
        <v>1</v>
      </c>
      <c r="F12" s="68">
        <f>('Shenyang – Budget'!H10+'Shenyang – Budget'!H13)/Compare!$B$6</f>
        <v/>
      </c>
      <c r="G12" s="69">
        <f>'Shenyang – Budget'!H10+'Shenyang – Budget'!H13</f>
        <v/>
      </c>
      <c r="H12" s="70">
        <f>'Shenyang – Budget'!K10+'Shenyang – Budget'!K13</f>
        <v/>
      </c>
      <c r="I12" s="70">
        <f>'Shenyang – Budget'!H37</f>
        <v/>
      </c>
      <c r="J12" s="124">
        <f>'Shenyang – Budget'!H38</f>
        <v/>
      </c>
      <c r="K12" s="71" t="inlineStr">
        <is>
          <t>WATCH</t>
        </is>
      </c>
      <c r="L12" s="123" t="inlineStr">
        <is>
          <t>Older plan (30 Sep – 3 Oct prices): MIAT $150 + K53 soft sleeper</t>
        </is>
      </c>
    </row>
    <row r="13" ht="30" customHeight="1" s="56">
      <c r="A13" s="67" t="inlineStr">
        <is>
          <t>Shenyang – Spring via Shanghai</t>
        </is>
      </c>
      <c r="B13" s="68" t="inlineStr">
        <is>
          <t>Fri 13 Nov 13:00</t>
        </is>
      </c>
      <c r="C13" s="68" t="inlineStr">
        <is>
          <t>Fri 13 Nov 21:10</t>
        </is>
      </c>
      <c r="D13" s="69" t="inlineStr">
        <is>
          <t>0</t>
        </is>
      </c>
      <c r="E13" s="68" t="n">
        <v>2</v>
      </c>
      <c r="F13" s="68">
        <f>('Shenyang – Spring via Shanghai'!H10+'Shenyang – Spring via Shanghai'!H11+'Shenyang – Spring via Shanghai'!H12+'Shenyang – Spring via Shanghai'!H21)/Compare!$B$6</f>
        <v/>
      </c>
      <c r="G13" s="69">
        <f>'Shenyang – Spring via Shanghai'!H10+'Shenyang – Spring via Shanghai'!H11+'Shenyang – Spring via Shanghai'!H12+'Shenyang – Spring via Shanghai'!H21</f>
        <v/>
      </c>
      <c r="H13" s="70">
        <f>'Shenyang – Spring via Shanghai'!K10+'Shenyang – Spring via Shanghai'!K11+'Shenyang – Spring via Shanghai'!K12+'Shenyang – Spring via Shanghai'!K21</f>
        <v/>
      </c>
      <c r="I13" s="70">
        <f>'Shenyang – Spring via Shanghai'!H38</f>
        <v/>
      </c>
      <c r="J13" s="124">
        <f>'Shenyang – Spring via Shanghai'!H39</f>
        <v/>
      </c>
      <c r="K13" s="71" t="inlineStr">
        <is>
          <t>OK</t>
        </is>
      </c>
      <c r="L13" s="123" t="inlineStr">
        <is>
          <t>Two tickets, 2 h 05 min self-transfer at Pudong T2 the evening before day 1; 20 kg bags +¥170 (Ctrip 27 Oct); Trip.com package ₮751,400</t>
        </is>
      </c>
    </row>
    <row r="14" ht="30" customHeight="1" s="56">
      <c r="A14" s="67" t="inlineStr">
        <is>
          <t>Shenyang – Hohhot + Spring</t>
        </is>
      </c>
      <c r="B14" s="68" t="inlineStr">
        <is>
          <t>Thu 12 Nov 13:00</t>
        </is>
      </c>
      <c r="C14" s="68" t="inlineStr">
        <is>
          <t>Thu 12 Nov 21:15</t>
        </is>
      </c>
      <c r="D14" s="69" t="inlineStr">
        <is>
          <t>0</t>
        </is>
      </c>
      <c r="E14" s="68" t="n">
        <v>3</v>
      </c>
      <c r="F14" s="68">
        <f>('Shenyang – Hohhot + Spring'!H10+'Shenyang – Hohhot + Spring'!H11+'Shenyang – Hohhot + Spring'!H12+'Shenyang – Hohhot + Spring'!H21)/Compare!$B$6</f>
        <v/>
      </c>
      <c r="G14" s="69">
        <f>'Shenyang – Hohhot + Spring'!H10+'Shenyang – Hohhot + Spring'!H11+'Shenyang – Hohhot + Spring'!H12+'Shenyang – Hohhot + Spring'!H21</f>
        <v/>
      </c>
      <c r="H14" s="70">
        <f>'Shenyang – Hohhot + Spring'!K10+'Shenyang – Hohhot + Spring'!K11+'Shenyang – Hohhot + Spring'!K12+'Shenyang – Hohhot + Spring'!K21</f>
        <v/>
      </c>
      <c r="I14" s="70">
        <f>'Shenyang – Hohhot + Spring'!H38</f>
        <v/>
      </c>
      <c r="J14" s="124">
        <f>'Shenyang – Hohhot + Spring'!H39</f>
        <v/>
      </c>
      <c r="K14" s="71" t="inlineStr">
        <is>
          <t>BEST</t>
        </is>
      </c>
      <c r="L14" s="123" t="inlineStr">
        <is>
          <t>Two tickets, 4 h 25 min self-transfer in Hohhot; Spring 20 kg bag fare +¥120 (Ctrip 27 Oct)</t>
        </is>
      </c>
    </row>
    <row r="15" ht="30" customHeight="1" s="56">
      <c r="A15" s="67" t="inlineStr">
        <is>
          <t>Shenyang – Sleep value</t>
        </is>
      </c>
      <c r="B15" s="68" t="inlineStr">
        <is>
          <t>Thu 12 Nov 11:50</t>
        </is>
      </c>
      <c r="C15" s="68" t="inlineStr">
        <is>
          <t>Thu 12 Nov 20:04</t>
        </is>
      </c>
      <c r="D15" s="69" t="inlineStr">
        <is>
          <t>0</t>
        </is>
      </c>
      <c r="E15" s="68" t="n">
        <v>3</v>
      </c>
      <c r="F15" s="68">
        <f>('Shenyang – Sleep value'!H10+'Shenyang – Sleep value'!H13+'Shenyang – Sleep value'!H20)/Compare!$B$6</f>
        <v/>
      </c>
      <c r="G15" s="69">
        <f>'Shenyang – Sleep value'!H10+'Shenyang – Sleep value'!H13+'Shenyang – Sleep value'!H20</f>
        <v/>
      </c>
      <c r="H15" s="70">
        <f>'Shenyang – Sleep value'!K10+'Shenyang – Sleep value'!K13+'Shenyang – Sleep value'!K20</f>
        <v/>
      </c>
      <c r="I15" s="70">
        <f>'Shenyang – Sleep value'!H37</f>
        <v/>
      </c>
      <c r="J15" s="124">
        <f>'Shenyang – Sleep value'!H38</f>
        <v/>
      </c>
      <c r="K15" s="71" t="inlineStr">
        <is>
          <t>BEST</t>
        </is>
      </c>
      <c r="L15" s="123" t="inlineStr">
        <is>
          <t>Current sleep-first plan: Air China ¥1,291 + G153 (CA902 is ¥1,541 on Ctrip, 27 Oct)</t>
        </is>
      </c>
    </row>
    <row r="16" s="56"/>
    <row r="17" ht="32" customHeight="1" s="56">
      <c r="A17" s="58" t="inlineStr">
        <is>
          <t>Manzhouli needs overnight travel: Hunnu lands 15:00 and there is no same-day flight or fast train on (Ctrip 22 Oct: all Manzhouli → Harbin / Shenyang flights stop overnight in Hohhot or Beijing). Without a night train it costs two extra hotel nights (Manzhouli + Harbin) and arrives 13 Nov.</t>
        </is>
      </c>
    </row>
  </sheetData>
  <mergeCells count="2">
    <mergeCell ref="A2:L2"/>
    <mergeCell ref="A17:L1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two cheap rooms 1.8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Hi Inn (Hutai Road).</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~25 min walk (Hi Inn 1.8 km) or a ¥15 taxi</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Nonstop cheap rooms</t>
        </is>
      </c>
    </row>
    <row r="2" ht="15" customHeight="1" s="56">
      <c r="A2" s="62" t="inlineStr">
        <is>
          <t>Spring Airlines nonstops both ways (1 Dec out, 8 Dec back) as in 'Spring nonstop', but two cheap private rooms 1.8 km from the venue (Hi Inn 8.9 / Jtour Inn 8.6) instead of the apartment: 7 nights ¥1,784 / ¥1,652 instead of ¥2,984 / ¥3,766.</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Hi Inn Shanghai University Hutai Road (1.8 km, 8.9) – 3 ppl: 2 rooms (2 + 1 beds); 4 ppl: Jtour Inn Hotel Shanghai University (1.8 km, 8.6), 2 rooms of 2</t>
        </is>
      </c>
      <c r="C14" s="83" t="inlineStr">
        <is>
          <t>1–8 Dec (7 nights)</t>
        </is>
      </c>
      <c r="D14" s="81" t="n"/>
      <c r="E14" s="85">
        <f>1784/7</f>
        <v/>
      </c>
      <c r="F14" s="86" t="inlineStr">
        <is>
          <t>CNY</t>
        </is>
      </c>
      <c r="G14" s="91" t="n">
        <v>7</v>
      </c>
      <c r="H14" s="88">
        <f>E14*G14*IF(F14="USD",Compare!$B$8,IF(F14="CNY",Compare!$B$9,IF(F14="HKD",Compare!$B$10,1)))</f>
        <v/>
      </c>
      <c r="I14" s="85">
        <f>1652/7</f>
        <v/>
      </c>
      <c r="J14" s="91" t="n">
        <v>7</v>
      </c>
      <c r="K14" s="88">
        <f>I14*J14*IF(F14="USD",Compare!$B$8,IF(F14="CNY",Compare!$B$9,IF(F14="HKD",Compare!$B$10,1)))</f>
        <v/>
      </c>
      <c r="L14" s="112" t="inlineStr">
        <is>
          <t>Trip.com 10 Oct (Shanghai University landmark, Hotel + private-bathroom filters, lowest price first): Hi Inn Shanghai University Hutai Road (1.8 km walk, 8.9 from 423 reviews, Comfort Twin Room with fresh-air system) ¥1,784 for 7 nights, 2 rooms, for 3 ppl; Jtour Inn Hotel Shanghai University (1.8 km, 8.6 from 142 reviews) ¥1,652 for 4 ppl (2 rooms of 2; it is not offered for 3 adults). Cheaper but worse: Yibai Gucun Park (5.2 km, 7.9) ¥1,456, Boshi Changzhong Rd (2.5 km, 8.2) ¥1,568. Compare Jenny's Apartment, 1 room for 3: ¥2,984.</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(sale fares – book soon). The hotel is the cheapest decent private rooms near the venue: far-away rooms are only ¥200–330 cheaper in total, which is not worth a 1–2 h commute.</t>
        </is>
      </c>
    </row>
    <row r="42" ht="15" customHeight="1" s="56">
      <c r="A42" s="75" t="inlineStr">
        <is>
          <t>Trade-off</t>
        </is>
      </c>
      <c r="B42" s="74" t="inlineStr">
        <is>
          <t>Seven nights away (more class missed, more meals), hand-baggage-only fare (carry-on only saves ~₮1.0M), a 08:00 flight home from Pudong (leave the hotel ~05:00). The nights after the contest (6, 7 Dec) are ~¥500 for both rooms – 'Fly out, train home' drops them.</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Hi Inn (Hutai Road).</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Same time zone as China (UTC+8)</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~25 min walk (1.8 km) or a ¥15 taxi</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Fly out, train home</t>
        </is>
      </c>
    </row>
    <row r="2" ht="15" customHeight="1" s="56">
      <c r="A2" s="62" t="inlineStr">
        <is>
          <t>Spring nonstop out on 1 Dec (5 bed nights before the contest in two cheap rooms), then the D10 overnight seat to Beijing (¥294) right after the contest and Air China to UB on 7 Dec: no hotel nights and no meals after the contest, home a day earlier.</t>
        </is>
      </c>
    </row>
    <row r="4" ht="15" customHeight="1" s="56">
      <c r="A4" s="60" t="inlineStr">
        <is>
          <t>Days in destination (meals &amp; local transport)</t>
        </is>
      </c>
      <c r="B4" s="76" t="n">
        <v>6</v>
      </c>
      <c r="C4" s="62" t="inlineStr">
        <is>
          <t>1 Dec afternoon → 7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Flies Tue / Sat only; Sat 5 Dec would land 17:00, after registration closes</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CA955 12:55 $172 pp (08:25 also $172; MIAT 11:30 $193, SlickTrip $197). Checked bag included on Air China. The D10 arrives 09:24 + ~75 min to PEK, about 1 h of buffer before check-in closes</t>
        </is>
      </c>
    </row>
    <row r="12" ht="15" customHeight="1" s="56">
      <c r="A12" s="79" t="inlineStr">
        <is>
          <t>Trains and baggage</t>
        </is>
      </c>
      <c r="B12" s="80" t="n"/>
      <c r="C12" s="80" t="n"/>
      <c r="D12" s="80" t="n"/>
      <c r="E12" s="80" t="n"/>
      <c r="F12" s="80" t="n"/>
      <c r="G12" s="80" t="n"/>
      <c r="H12" s="80" t="n"/>
      <c r="I12" s="80" t="n"/>
      <c r="J12" s="80" t="n"/>
      <c r="K12" s="80" t="n"/>
      <c r="L12" s="80" t="n"/>
    </row>
    <row r="13" ht="45" customHeight="1" s="56">
      <c r="A13" s="81" t="n"/>
      <c r="B13" s="111" t="inlineStr">
        <is>
          <t>Checked baggage Spring Airlines (base fare = 1 hand bag only), 1 bag per person, outbound only</t>
        </is>
      </c>
      <c r="C13" s="83" t="inlineStr">
        <is>
          <t>1 Dec</t>
        </is>
      </c>
      <c r="D13" s="84" t="n"/>
      <c r="E13" s="85" t="n">
        <v>300</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ASSUMPTION ~300 CNY per checked bag (Spring sells bags from ~80–270 CNY online by weight tier, more at the airport). The Air China fare home includes a checked bag. Carry-on only saves ~₮0.5M for 3</t>
        </is>
      </c>
    </row>
    <row r="14" ht="60" customHeight="1" s="56">
      <c r="A14" s="81" t="n"/>
      <c r="B14" s="111" t="inlineStr">
        <is>
          <t>Overnight train D10 Shanghai South 21:05 → Beijing South 09:24 (+1), 2nd-class seat</t>
        </is>
      </c>
      <c r="C14" s="83" t="inlineStr">
        <is>
          <t>6 Dec (night)</t>
        </is>
      </c>
      <c r="D14" s="84" t="n">
        <v>0.5131944444444444</v>
      </c>
      <c r="E14" s="85" t="n">
        <v>294</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 fixed): D10 2nd-class seat ¥294 (sleeper ¥442); cheaper still: Z282 Songjiang 19:17 → Fengtai 09:52 hard seat ¥177.5 (needs Songjiang by ~18:30, tight after the awards), T110 Shanghai 16:30 → Beijing 08:33 hard seat ¥177.5 (leave before the awards). D6 21:15 → Beijing station 09:25 ¥338, D8 19:08 ¥361. Sales open 22 Nov 14:45 (ChinaTicketOnline)</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1–6 Dec (5 nights)</t>
        </is>
      </c>
      <c r="D16" s="81" t="n"/>
      <c r="E16" s="85">
        <f>1284/5</f>
        <v/>
      </c>
      <c r="F16" s="86" t="inlineStr">
        <is>
          <t>CNY</t>
        </is>
      </c>
      <c r="G16" s="91" t="n">
        <v>5</v>
      </c>
      <c r="H16" s="88">
        <f>E16*G16*IF(F16="USD",Compare!$B$8,IF(F16="CNY",Compare!$B$9,IF(F16="HKD",Compare!$B$10,1)))</f>
        <v/>
      </c>
      <c r="I16" s="85">
        <f>1180/5</f>
        <v/>
      </c>
      <c r="J16" s="91" t="n">
        <v>5</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¥1,284 for 5 nights, 2 rooms, for 3 ppl; Jtour Inn Hotel Shanghai University (1.8 km, 8.6 from 142 reviews) ¥1,180 for 4 ppl (2 rooms of 2; it is not offered for 3 adults). Cheaper but worse: Yibai Gucun Park (5.2 km, 7.9) ¥1,040, Boshi Changzhong Rd (2.5 km, 8.2) ¥1,120. Compare Jenny's Apartment, 1 room for 3: ¥2,132.</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PVG → hotel (Baoshan), arrival</t>
        </is>
      </c>
      <c r="C20" s="83" t="inlineStr">
        <is>
          <t>1 Dec</t>
        </is>
      </c>
      <c r="D20" s="84" t="n"/>
      <c r="E20" s="113" t="n">
        <v>220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~220 CNY per car, ~65 km (metro lines 2 + 7 take ~2 h, ~10 CNY pp)</t>
        </is>
      </c>
    </row>
    <row r="21" ht="30" customHeight="1" s="56">
      <c r="A21" s="81" t="n"/>
      <c r="B21" s="111" t="inlineStr">
        <is>
          <t>Taxi Shanghai University → Shanghai South station</t>
        </is>
      </c>
      <c r="C21" s="83" t="inlineStr">
        <is>
          <t>6 Dec</t>
        </is>
      </c>
      <c r="D21" s="84" t="n"/>
      <c r="E21" s="113" t="n">
        <v>90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~90 CNY per car (~25 km); metro lines 7 + 3 / 1 is ~1 h, ~8 CNY pp</t>
        </is>
      </c>
    </row>
    <row r="22" ht="30" customHeight="1" s="56">
      <c r="A22" s="81" t="n"/>
      <c r="B22" s="111" t="inlineStr">
        <is>
          <t>Beijing South → PEK (metro line 4 + 10 + Airport Express, or taxi)</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(~45 km, 60–75 min); metro + Airport Express is ~35 CNY pp. Leave the station by ~10:00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D10+D11+D14</f>
        <v/>
      </c>
      <c r="K40" s="104">
        <f>D10+D11+D14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Spring's sale fare is the cheapest way in, and the D10 seat + Air China costs about the same as the nonstop home once the two hotel nights, two days of meals and the Pudong taxi are counted. Home on 7 Dec instead of 8 Dec.</t>
        </is>
      </c>
    </row>
    <row r="46" ht="15" customHeight="1" s="56">
      <c r="A46" s="75" t="inlineStr">
        <is>
          <t>Trade-off</t>
        </is>
      </c>
      <c r="B46" s="74" t="inlineStr">
        <is>
          <t>Awards end ~17:00 and D10 leaves 21:05, so there is time to eat; ~12 h seated overnight in a train (sleeper ¥442 if you want to lie down) then straight to the airport: Beijing South → PEK needs ~75 min. Two tickets (Spring, Air China) so no through protection.</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Tue 1 Dec</t>
        </is>
      </c>
      <c r="B50" s="74" t="inlineStr">
        <is>
          <t>Shanghai</t>
        </is>
      </c>
      <c r="C50" s="74" t="inlineStr">
        <is>
          <t>Spring 9C6520 UB 13:00 → Shanghai Pudong 17:00; taxi to Hi Inn (Hutai Road).</t>
        </is>
      </c>
    </row>
    <row r="51" ht="15" customHeight="1" s="56">
      <c r="A51" s="74" t="inlineStr">
        <is>
          <t>Wed 2 – Fri 4 Dec</t>
        </is>
      </c>
      <c r="B51" s="74" t="inlineStr">
        <is>
          <t>Shanghai</t>
        </is>
      </c>
      <c r="C51" s="74" t="inlineStr">
        <is>
          <t>Rest / practice days (or sightseeing, lectures).</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Check out of the hotel in the morning (leave the bags at the venue / hotel desk), taxi to Shanghai South; D10 21:05 → Beijing South 09:24.</t>
        </is>
      </c>
    </row>
    <row r="54" ht="15" customHeight="1" s="56">
      <c r="A54" s="74" t="inlineStr">
        <is>
          <t>Mon 7 Dec</t>
        </is>
      </c>
      <c r="B54" s="74" t="inlineStr">
        <is>
          <t>Home</t>
        </is>
      </c>
      <c r="C54" s="74" t="inlineStr">
        <is>
          <t>Beijing South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1 Dec</t>
        </is>
      </c>
      <c r="B58" s="105" t="inlineStr">
        <is>
          <t>Home → Chinggis Khaan airport</t>
        </is>
      </c>
      <c r="C58" s="82" t="inlineStr">
        <is>
          <t>Taxi (~50 km)</t>
        </is>
      </c>
      <c r="D58" s="104" t="n">
        <v>0.04166666666666666</v>
      </c>
      <c r="E58" s="106" t="inlineStr">
        <is>
          <t>Leave ~10:00 for the 13:00 flight</t>
        </is>
      </c>
      <c r="F58" s="107" t="n"/>
      <c r="G58" s="107" t="n"/>
      <c r="H58" s="107" t="n"/>
      <c r="I58" s="107" t="n"/>
      <c r="J58" s="107" t="n"/>
      <c r="K58" s="107" t="n"/>
      <c r="L58" s="107" t="n"/>
    </row>
    <row r="59" ht="15" customHeight="1" s="56">
      <c r="A59" s="105" t="inlineStr">
        <is>
          <t>1 Dec</t>
        </is>
      </c>
      <c r="B59" s="105" t="inlineStr">
        <is>
          <t>Ulaanbaatar → Shanghai (PVG)</t>
        </is>
      </c>
      <c r="C59" s="82" t="inlineStr">
        <is>
          <t>Spring 9C6520 13:00–17:00</t>
        </is>
      </c>
      <c r="D59" s="104" t="n">
        <v>0.1666666666666667</v>
      </c>
      <c r="E59" s="106" t="inlineStr">
        <is>
          <t>Same time zone as China (UTC+8)</t>
        </is>
      </c>
      <c r="F59" s="107" t="n"/>
      <c r="G59" s="107" t="n"/>
      <c r="H59" s="107" t="n"/>
      <c r="I59" s="107" t="n"/>
      <c r="J59" s="107" t="n"/>
      <c r="K59" s="107" t="n"/>
      <c r="L59" s="107" t="n"/>
    </row>
    <row r="60" ht="15" customHeight="1" s="56">
      <c r="A60" s="105" t="inlineStr">
        <is>
          <t>1 Dec</t>
        </is>
      </c>
      <c r="B60" s="105" t="inlineStr">
        <is>
          <t>PVG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1 Dec</t>
        </is>
      </c>
      <c r="B61" s="105" t="inlineStr">
        <is>
          <t>PVG → hotel (Baoshan)</t>
        </is>
      </c>
      <c r="C61" s="82" t="inlineStr">
        <is>
          <t>Taxi (~65 km)</t>
        </is>
      </c>
      <c r="D61" s="104" t="n">
        <v>0.05208333333333334</v>
      </c>
      <c r="E61" s="106" t="inlineStr">
        <is>
          <t>Estimate; metro ~2 h</t>
        </is>
      </c>
      <c r="F61" s="107" t="n"/>
      <c r="G61" s="107" t="n"/>
      <c r="H61" s="107" t="n"/>
      <c r="I61" s="107" t="n"/>
      <c r="J61" s="107" t="n"/>
      <c r="K61" s="107" t="n"/>
      <c r="L61" s="107" t="n"/>
    </row>
    <row r="62" ht="15" customHeight="1" s="56">
      <c r="A62" s="105" t="inlineStr">
        <is>
          <t>5–6 Dec</t>
        </is>
      </c>
      <c r="B62" s="105" t="inlineStr">
        <is>
          <t>Hotel ↔ Shanghai University Baoshan (each way)</t>
        </is>
      </c>
      <c r="C62" s="82" t="inlineStr">
        <is>
          <t>Walk</t>
        </is>
      </c>
      <c r="D62" s="104" t="inlineStr">
        <is>
          <t>daily</t>
        </is>
      </c>
      <c r="E62" s="106" t="inlineStr">
        <is>
          <t>~25 min walk (Hi Inn 1.8 km) or a ¥15 taxi</t>
        </is>
      </c>
      <c r="F62" s="107" t="n"/>
      <c r="G62" s="107" t="n"/>
      <c r="H62" s="107" t="n"/>
      <c r="I62" s="107" t="n"/>
      <c r="J62" s="107" t="n"/>
      <c r="K62" s="107" t="n"/>
      <c r="L62" s="107" t="n"/>
    </row>
    <row r="63" ht="15" customHeight="1" s="56">
      <c r="A63" s="105" t="inlineStr">
        <is>
          <t>6 Dec</t>
        </is>
      </c>
      <c r="B63" s="105" t="inlineStr">
        <is>
          <t>Campus → Shanghai South station</t>
        </is>
      </c>
      <c r="C63" s="82" t="inlineStr">
        <is>
          <t>Taxi / metro</t>
        </is>
      </c>
      <c r="D63" s="104" t="n">
        <v>0.04166666666666666</v>
      </c>
      <c r="E63" s="106" t="inlineStr">
        <is>
          <t>Leave ~18:30 for the 21:05 train</t>
        </is>
      </c>
      <c r="F63" s="107" t="n"/>
      <c r="G63" s="107" t="n"/>
      <c r="H63" s="107" t="n"/>
      <c r="I63" s="107" t="n"/>
      <c r="J63" s="107" t="n"/>
      <c r="K63" s="107" t="n"/>
      <c r="L63" s="107" t="n"/>
    </row>
    <row r="64" ht="15" customHeight="1" s="56">
      <c r="A64" s="105" t="inlineStr">
        <is>
          <t>6–7 Dec</t>
        </is>
      </c>
      <c r="B64" s="105" t="inlineStr">
        <is>
          <t>Shanghai South → Beijing South</t>
        </is>
      </c>
      <c r="C64" s="82" t="inlineStr">
        <is>
          <t>D10 seat 21:05–09:24</t>
        </is>
      </c>
      <c r="D64" s="104" t="n">
        <v>0.5131944444444444</v>
      </c>
      <c r="E64" s="106" t="inlineStr">
        <is>
          <t>Overnight</t>
        </is>
      </c>
      <c r="F64" s="107" t="n"/>
      <c r="G64" s="107" t="n"/>
      <c r="H64" s="107" t="n"/>
      <c r="I64" s="107" t="n"/>
      <c r="J64" s="107" t="n"/>
      <c r="K64" s="107" t="n"/>
      <c r="L64" s="107" t="n"/>
    </row>
    <row r="65" ht="15" customHeight="1" s="56">
      <c r="A65" s="105" t="inlineStr">
        <is>
          <t>7 Dec</t>
        </is>
      </c>
      <c r="B65" s="105" t="inlineStr">
        <is>
          <t>Beijing South → PEK</t>
        </is>
      </c>
      <c r="C65" s="82" t="inlineStr">
        <is>
          <t>Metro line 4 + 10 + Airport Express / taxi</t>
        </is>
      </c>
      <c r="D65" s="104" t="n">
        <v>0.05208333333333334</v>
      </c>
      <c r="E65" s="106" t="inlineStr">
        <is>
          <t>Be at PEK by ~11:00</t>
        </is>
      </c>
      <c r="F65" s="107" t="n"/>
      <c r="G65" s="107" t="n"/>
      <c r="H65" s="107" t="n"/>
      <c r="I65" s="107" t="n"/>
      <c r="J65" s="107" t="n"/>
      <c r="K65" s="107" t="n"/>
      <c r="L65" s="107" t="n"/>
    </row>
    <row r="66" ht="15" customHeight="1" s="56">
      <c r="A66" s="105" t="inlineStr">
        <is>
          <t>7 Dec</t>
        </is>
      </c>
      <c r="B66" s="105" t="inlineStr">
        <is>
          <t>PEK check-in &amp; security</t>
        </is>
      </c>
      <c r="C66" s="82" t="inlineStr">
        <is>
          <t>—</t>
        </is>
      </c>
      <c r="D66" s="104" t="n">
        <v>0.0625</v>
      </c>
      <c r="E66" s="106" t="inlineStr">
        <is>
          <t>Estimate</t>
        </is>
      </c>
      <c r="F66" s="107" t="n"/>
      <c r="G66" s="107" t="n"/>
      <c r="H66" s="107" t="n"/>
      <c r="I66" s="107" t="n"/>
      <c r="J66" s="107" t="n"/>
      <c r="K66" s="107" t="n"/>
      <c r="L66" s="107" t="n"/>
    </row>
    <row r="67" ht="15" customHeight="1" s="56">
      <c r="A67" s="105" t="inlineStr">
        <is>
          <t>7 Dec</t>
        </is>
      </c>
      <c r="B67" s="105" t="inlineStr">
        <is>
          <t>Beijing (PEK) → Ulaanbaatar</t>
        </is>
      </c>
      <c r="C67" s="82" t="inlineStr">
        <is>
          <t>Air China CA955 12:55–15:05</t>
        </is>
      </c>
      <c r="D67" s="104" t="n">
        <v>0.09027777777777778</v>
      </c>
      <c r="E67" s="106" t="n"/>
      <c r="F67" s="107" t="n"/>
      <c r="G67" s="107" t="n"/>
      <c r="H67" s="107" t="n"/>
      <c r="I67" s="107" t="n"/>
      <c r="J67" s="107" t="n"/>
      <c r="K67" s="107" t="n"/>
      <c r="L67" s="107" t="n"/>
    </row>
    <row r="68" ht="15" customHeight="1" s="56">
      <c r="A68" s="105" t="inlineStr">
        <is>
          <t>7 Dec</t>
        </is>
      </c>
      <c r="B68" s="105" t="inlineStr">
        <is>
          <t>Chinggis Khaan airport → home</t>
        </is>
      </c>
      <c r="C68" s="82" t="inlineStr">
        <is>
          <t>Taxi</t>
        </is>
      </c>
      <c r="D68" s="104" t="n">
        <v>0.04166666666666666</v>
      </c>
      <c r="E68" s="106" t="n"/>
      <c r="F68" s="107" t="n"/>
      <c r="G68" s="107" t="n"/>
      <c r="H68" s="107" t="n"/>
      <c r="I68" s="107" t="n"/>
      <c r="J68" s="107" t="n"/>
      <c r="K68" s="107" t="n"/>
      <c r="L68" s="107" t="n"/>
    </row>
    <row r="69" ht="15" customHeight="1" s="56">
      <c r="A69" s="105" t="n"/>
      <c r="B69" s="105" t="n"/>
      <c r="C69" s="82" t="n"/>
      <c r="D69" s="104" t="n"/>
      <c r="E69" s="106" t="n"/>
      <c r="F69" s="107" t="n"/>
      <c r="G69" s="107" t="n"/>
      <c r="H69" s="107" t="n"/>
      <c r="I69" s="107" t="n"/>
      <c r="J69" s="107" t="n"/>
      <c r="K69" s="107" t="n"/>
      <c r="L69" s="107" t="n"/>
    </row>
    <row r="71" ht="15" customHeight="1" s="56">
      <c r="C71" s="59" t="inlineStr">
        <is>
          <t>Total door-to-door</t>
        </is>
      </c>
      <c r="D71" s="109">
        <f>SUM(D58:D68)</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Hi Inn (Hutai Road).</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~25 min walk (Hi Inn 1.8 km) or a ¥15 taxi</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28.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2026-10-27T03:50:38Z</dcterms:modified>
  <cp:revision>0</cp:revision>
</cp:coreProperties>
</file>