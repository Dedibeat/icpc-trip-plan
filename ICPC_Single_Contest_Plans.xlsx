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mpare" sheetId="1" state="visible" r:id="rId1"/>
    <sheet name="Sleep check" sheetId="2" state="visible" r:id="rId2"/>
    <sheet name="Shenyang – Budget" sheetId="3" state="visible" r:id="rId3"/>
    <sheet name="Shenyang – Comfort" sheetId="4" state="visible" r:id="rId4"/>
    <sheet name="Shenyang – Budget (G-train)" sheetId="5" state="visible" r:id="rId5"/>
    <sheet name="Shenyang – Comfort (G-train)" sheetId="6" state="visible" r:id="rId6"/>
    <sheet name="Shenyang – Sleep first" sheetId="7" state="visible" r:id="rId7"/>
    <sheet name="Shenyang – Sleep value" sheetId="8" state="visible" r:id="rId8"/>
    <sheet name="Shenyang – Overland home" sheetId="9" state="visible" r:id="rId9"/>
    <sheet name="Shanghai – Sleeper" sheetId="10" state="visible" r:id="rId10"/>
    <sheet name="Shanghai – Spring nonstop" sheetId="11" state="visible" r:id="rId11"/>
    <sheet name="Shanghai – Nonstop cheap rooms" sheetId="12" state="visible" r:id="rId12"/>
    <sheet name="Shanghai – Fly out, train home" sheetId="13" state="visible" r:id="rId13"/>
    <sheet name="Shanghai – Train (no sleeper)" sheetId="14" state="visible" r:id="rId14"/>
    <sheet name="Nanchang – Sleeper" sheetId="15" state="visible" r:id="rId15"/>
    <sheet name="Nanchang – Comfort" sheetId="16" state="visible" r:id="rId16"/>
    <sheet name="Nanchang – Fly in (Air China)" sheetId="17" state="visible" r:id="rId17"/>
    <sheet name="Hong Kong – Budget" sheetId="18" state="visible" r:id="rId18"/>
    <sheet name="Hong Kong – Comfort" sheetId="19" state="visible" r:id="rId19"/>
    <sheet name="Hong Kong – Value" sheetId="20" state="visible" r:id="rId20"/>
    <sheet name="Hong Kong – Sleep first" sheetId="21" state="visible" r:id="rId21"/>
    <sheet name="Hong Kong – Funded 12M" sheetId="22" state="visible" r:id="rId22"/>
    <sheet name="Hong Kong – Sleep priority" sheetId="23" state="visible" r:id="rId23"/>
    <sheet name="EC Final Hangzhou – Train" sheetId="24" state="visible" r:id="rId24"/>
    <sheet name="EC Final Hangzhou – Fly" sheetId="25" state="visible" r:id="rId25"/>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 width="24" customWidth="1" style="56" min="13" max="13"/>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22 Oct 2026. Blue = inputs; yellow = key assumptions; green = links.</t>
        </is>
      </c>
    </row>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incl. 10% contingency?</t>
        </is>
      </c>
      <c r="M14" s="66" t="inlineStr">
        <is>
          <t>Left of ₮12M before contingency (4 ppl)</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c r="M15" s="68">
        <f>Compare!$B$5-E15/(1+Compare!$B$11)</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c r="M16" s="68">
        <f>Compare!$B$5-E16/(1+Compare!$B$11)</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c r="M17" s="68">
        <f>Compare!$B$5-E17/(1+Compare!$B$11)</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c r="M18" s="68">
        <f>Compare!$B$5-E18/(1+Compare!$B$11)</f>
        <v/>
      </c>
    </row>
    <row r="19" ht="15" customHeight="1" s="56">
      <c r="A19" s="67" t="inlineStr">
        <is>
          <t>Shenyang – Sleep first</t>
        </is>
      </c>
      <c r="B19" s="68">
        <f>'Shenyang – Sleep first'!H34</f>
        <v/>
      </c>
      <c r="C19" s="68">
        <f>'Shenyang – Sleep first'!H35</f>
        <v/>
      </c>
      <c r="D19" s="69">
        <f>'Shenyang – Sleep first'!H37</f>
        <v/>
      </c>
      <c r="E19" s="68">
        <f>'Shenyang – Sleep first'!K34</f>
        <v/>
      </c>
      <c r="F19" s="68">
        <f>'Shenyang – Sleep first'!K35</f>
        <v/>
      </c>
      <c r="G19" s="69">
        <f>'Shenyang – Sleep first'!K37</f>
        <v/>
      </c>
      <c r="H19" s="70">
        <f>'Shenyang – Sleep first'!H38</f>
        <v/>
      </c>
      <c r="I19" s="70">
        <f>'Shenyang – Sleep first'!K38</f>
        <v/>
      </c>
      <c r="J19" s="71">
        <f>'Shenyang – Sleep first'!H39</f>
        <v/>
      </c>
      <c r="K19" s="71">
        <f>'Shenyang – Sleep first'!D70</f>
        <v/>
      </c>
      <c r="L19" s="123">
        <f>IF(F19&gt;=0,"yes","over by "&amp;TEXT(-F19,"#,##0")&amp;" ₮")</f>
        <v/>
      </c>
      <c r="M19" s="68">
        <f>Compare!$B$5-E19/(1+Compare!$B$11)</f>
        <v/>
      </c>
    </row>
    <row r="20" ht="15" customHeight="1" s="56">
      <c r="A20" s="67" t="inlineStr">
        <is>
          <t>Shenyang – Sleep value</t>
        </is>
      </c>
      <c r="B20" s="68">
        <f>'Shenyang – Sleep value'!H34</f>
        <v/>
      </c>
      <c r="C20" s="68">
        <f>'Shenyang – Sleep value'!H35</f>
        <v/>
      </c>
      <c r="D20" s="69">
        <f>'Shenyang – Sleep value'!H37</f>
        <v/>
      </c>
      <c r="E20" s="68">
        <f>'Shenyang – Sleep value'!K34</f>
        <v/>
      </c>
      <c r="F20" s="68">
        <f>'Shenyang – Sleep value'!K35</f>
        <v/>
      </c>
      <c r="G20" s="69">
        <f>'Shenyang – Sleep value'!K37</f>
        <v/>
      </c>
      <c r="H20" s="70">
        <f>'Shenyang – Sleep value'!H38</f>
        <v/>
      </c>
      <c r="I20" s="70">
        <f>'Shenyang – Sleep value'!K38</f>
        <v/>
      </c>
      <c r="J20" s="71">
        <f>'Shenyang – Sleep value'!H39</f>
        <v/>
      </c>
      <c r="K20" s="71">
        <f>'Shenyang – Sleep value'!D70</f>
        <v/>
      </c>
      <c r="L20" s="123">
        <f>IF(F20&gt;=0,"yes","over by "&amp;TEXT(-F20,"#,##0")&amp;" ₮")</f>
        <v/>
      </c>
      <c r="M20" s="68">
        <f>Compare!$B$5-E20/(1+Compare!$B$11)</f>
        <v/>
      </c>
    </row>
    <row r="21" ht="15" customHeight="1" s="56">
      <c r="A21" s="67" t="inlineStr">
        <is>
          <t>Shenyang – Overland home</t>
        </is>
      </c>
      <c r="B21" s="68">
        <f>'Shenyang – Overland home'!H36</f>
        <v/>
      </c>
      <c r="C21" s="68">
        <f>'Shenyang – Overland home'!H37</f>
        <v/>
      </c>
      <c r="D21" s="69">
        <f>'Shenyang – Overland home'!H39</f>
        <v/>
      </c>
      <c r="E21" s="68">
        <f>'Shenyang – Overland home'!K36</f>
        <v/>
      </c>
      <c r="F21" s="68">
        <f>'Shenyang – Overland home'!K37</f>
        <v/>
      </c>
      <c r="G21" s="69">
        <f>'Shenyang – Overland home'!K39</f>
        <v/>
      </c>
      <c r="H21" s="70">
        <f>'Shenyang – Overland home'!H40</f>
        <v/>
      </c>
      <c r="I21" s="70">
        <f>'Shenyang – Overland home'!K40</f>
        <v/>
      </c>
      <c r="J21" s="71">
        <f>'Shenyang – Overland home'!H41</f>
        <v/>
      </c>
      <c r="K21" s="71">
        <f>'Shenyang – Overland home'!D75</f>
        <v/>
      </c>
      <c r="L21" s="123">
        <f>IF(F21&gt;=0,"yes","over by "&amp;TEXT(-F21,"#,##0")&amp;" ₮")</f>
        <v/>
      </c>
      <c r="M21" s="68">
        <f>Compare!$B$5-E21/(1+Compare!$B$11)</f>
        <v/>
      </c>
    </row>
    <row r="22" ht="15" customHeight="1" s="56">
      <c r="A22" s="67" t="inlineStr">
        <is>
          <t>Shanghai – Sleeper</t>
        </is>
      </c>
      <c r="B22" s="68">
        <f>'Shanghai – Sleeper'!H35</f>
        <v/>
      </c>
      <c r="C22" s="68">
        <f>'Shanghai – Sleeper'!H36</f>
        <v/>
      </c>
      <c r="D22" s="69">
        <f>'Shanghai – Sleeper'!H38</f>
        <v/>
      </c>
      <c r="E22" s="68">
        <f>'Shanghai – Sleeper'!K35</f>
        <v/>
      </c>
      <c r="F22" s="68">
        <f>'Shanghai – Sleeper'!K36</f>
        <v/>
      </c>
      <c r="G22" s="69">
        <f>'Shanghai – Sleeper'!K38</f>
        <v/>
      </c>
      <c r="H22" s="70">
        <f>'Shanghai – Sleeper'!H39</f>
        <v/>
      </c>
      <c r="I22" s="70">
        <f>'Shanghai – Sleeper'!K39</f>
        <v/>
      </c>
      <c r="J22" s="71">
        <f>'Shanghai – Sleeper'!H40</f>
        <v/>
      </c>
      <c r="K22" s="71">
        <f>'Shanghai – Sleeper'!D71</f>
        <v/>
      </c>
      <c r="L22" s="123">
        <f>IF(F22&gt;=0,"yes","over by "&amp;TEXT(-F22,"#,##0")&amp;" ₮")</f>
        <v/>
      </c>
      <c r="M22" s="68">
        <f>Compare!$B$5-E22/(1+Compare!$B$11)</f>
        <v/>
      </c>
    </row>
    <row r="23" ht="15" customHeight="1" s="56">
      <c r="A23" s="67" t="inlineStr">
        <is>
          <t>Shanghai – Spring nonstop</t>
        </is>
      </c>
      <c r="B23" s="68">
        <f>'Shanghai – Spring nonstop'!H31</f>
        <v/>
      </c>
      <c r="C23" s="68">
        <f>'Shanghai – Spring nonstop'!H32</f>
        <v/>
      </c>
      <c r="D23" s="69">
        <f>'Shanghai – Spring nonstop'!H34</f>
        <v/>
      </c>
      <c r="E23" s="68">
        <f>'Shanghai – Spring nonstop'!K31</f>
        <v/>
      </c>
      <c r="F23" s="68">
        <f>'Shanghai – Spring nonstop'!K32</f>
        <v/>
      </c>
      <c r="G23" s="69">
        <f>'Shanghai – Spring nonstop'!K34</f>
        <v/>
      </c>
      <c r="H23" s="70">
        <f>'Shanghai – Spring nonstop'!H35</f>
        <v/>
      </c>
      <c r="I23" s="70">
        <f>'Shanghai – Spring nonstop'!K35</f>
        <v/>
      </c>
      <c r="J23" s="71">
        <f>'Shanghai – Spring nonstop'!H36</f>
        <v/>
      </c>
      <c r="K23" s="71">
        <f>'Shanghai – Spring nonstop'!D65</f>
        <v/>
      </c>
      <c r="L23" s="123">
        <f>IF(F23&gt;=0,"yes","over by "&amp;TEXT(-F23,"#,##0")&amp;" ₮")</f>
        <v/>
      </c>
      <c r="M23" s="68">
        <f>Compare!$B$5-E23/(1+Compare!$B$11)</f>
        <v/>
      </c>
    </row>
    <row r="24" ht="15" customHeight="1" s="56">
      <c r="A24" s="67" t="inlineStr">
        <is>
          <t>Shanghai – Nonstop cheap rooms</t>
        </is>
      </c>
      <c r="B24" s="68">
        <f>'Shanghai – Nonstop cheap rooms'!H31</f>
        <v/>
      </c>
      <c r="C24" s="68">
        <f>'Shanghai – Nonstop cheap rooms'!H32</f>
        <v/>
      </c>
      <c r="D24" s="69">
        <f>'Shanghai – Nonstop cheap rooms'!H34</f>
        <v/>
      </c>
      <c r="E24" s="68">
        <f>'Shanghai – Nonstop cheap rooms'!K31</f>
        <v/>
      </c>
      <c r="F24" s="68">
        <f>'Shanghai – Nonstop cheap rooms'!K32</f>
        <v/>
      </c>
      <c r="G24" s="69">
        <f>'Shanghai – Nonstop cheap rooms'!K34</f>
        <v/>
      </c>
      <c r="H24" s="70">
        <f>'Shanghai – Nonstop cheap rooms'!H35</f>
        <v/>
      </c>
      <c r="I24" s="70">
        <f>'Shanghai – Nonstop cheap rooms'!K35</f>
        <v/>
      </c>
      <c r="J24" s="71">
        <f>'Shanghai – Nonstop cheap rooms'!H36</f>
        <v/>
      </c>
      <c r="K24" s="71">
        <f>'Shanghai – Nonstop cheap rooms'!D65</f>
        <v/>
      </c>
      <c r="L24" s="123">
        <f>IF(F24&gt;=0,"yes","over by "&amp;TEXT(-F24,"#,##0")&amp;" ₮")</f>
        <v/>
      </c>
      <c r="M24" s="68">
        <f>Compare!$B$5-E24/(1+Compare!$B$11)</f>
        <v/>
      </c>
    </row>
    <row r="25" ht="15" customHeight="1" s="56">
      <c r="A25" s="67" t="inlineStr">
        <is>
          <t>Shanghai – Fly out, train home</t>
        </is>
      </c>
      <c r="B25" s="68">
        <f>'Shanghai – Fly out, train home'!H35</f>
        <v/>
      </c>
      <c r="C25" s="68">
        <f>'Shanghai – Fly out, train home'!H36</f>
        <v/>
      </c>
      <c r="D25" s="69">
        <f>'Shanghai – Fly out, train home'!H38</f>
        <v/>
      </c>
      <c r="E25" s="68">
        <f>'Shanghai – Fly out, train home'!K35</f>
        <v/>
      </c>
      <c r="F25" s="68">
        <f>'Shanghai – Fly out, train home'!K36</f>
        <v/>
      </c>
      <c r="G25" s="69">
        <f>'Shanghai – Fly out, train home'!K38</f>
        <v/>
      </c>
      <c r="H25" s="70">
        <f>'Shanghai – Fly out, train home'!H39</f>
        <v/>
      </c>
      <c r="I25" s="70">
        <f>'Shanghai – Fly out, train home'!K39</f>
        <v/>
      </c>
      <c r="J25" s="71">
        <f>'Shanghai – Fly out, train home'!H40</f>
        <v/>
      </c>
      <c r="K25" s="71">
        <f>'Shanghai – Fly out, train home'!D71</f>
        <v/>
      </c>
      <c r="L25" s="123">
        <f>IF(F25&gt;=0,"yes","over by "&amp;TEXT(-F25,"#,##0")&amp;" ₮")</f>
        <v/>
      </c>
      <c r="M25" s="68">
        <f>Compare!$B$5-E25/(1+Compare!$B$11)</f>
        <v/>
      </c>
    </row>
    <row r="26" s="56">
      <c r="A26" s="67" t="inlineStr">
        <is>
          <t>Shanghai – Train (no sleeper)</t>
        </is>
      </c>
      <c r="B26" s="68">
        <f>'Shanghai – Train (no sleeper)'!H37</f>
        <v/>
      </c>
      <c r="C26" s="68">
        <f>'Shanghai – Train (no sleeper)'!H38</f>
        <v/>
      </c>
      <c r="D26" s="69">
        <f>'Shanghai – Train (no sleeper)'!H40</f>
        <v/>
      </c>
      <c r="E26" s="68">
        <f>'Shanghai – Train (no sleeper)'!K37</f>
        <v/>
      </c>
      <c r="F26" s="68">
        <f>'Shanghai – Train (no sleeper)'!K38</f>
        <v/>
      </c>
      <c r="G26" s="69">
        <f>'Shanghai – Train (no sleeper)'!K40</f>
        <v/>
      </c>
      <c r="H26" s="70">
        <f>'Shanghai – Train (no sleeper)'!H41</f>
        <v/>
      </c>
      <c r="I26" s="70">
        <f>'Shanghai – Train (no sleeper)'!K41</f>
        <v/>
      </c>
      <c r="J26" s="71">
        <f>'Shanghai – Train (no sleeper)'!H42</f>
        <v/>
      </c>
      <c r="K26" s="71">
        <f>'Shanghai – Train (no sleeper)'!D74</f>
        <v/>
      </c>
      <c r="L26" s="123">
        <f>IF(F26&gt;=0,"yes","over by "&amp;TEXT(-F26,"#,##0")&amp;" ₮")</f>
        <v/>
      </c>
      <c r="M26" s="68">
        <f>Compare!$B$5-E26/(1+Compare!$B$11)</f>
        <v/>
      </c>
    </row>
    <row r="27" ht="15" customHeight="1" s="56">
      <c r="A27" s="67" t="inlineStr">
        <is>
          <t>Nanchang – Sleeper</t>
        </is>
      </c>
      <c r="B27" s="68">
        <f>'Nanchang – Sleeper'!H34</f>
        <v/>
      </c>
      <c r="C27" s="68">
        <f>'Nanchang – Sleeper'!H35</f>
        <v/>
      </c>
      <c r="D27" s="69">
        <f>'Nanchang – Sleeper'!H37</f>
        <v/>
      </c>
      <c r="E27" s="68">
        <f>'Nanchang – Sleeper'!K34</f>
        <v/>
      </c>
      <c r="F27" s="68">
        <f>'Nanchang – Sleeper'!K35</f>
        <v/>
      </c>
      <c r="G27" s="69">
        <f>'Nanchang – Sleeper'!K37</f>
        <v/>
      </c>
      <c r="H27" s="70">
        <f>'Nanchang – Sleeper'!H38</f>
        <v/>
      </c>
      <c r="I27" s="70">
        <f>'Nanchang – Sleeper'!K38</f>
        <v/>
      </c>
      <c r="J27" s="71">
        <f>'Nanchang – Sleeper'!H39</f>
        <v/>
      </c>
      <c r="K27" s="71">
        <f>'Nanchang – Sleeper'!D70</f>
        <v/>
      </c>
      <c r="L27" s="123">
        <f>IF(F27&gt;=0,"yes","over by "&amp;TEXT(-F27,"#,##0")&amp;" ₮")</f>
        <v/>
      </c>
      <c r="M27" s="68">
        <f>Compare!$B$5-E27/(1+Compare!$B$11)</f>
        <v/>
      </c>
    </row>
    <row r="28" ht="30" customHeight="1" s="56">
      <c r="A28" s="67" t="inlineStr">
        <is>
          <t>Nanchang – Comfort</t>
        </is>
      </c>
      <c r="B28" s="68">
        <f>'Nanchang – Comfort'!H36</f>
        <v/>
      </c>
      <c r="C28" s="68">
        <f>'Nanchang – Comfort'!H37</f>
        <v/>
      </c>
      <c r="D28" s="69">
        <f>'Nanchang – Comfort'!H39</f>
        <v/>
      </c>
      <c r="E28" s="68">
        <f>'Nanchang – Comfort'!K36</f>
        <v/>
      </c>
      <c r="F28" s="68">
        <f>'Nanchang – Comfort'!K37</f>
        <v/>
      </c>
      <c r="G28" s="69">
        <f>'Nanchang – Comfort'!K39</f>
        <v/>
      </c>
      <c r="H28" s="70">
        <f>'Nanchang – Comfort'!H40</f>
        <v/>
      </c>
      <c r="I28" s="70">
        <f>'Nanchang – Comfort'!K40</f>
        <v/>
      </c>
      <c r="J28" s="71">
        <f>'Nanchang – Comfort'!H41</f>
        <v/>
      </c>
      <c r="K28" s="71">
        <f>'Nanchang – Comfort'!D72</f>
        <v/>
      </c>
      <c r="L28" s="123">
        <f>IF(F28&gt;=0,"yes","over by "&amp;TEXT(-F28,"#,##0")&amp;" ₮")</f>
        <v/>
      </c>
      <c r="M28" s="68">
        <f>Compare!$B$5-E28/(1+Compare!$B$11)</f>
        <v/>
      </c>
    </row>
    <row r="29" ht="30" customHeight="1" s="56">
      <c r="A29" s="67" t="inlineStr">
        <is>
          <t>Nanchang – Fly in (Air China)</t>
        </is>
      </c>
      <c r="B29" s="68">
        <f>'Nanchang – Fly in (Air China)'!H34</f>
        <v/>
      </c>
      <c r="C29" s="68">
        <f>'Nanchang – Fly in (Air China)'!H35</f>
        <v/>
      </c>
      <c r="D29" s="69">
        <f>'Nanchang – Fly in (Air China)'!H37</f>
        <v/>
      </c>
      <c r="E29" s="68">
        <f>'Nanchang – Fly in (Air China)'!K34</f>
        <v/>
      </c>
      <c r="F29" s="68">
        <f>'Nanchang – Fly in (Air China)'!K35</f>
        <v/>
      </c>
      <c r="G29" s="69">
        <f>'Nanchang – Fly in (Air China)'!K37</f>
        <v/>
      </c>
      <c r="H29" s="70">
        <f>'Nanchang – Fly in (Air China)'!H38</f>
        <v/>
      </c>
      <c r="I29" s="70">
        <f>'Nanchang – Fly in (Air China)'!K38</f>
        <v/>
      </c>
      <c r="J29" s="71">
        <f>'Nanchang – Fly in (Air China)'!H39</f>
        <v/>
      </c>
      <c r="K29" s="71">
        <f>'Nanchang – Fly in (Air China)'!D68</f>
        <v/>
      </c>
      <c r="L29" s="123">
        <f>IF(F29&gt;=0,"yes","over by "&amp;TEXT(-F29,"#,##0")&amp;" ₮")</f>
        <v/>
      </c>
      <c r="M29" s="68">
        <f>Compare!$B$5-E29/(1+Compare!$B$11)</f>
        <v/>
      </c>
    </row>
    <row r="30" ht="30" customHeight="1" s="56">
      <c r="A30" s="67" t="inlineStr">
        <is>
          <t>Hong Kong – Budget</t>
        </is>
      </c>
      <c r="B30" s="68">
        <f>'Hong Kong – Budget'!H30</f>
        <v/>
      </c>
      <c r="C30" s="68">
        <f>'Hong Kong – Budget'!H31</f>
        <v/>
      </c>
      <c r="D30" s="69">
        <f>'Hong Kong – Budget'!H33</f>
        <v/>
      </c>
      <c r="E30" s="68">
        <f>'Hong Kong – Budget'!K30</f>
        <v/>
      </c>
      <c r="F30" s="68">
        <f>'Hong Kong – Budget'!K31</f>
        <v/>
      </c>
      <c r="G30" s="69">
        <f>'Hong Kong – Budget'!K33</f>
        <v/>
      </c>
      <c r="H30" s="70">
        <f>'Hong Kong – Budget'!H34</f>
        <v/>
      </c>
      <c r="I30" s="70">
        <f>'Hong Kong – Budget'!K34</f>
        <v/>
      </c>
      <c r="J30" s="71">
        <f>'Hong Kong – Budget'!H35</f>
        <v/>
      </c>
      <c r="K30" s="71">
        <f>'Hong Kong – Budget'!D60</f>
        <v/>
      </c>
      <c r="L30" s="123">
        <f>IF(F30&gt;=0,"yes","over by "&amp;TEXT(-F30,"#,##0")&amp;" ₮")</f>
        <v/>
      </c>
      <c r="M30" s="68">
        <f>Compare!$B$5-E30/(1+Compare!$B$11)</f>
        <v/>
      </c>
    </row>
    <row r="31" s="56">
      <c r="A31" s="67" t="inlineStr">
        <is>
          <t>Hong Kong – Comfort</t>
        </is>
      </c>
      <c r="B31" s="68">
        <f>'Hong Kong – Comfort'!H30</f>
        <v/>
      </c>
      <c r="C31" s="68">
        <f>'Hong Kong – Comfort'!H31</f>
        <v/>
      </c>
      <c r="D31" s="69">
        <f>'Hong Kong – Comfort'!H33</f>
        <v/>
      </c>
      <c r="E31" s="68">
        <f>'Hong Kong – Comfort'!K30</f>
        <v/>
      </c>
      <c r="F31" s="68">
        <f>'Hong Kong – Comfort'!K31</f>
        <v/>
      </c>
      <c r="G31" s="69">
        <f>'Hong Kong – Comfort'!K33</f>
        <v/>
      </c>
      <c r="H31" s="70">
        <f>'Hong Kong – Comfort'!H34</f>
        <v/>
      </c>
      <c r="I31" s="70">
        <f>'Hong Kong – Comfort'!K34</f>
        <v/>
      </c>
      <c r="J31" s="71">
        <f>'Hong Kong – Comfort'!H35</f>
        <v/>
      </c>
      <c r="K31" s="71">
        <f>'Hong Kong – Comfort'!D60</f>
        <v/>
      </c>
      <c r="L31" s="123">
        <f>IF(F31&gt;=0,"yes","over by "&amp;TEXT(-F31,"#,##0")&amp;" ₮")</f>
        <v/>
      </c>
      <c r="M31" s="68">
        <f>Compare!$B$5-E31/(1+Compare!$B$11)</f>
        <v/>
      </c>
    </row>
    <row r="32" ht="30" customHeight="1" s="56">
      <c r="A32" s="67" t="inlineStr">
        <is>
          <t>Hong Kong – Value</t>
        </is>
      </c>
      <c r="B32" s="68">
        <f>'Hong Kong – Value'!H30</f>
        <v/>
      </c>
      <c r="C32" s="68">
        <f>'Hong Kong – Value'!H31</f>
        <v/>
      </c>
      <c r="D32" s="69">
        <f>'Hong Kong – Value'!H33</f>
        <v/>
      </c>
      <c r="E32" s="68">
        <f>'Hong Kong – Value'!K30</f>
        <v/>
      </c>
      <c r="F32" s="68">
        <f>'Hong Kong – Value'!K31</f>
        <v/>
      </c>
      <c r="G32" s="69">
        <f>'Hong Kong – Value'!K33</f>
        <v/>
      </c>
      <c r="H32" s="70">
        <f>'Hong Kong – Value'!H34</f>
        <v/>
      </c>
      <c r="I32" s="70">
        <f>'Hong Kong – Value'!K34</f>
        <v/>
      </c>
      <c r="J32" s="71">
        <f>'Hong Kong – Value'!H35</f>
        <v/>
      </c>
      <c r="K32" s="71">
        <f>'Hong Kong – Value'!D60</f>
        <v/>
      </c>
      <c r="L32" s="123">
        <f>IF(F32&gt;=0,"yes","over by "&amp;TEXT(-F32,"#,##0")&amp;" ₮")</f>
        <v/>
      </c>
      <c r="M32" s="68">
        <f>Compare!$B$5-E32/(1+Compare!$B$11)</f>
        <v/>
      </c>
    </row>
    <row r="33" s="56">
      <c r="A33" s="67" t="inlineStr">
        <is>
          <t>Hong Kong – Sleep first</t>
        </is>
      </c>
      <c r="B33" s="68">
        <f>'Hong Kong – Sleep first'!H30</f>
        <v/>
      </c>
      <c r="C33" s="68">
        <f>'Hong Kong – Sleep first'!H31</f>
        <v/>
      </c>
      <c r="D33" s="69">
        <f>'Hong Kong – Sleep first'!H33</f>
        <v/>
      </c>
      <c r="E33" s="68">
        <f>'Hong Kong – Sleep first'!K30</f>
        <v/>
      </c>
      <c r="F33" s="68">
        <f>'Hong Kong – Sleep first'!K31</f>
        <v/>
      </c>
      <c r="G33" s="69">
        <f>'Hong Kong – Sleep first'!K33</f>
        <v/>
      </c>
      <c r="H33" s="70">
        <f>'Hong Kong – Sleep first'!H34</f>
        <v/>
      </c>
      <c r="I33" s="70">
        <f>'Hong Kong – Sleep first'!K34</f>
        <v/>
      </c>
      <c r="J33" s="71">
        <f>'Hong Kong – Sleep first'!H35</f>
        <v/>
      </c>
      <c r="K33" s="71">
        <f>'Hong Kong – Sleep first'!D60</f>
        <v/>
      </c>
      <c r="L33" s="123">
        <f>IF(F33&gt;=0,"yes","over by "&amp;TEXT(-F33,"#,##0")&amp;" ₮")</f>
        <v/>
      </c>
      <c r="M33" s="68">
        <f>Compare!$B$5-E33/(1+Compare!$B$11)</f>
        <v/>
      </c>
    </row>
    <row r="34" s="56">
      <c r="A34" s="67" t="inlineStr">
        <is>
          <t>Hong Kong – Funded 12M</t>
        </is>
      </c>
      <c r="B34" s="68">
        <f>'Hong Kong – Funded 12M'!H30</f>
        <v/>
      </c>
      <c r="C34" s="68">
        <f>'Hong Kong – Funded 12M'!H31</f>
        <v/>
      </c>
      <c r="D34" s="69">
        <f>'Hong Kong – Funded 12M'!H33</f>
        <v/>
      </c>
      <c r="E34" s="68">
        <f>'Hong Kong – Funded 12M'!K30</f>
        <v/>
      </c>
      <c r="F34" s="68">
        <f>'Hong Kong – Funded 12M'!K31</f>
        <v/>
      </c>
      <c r="G34" s="69">
        <f>'Hong Kong – Funded 12M'!K33</f>
        <v/>
      </c>
      <c r="H34" s="70">
        <f>'Hong Kong – Funded 12M'!H34</f>
        <v/>
      </c>
      <c r="I34" s="70">
        <f>'Hong Kong – Funded 12M'!K34</f>
        <v/>
      </c>
      <c r="J34" s="71">
        <f>'Hong Kong – Funded 12M'!H35</f>
        <v/>
      </c>
      <c r="K34" s="71">
        <f>'Hong Kong – Funded 12M'!D60</f>
        <v/>
      </c>
      <c r="L34" s="123">
        <f>IF(F34&gt;=0,"yes","over by "&amp;TEXT(-F34,"#,##0")&amp;" ₮")</f>
        <v/>
      </c>
      <c r="M34" s="68">
        <f>Compare!$B$5-E34/(1+Compare!$B$11)</f>
        <v/>
      </c>
    </row>
    <row r="35" s="56">
      <c r="A35" s="67" t="inlineStr">
        <is>
          <t>Hong Kong – Sleep priority</t>
        </is>
      </c>
      <c r="B35" s="68">
        <f>'Hong Kong – Sleep priority'!H30</f>
        <v/>
      </c>
      <c r="C35" s="68">
        <f>'Hong Kong – Sleep priority'!H31</f>
        <v/>
      </c>
      <c r="D35" s="69">
        <f>'Hong Kong – Sleep priority'!H33</f>
        <v/>
      </c>
      <c r="E35" s="68">
        <f>'Hong Kong – Sleep priority'!K30</f>
        <v/>
      </c>
      <c r="F35" s="68">
        <f>'Hong Kong – Sleep priority'!K31</f>
        <v/>
      </c>
      <c r="G35" s="69">
        <f>'Hong Kong – Sleep priority'!K33</f>
        <v/>
      </c>
      <c r="H35" s="70">
        <f>'Hong Kong – Sleep priority'!H34</f>
        <v/>
      </c>
      <c r="I35" s="70">
        <f>'Hong Kong – Sleep priority'!K34</f>
        <v/>
      </c>
      <c r="J35" s="71">
        <f>'Hong Kong – Sleep priority'!H35</f>
        <v/>
      </c>
      <c r="K35" s="71">
        <f>'Hong Kong – Sleep priority'!D60</f>
        <v/>
      </c>
      <c r="L35" s="123">
        <f>IF(F35&gt;=0,"yes","over by "&amp;TEXT(-F35,"#,##0")&amp;" ₮")</f>
        <v/>
      </c>
      <c r="M35" s="68">
        <f>Compare!$B$5-E35/(1+Compare!$B$11)</f>
        <v/>
      </c>
    </row>
    <row r="36" ht="30" customHeight="1" s="56">
      <c r="A36" s="67" t="inlineStr">
        <is>
          <t>EC Final Hangzhou – Train</t>
        </is>
      </c>
      <c r="B36" s="68">
        <f>'EC Final Hangzhou – Train'!H34</f>
        <v/>
      </c>
      <c r="C36" s="68">
        <f>'EC Final Hangzhou – Train'!H35</f>
        <v/>
      </c>
      <c r="D36" s="69">
        <f>'EC Final Hangzhou – Train'!H37</f>
        <v/>
      </c>
      <c r="E36" s="68">
        <f>'EC Final Hangzhou – Train'!K34</f>
        <v/>
      </c>
      <c r="F36" s="68">
        <f>'EC Final Hangzhou – Train'!K35</f>
        <v/>
      </c>
      <c r="G36" s="69">
        <f>'EC Final Hangzhou – Train'!K37</f>
        <v/>
      </c>
      <c r="H36" s="70">
        <f>'EC Final Hangzhou – Train'!H38</f>
        <v/>
      </c>
      <c r="I36" s="70">
        <f>'EC Final Hangzhou – Train'!K38</f>
        <v/>
      </c>
      <c r="J36" s="71">
        <f>'EC Final Hangzhou – Train'!H39</f>
        <v/>
      </c>
      <c r="K36" s="71">
        <f>'EC Final Hangzhou – Train'!D70</f>
        <v/>
      </c>
      <c r="L36" s="123">
        <f>IF(F36&gt;=0,"yes","over by "&amp;TEXT(-F36,"#,##0")&amp;" ₮")</f>
        <v/>
      </c>
      <c r="M36" s="68">
        <f>Compare!$B$5-E36/(1+Compare!$B$11)</f>
        <v/>
      </c>
    </row>
    <row r="37" ht="30" customHeight="1" s="56">
      <c r="A37" s="67" t="inlineStr">
        <is>
          <t>EC Final Hangzhou – Fly</t>
        </is>
      </c>
      <c r="B37" s="68">
        <f>'EC Final Hangzhou – Fly'!H33</f>
        <v/>
      </c>
      <c r="C37" s="68">
        <f>'EC Final Hangzhou – Fly'!H34</f>
        <v/>
      </c>
      <c r="D37" s="69">
        <f>'EC Final Hangzhou – Fly'!H36</f>
        <v/>
      </c>
      <c r="E37" s="68">
        <f>'EC Final Hangzhou – Fly'!K33</f>
        <v/>
      </c>
      <c r="F37" s="68">
        <f>'EC Final Hangzhou – Fly'!K34</f>
        <v/>
      </c>
      <c r="G37" s="69">
        <f>'EC Final Hangzhou – Fly'!K36</f>
        <v/>
      </c>
      <c r="H37" s="70">
        <f>'EC Final Hangzhou – Fly'!H37</f>
        <v/>
      </c>
      <c r="I37" s="70">
        <f>'EC Final Hangzhou – Fly'!K37</f>
        <v/>
      </c>
      <c r="J37" s="71">
        <f>'EC Final Hangzhou – Fly'!H38</f>
        <v/>
      </c>
      <c r="K37" s="71">
        <f>'EC Final Hangzhou – Fly'!D70</f>
        <v/>
      </c>
      <c r="L37" s="123">
        <f>IF(F37&gt;=0,"yes","over by "&amp;TEXT(-F37,"#,##0")&amp;" ₮")</f>
        <v/>
      </c>
      <c r="M37" s="68">
        <f>Compare!$B$5-E37/(1+Compare!$B$11)</f>
        <v/>
      </c>
    </row>
    <row r="38" ht="30" customHeight="1" s="56">
      <c r="A38" s="75" t="n"/>
      <c r="B38" s="74" t="n"/>
    </row>
    <row r="39" ht="15" customHeight="1" s="56">
      <c r="A39" s="72" t="inlineStr">
        <is>
          <t>Recommended picks (not the expensive ones)</t>
        </is>
      </c>
    </row>
    <row r="40" ht="62" customHeight="1" s="56">
      <c r="A40" s="73" t="inlineStr">
        <is>
          <t>Likely pairing (your answer)</t>
        </is>
      </c>
      <c r="B40" s="74" t="inlineStr">
        <is>
          <t>Funded = Hong Kong (₮12M, coach): lead with 'Hong Kong – Sleep priority' – MIAT nonstop, 2 rooms with 4 separate twin beds and private bathrooms at Good Fortune Inn (8.6, 715 reviews, ~35–40 min MTR to HKU), airport bus: ₮11.33M before the 10% contingency (₮0.67M spare), ₮12.47M with it. Walking alternative: 'Funded 12M' (Best Western Plus, ~540 m to HKU) ₮11.70M before contingency (₮0.30M spare). Unfunded = Shenyang, sleep first and cheap after: 'Shenyang – Sleep value' ₮2.69M per person (no early start, a bed each, home 16 Nov) or 'Shenyang – Overland home' ₮2.37M per person (same before the contest, night trains home via Erenhot, home 18 Nov); Budget ₮2.14M per person is cheaper but puts a sleeper the night before day 1. The HK 2026 host may not be HKU (2025 was HKUST), which favours sleeping well and staying on the MTR over a hotel next to one campus.</t>
        </is>
      </c>
    </row>
    <row r="41" ht="62" customHeight="1" s="56">
      <c r="A41" s="73" t="inlineStr">
        <is>
          <t>Unfunded regional (3 ppl pay)</t>
        </is>
      </c>
      <c r="B41" s="74" t="inlineStr">
        <is>
          <t>Cheapest sleep-safe plans per person incl. fee, taxi, insurance, eSIM and 10% contingency: Shenyang – Budget ₮2.14M per person (soft sleeper before day 1); Shenyang – Overland home ₮2.37M per person (no early start, a bed each, overland home); Shenyang – Comfort ₮2.46M per person; Nanchang – Sleeper ₮2.50M per person; Shenyang – Sleep value ₮2.69M / Sleep first ₮2.89M per person (no early start, a bed each, fly home); Shanghai – Sleeper ₮2.78M per person (Shanghai nonstop with cheap rooms ₮2.90M); Hong Kong – Budget ₮3.43M per person; EC Final – Train ₮3.14M per person. Shenyang and Nanchang are the cheap ones to pay yourselves.</t>
        </is>
      </c>
    </row>
    <row r="42" ht="62" customHeight="1" s="56">
      <c r="A42" s="73" t="inlineStr">
        <is>
          <t>Funded regional (₮12M, coach)</t>
        </is>
      </c>
      <c r="B42" s="74" t="inlineStr">
        <is>
          <t>Fits ₮12M incl. contingency: Shenyang – Comfort ₮8.04M (fits, ₮3.96M left); Shanghai – Sleeper ₮9.23M (fits, ₮2.77M left; the nonstop with cheap rooms ₮9.48M and 'Fly out, train home' ₮9.28M also fit); Nanchang – Sleeper ₮8.19M (fits, ₮3.81M left); EC Final – Train ₮11.12M (fits, ₮0.88M left). Hong Kong only fits before the 10% contingency (the flights are ₮8.4M of it): Budget ₮11.02M, Value ₮11.26M, Sleep priority ₮11.33M, Funded 12M ₮11.70M, Comfort ₮11.96M; Sleep first ₮13.14M and EC Final – Fly do not fit at all. Use the funded trip for the dearest contest you must attend and pay the cheap one yourselves.</t>
        </is>
      </c>
    </row>
    <row r="43" ht="62" customHeight="1" s="56">
      <c r="A43" s="73" t="inlineStr">
        <is>
          <t>Regional – Shenyang (14–15 Nov)</t>
        </is>
      </c>
      <c r="B43" s="74" t="inlineStr">
        <is>
          <t>Sleep first, cheapest after (22 Oct prices): Air China 11:50 out (¥1,291 on Ctrip; no 04:00 wake-up) + G153, two twin rooms for 3 nights, K28 hard seat + Air China 12:55 home. Sleep first (NEU International, 580 m, 9.7) ₮7.47M / ₮9.47M; Sleep value (Ji Hotel twins, ~15 min walk, 9.0) ₮6.88M / ₮8.87M; Overland home (Sleep value out, K1568 + 4652 night trains, jeep at Erenhot, UBTZ 275, home 18 Nov) ₮5.97M / ₮7.67M (3 / 4 ppl). Older: Comfort (MIAT 07:30, RiCH family room, K54) ₮6.18M / ₮8.04M; no sleepers: G-train Comfort ₮6.72M / ₮8.84M, G-train Budget ₮6.05M / ₮8.27M.</t>
        </is>
      </c>
    </row>
    <row r="44" ht="47" customHeight="1" s="56">
      <c r="A44" s="73" t="inlineStr">
        <is>
          <t>Regional – Shanghai (5–6 Dec)</t>
        </is>
      </c>
      <c r="B44" s="74" t="inlineStr">
        <is>
          <t>Sleeper: MIAT $151 + G17 out on 3 Dec, 2 cheap rooms 3 nights at Hi Inn (1.8 km, 8.9), D8 overnight seat back, Air China 12:55 $172 on 7 Dec: ₮7.15M / ₮9.23M. Spring nonstop with the same cheap rooms (Tue 1 → Tue 8 Dec, 7 nights) ₮7.50M / ₮9.48M (was ₮8.21M / ₮10.73M with the apartment); 'Fly out, train home' (Spring out, D10 seat ¥294 after the awards, Air China 7 Dec, no hotel nights after the contest) ₮7.27M / ₮9.28M. Wildcard: email shu_icpc@163.com now.</t>
        </is>
      </c>
    </row>
    <row r="45" ht="47" customHeight="1" s="56">
      <c r="A45" s="73" t="inlineStr">
        <is>
          <t>Regional – Nanchang (19–20 Dec)</t>
        </is>
      </c>
      <c r="B45" s="74" t="inlineStr">
        <is>
          <t>Sleeper: Air China $157 + Z111 hard sleeper (arrive 11:52 on 18 Dec), Orange Hotel 2 nights, D136 seat back, Air China 12:55 $172. Comfort (daytime G-train, 3 hotel nights) ₮7.96M / ₮10.32M; Fly in (Air China through ticket $356) ₮8.41M / ₮10.95M.</t>
        </is>
      </c>
    </row>
    <row r="46" ht="62" customHeight="1" s="56">
      <c r="A46" s="73" t="inlineStr">
        <is>
          <t>Regional – Hong Kong (9–10 Jan)</t>
        </is>
      </c>
      <c r="B46" s="74" t="inlineStr">
        <is>
          <t>MIAT nonstop ($586 return on Trip.com, low against the usual $708–900) is the cheapest way in; flights are ₮8.4M of the 4-person cost. With sleep prioritised over distance: Sleep priority (Good Fortune Inn, 4 twin beds, ~35–40 min MTR) ₮9.14M / ₮12.47M, Funded 12M (BW Plus, 2 rooms, walk to HKU) ₮9.35M / ₮12.87M, Budget guesthouse ₮9.08M / ₮12.12M, Value (Kusa Inn 9.6) ₮9.08M / ₮12.38M, Sleep first (2 rooms in Sheung Wan) ₮11.63M / ₮14.45M (3 / 4 ppl). No route or date is cheaper (checked 10 Oct).</t>
        </is>
      </c>
    </row>
    <row r="47" ht="47" customHeight="1" s="56">
      <c r="A47" s="73" t="inlineStr">
        <is>
          <t>EC Final (only if qualified)</t>
        </is>
      </c>
      <c r="B47"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48" ht="32" customHeight="1" s="56"/>
    <row r="49" ht="32" customHeight="1" s="56">
      <c r="A49" s="75" t="inlineStr">
        <is>
          <t>Note</t>
        </is>
      </c>
      <c r="B49"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50" ht="18" customHeight="1" s="56">
      <c r="A50" s="75" t="inlineStr">
        <is>
          <t>Note</t>
        </is>
      </c>
      <c r="B50" s="74" t="inlineStr">
        <is>
          <t>EC Final is qualification-only: plan it only once the team has earned a slot at a regional.</t>
        </is>
      </c>
    </row>
    <row r="51" ht="32" customHeight="1" s="56">
      <c r="A51" s="75" t="inlineStr">
        <is>
          <t>Note</t>
        </is>
      </c>
      <c r="B51" s="74" t="inlineStr">
        <is>
          <t>4-person plans use whatever split is cheapest on Trip.com/Booking.com: one family room for 4 (Shenyang RiCH, Nanchang Orange Hotel), or two rooms. Taxi costs assume one car; with luggage 4 people may need an XL car.</t>
        </is>
      </c>
    </row>
    <row r="52" ht="47" customHeight="1" s="56">
      <c r="A52" s="75" t="inlineStr">
        <is>
          <t>Note</t>
        </is>
      </c>
      <c r="B52"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53" ht="32" customHeight="1" s="56">
      <c r="A53" s="75" t="inlineStr">
        <is>
          <t>Note</t>
        </is>
      </c>
      <c r="B53" s="74" t="inlineStr">
        <is>
          <t>Sources (10 Oct): Trip.com (flights and hotels, built-in browser), 12306 (official train fares), ChinaTicketOnline (timetable and sale-date check; 30–70% dearer than 12306, not used for booking), SlickTrip (MIAT / Spring fares; by 22 Oct it prices Air China, but $90–180 above Trip.com), UBTZ e-ticket (Zamyn-Uud → Ulaanbaatar train, 22 Oct), Ctrip / Kiwi / Google Flights (22 Oct cross-check of the Shenyang flights; Ctrip had the cheapest Air China fare).</t>
        </is>
      </c>
    </row>
  </sheetData>
  <mergeCells count="14">
    <mergeCell ref="B45:K45"/>
    <mergeCell ref="B46:K46"/>
    <mergeCell ref="B41:K41"/>
    <mergeCell ref="B49:K49"/>
    <mergeCell ref="B50:K50"/>
    <mergeCell ref="B40:K40"/>
    <mergeCell ref="B52:K52"/>
    <mergeCell ref="B53:K53"/>
    <mergeCell ref="A2:K2"/>
    <mergeCell ref="B43:K43"/>
    <mergeCell ref="B44:K44"/>
    <mergeCell ref="B47:K47"/>
    <mergeCell ref="B51:K51"/>
    <mergeCell ref="B42:K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3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45" customHeight="1" s="56">
      <c r="A9" s="118" t="inlineStr">
        <is>
          <t>Shenyang – Sleep first</t>
        </is>
      </c>
      <c r="B9" s="116" t="inlineStr">
        <is>
          <t>Sun 15 Nov / Sat 14 Nov</t>
        </is>
      </c>
      <c r="C9" s="116" t="inlineStr">
        <is>
          <t>12 Nov NEU International (normal wake-up ~08:00 for Air China 11:50; bed ~23:00)</t>
        </is>
      </c>
      <c r="D9" s="116" t="inlineStr">
        <is>
          <t>13 Nov same room, free rest day, no alarm</t>
        </is>
      </c>
      <c r="E9" s="116" t="inlineStr">
        <is>
          <t>14 Nov same room, twin room, 580 m</t>
        </is>
      </c>
      <c r="F9" s="116" t="inlineStr">
        <is>
          <t>Walk 7 min, wake ~07:00</t>
        </is>
      </c>
      <c r="G9" s="121" t="inlineStr">
        <is>
          <t>BEST</t>
        </is>
      </c>
      <c r="H9" s="116" t="inlineStr">
        <is>
          <t>No alarm before ~08:00 on any day before the contest (Air China 11:50 instead of MIAT 07:30, ¥195 ≈ ₮0.10M pp more on Ctrip), three nights in the same room and a bed each (2 twin rooms, 38 m², 9.7). After the contest the cheapest: K28 hard seat + Air China 12:55. ₮2.89M per person (3 ppl).</t>
        </is>
      </c>
    </row>
    <row r="10" ht="45" customHeight="1" s="56">
      <c r="A10" s="118" t="inlineStr">
        <is>
          <t>Shenyang – Sleep value</t>
        </is>
      </c>
      <c r="B10" s="116" t="inlineStr">
        <is>
          <t>Sun 15 Nov / Sat 14 Nov</t>
        </is>
      </c>
      <c r="C10" s="116" t="inlineStr">
        <is>
          <t>12 Nov Ji Hotel (normal wake-up ~08:00 for Air China 11:50; bed ~23:00)</t>
        </is>
      </c>
      <c r="D10" s="116" t="inlineStr">
        <is>
          <t>13 Nov same room, free rest day, no alarm</t>
        </is>
      </c>
      <c r="E10" s="116" t="inlineStr">
        <is>
          <t>14 Nov same room, twin room, ~15 min walk</t>
        </is>
      </c>
      <c r="F10" s="116" t="inlineStr">
        <is>
          <t>Walk ~15 min, wake ~06:50</t>
        </is>
      </c>
      <c r="G10" s="121" t="inlineStr">
        <is>
          <t>BEST</t>
        </is>
      </c>
      <c r="H10" s="116" t="inlineStr">
        <is>
          <t>Same timing and a bed each (2 twin rooms, King Koil mattresses, 9.0); smaller rooms and a ~15 min walk. ₮2.69M per person – ₮0.20M less than Sleep first.</t>
        </is>
      </c>
    </row>
    <row r="11" ht="45" customHeight="1" s="56">
      <c r="A11" s="118" t="inlineStr">
        <is>
          <t>Shenyang – Overland home</t>
        </is>
      </c>
      <c r="B11" s="116" t="inlineStr">
        <is>
          <t>Sun 15 Nov / Sat 14 Nov</t>
        </is>
      </c>
      <c r="C11" s="116" t="inlineStr">
        <is>
          <t>12 Nov Ji Hotel (normal wake-up ~08:00 for Air China 11:50; bed ~23:00)</t>
        </is>
      </c>
      <c r="D11" s="116" t="inlineStr">
        <is>
          <t>13 Nov same room, free rest day, no alarm</t>
        </is>
      </c>
      <c r="E11" s="116" t="inlineStr">
        <is>
          <t>14 Nov same room, twin room, ~15 min walk</t>
        </is>
      </c>
      <c r="F11" s="116" t="inlineStr">
        <is>
          <t>Walk ~15 min, wake ~06:50</t>
        </is>
      </c>
      <c r="G11" s="121" t="inlineStr">
        <is>
          <t>BEST</t>
        </is>
      </c>
      <c r="H11" s="116" t="inlineStr">
        <is>
          <t>Identical to Sleep value before the contest. After it: K1568 + 4652 hard sleepers, jeep across the border at Erenhot, UBTZ 275 platskart, home 18 Nov 09:20. ₮2.37M per person – the cheapest Shenyang plan without an early start or a sleeper before the contest.</t>
        </is>
      </c>
    </row>
    <row r="12" ht="66" customHeight="1" s="56">
      <c r="A12" s="118" t="inlineStr">
        <is>
          <t>Shanghai – Sleeper</t>
        </is>
      </c>
      <c r="B12" s="116" t="inlineStr">
        <is>
          <t>Sun 6 Dec / Sat 5 Dec</t>
        </is>
      </c>
      <c r="C12" s="116" t="inlineStr">
        <is>
          <t>3 Dec Hi Inn (2 rooms) (after a 04:30 start for MIAT 07:30; arrive 17:35)</t>
        </is>
      </c>
      <c r="D12" s="116" t="inlineStr">
        <is>
          <t>4 Dec Hi Inn, free day</t>
        </is>
      </c>
      <c r="E12" s="116" t="inlineStr">
        <is>
          <t>5 Dec Hi Inn, 1.8 km</t>
        </is>
      </c>
      <c r="F12" s="116" t="inlineStr">
        <is>
          <t>Walk ~25 min or a ¥15 taxi, wake ~07:00</t>
        </is>
      </c>
      <c r="G12" s="119" t="inlineStr">
        <is>
          <t>BEST</t>
        </is>
      </c>
      <c r="H12" s="116" t="inlineStr">
        <is>
          <t>D8 is after the contest: now a 2nd-class seat (¥361, sleeper was ¥440). Two cheap rooms (Hi Inn) replace the apartment: total ₮7.15M.</t>
        </is>
      </c>
    </row>
    <row r="13" ht="66" customHeight="1" s="56">
      <c r="A13" s="118" t="inlineStr">
        <is>
          <t>Shanghai – Spring nonstop</t>
        </is>
      </c>
      <c r="B13" s="116" t="inlineStr">
        <is>
          <t>Sun 6 Dec / Sat 5 Dec</t>
        </is>
      </c>
      <c r="C13" s="116" t="inlineStr">
        <is>
          <t>2–3 Dec Jenny's</t>
        </is>
      </c>
      <c r="D13" s="116" t="inlineStr">
        <is>
          <t>4 Dec Jenny's</t>
        </is>
      </c>
      <c r="E13" s="116" t="inlineStr">
        <is>
          <t>5 Dec Jenny's</t>
        </is>
      </c>
      <c r="F13" s="116" t="inlineStr">
        <is>
          <t>Walk ~15 min</t>
        </is>
      </c>
      <c r="G13" s="119" t="inlineStr">
        <is>
          <t>BEST</t>
        </is>
      </c>
      <c r="H13" s="116" t="inlineStr">
        <is>
          <t>Five bed nights before the contest (more than needed). The 08:00 flight on 8 Dec is after the contest, so the 05:00 start does not matter.</t>
        </is>
      </c>
    </row>
    <row r="14" ht="70" customHeight="1" s="56">
      <c r="A14" s="118" t="inlineStr">
        <is>
          <t>Shanghai – Nonstop cheap rooms</t>
        </is>
      </c>
      <c r="B14" s="116" t="inlineStr">
        <is>
          <t>Sun 6 Dec / Sat 5 Dec</t>
        </is>
      </c>
      <c r="C14" s="116" t="inlineStr">
        <is>
          <t>1 Dec Hi Inn (arrive 17:00, bed ~22:00)</t>
        </is>
      </c>
      <c r="D14" s="116" t="inlineStr">
        <is>
          <t>2–4 Dec Hi Inn, free days</t>
        </is>
      </c>
      <c r="E14" s="116" t="inlineStr">
        <is>
          <t>5 Dec Hi Inn, 2 rooms, 1.8 km</t>
        </is>
      </c>
      <c r="F14" s="116" t="inlineStr">
        <is>
          <t>Walk ~25 min or a ¥15 taxi, wake ~06:45</t>
        </is>
      </c>
      <c r="G14" s="119" t="inlineStr">
        <is>
          <t>BEST</t>
        </is>
      </c>
      <c r="H14" s="116" t="inlineStr">
        <is>
          <t>Same five bed nights before the contest as 'Spring nonstop' for much less: two rooms with beds for everyone (8.9 from 423 reviews) instead of one apartment room for three. The 08:00 flight on 8 Dec is after the contest.</t>
        </is>
      </c>
    </row>
    <row r="15" ht="70" customHeight="1" s="56">
      <c r="A15" s="118" t="inlineStr">
        <is>
          <t>Shanghai – Fly out, train home</t>
        </is>
      </c>
      <c r="B15" s="116" t="inlineStr">
        <is>
          <t>Sun 6 Dec / Sat 5 Dec</t>
        </is>
      </c>
      <c r="C15" s="116" t="inlineStr">
        <is>
          <t>1 Dec Hi Inn (arrive 17:00)</t>
        </is>
      </c>
      <c r="D15" s="116" t="inlineStr">
        <is>
          <t>2–4 Dec Hi Inn</t>
        </is>
      </c>
      <c r="E15" s="116" t="inlineStr">
        <is>
          <t>5 Dec Hi Inn, 2 rooms, 1.8 km</t>
        </is>
      </c>
      <c r="F15" s="116" t="inlineStr">
        <is>
          <t>Walk ~25 min or a ¥15 taxi, wake ~06:45</t>
        </is>
      </c>
      <c r="G15" s="119" t="inlineStr">
        <is>
          <t>BEST</t>
        </is>
      </c>
      <c r="H15" s="116" t="inlineStr">
        <is>
          <t>Everything before the contest is identical to the cheap-rooms plan. The D10 seat (21:05) and the Beijing flight are after the awards, so only comfort is lost (~12 h seated, ~75 min to PEK at 09:24).</t>
        </is>
      </c>
    </row>
    <row r="16" ht="66" customHeight="1" s="56">
      <c r="A16" s="118" t="inlineStr">
        <is>
          <t>Shanghai – Train (no sleeper)</t>
        </is>
      </c>
      <c r="B16" s="116" t="inlineStr">
        <is>
          <t>Sun 6 Dec / Sat 5 Dec</t>
        </is>
      </c>
      <c r="C16" s="116" t="inlineStr">
        <is>
          <t>3 Dec Hi Inn</t>
        </is>
      </c>
      <c r="D16" s="116" t="inlineStr">
        <is>
          <t>4 Dec Hi Inn</t>
        </is>
      </c>
      <c r="E16" s="116" t="inlineStr">
        <is>
          <t>5 Dec Hi Inn</t>
        </is>
      </c>
      <c r="F16" s="116" t="inlineStr">
        <is>
          <t>Walk ~25 min or a ¥15 taxi</t>
        </is>
      </c>
      <c r="G16" s="119" t="inlineStr">
        <is>
          <t>BEST</t>
        </is>
      </c>
      <c r="H16" s="116" t="inlineStr">
        <is>
          <t>Identical before the contest; the Beijing hotel night after it costs +0.6M more for nothing – use the sleeper plan.</t>
        </is>
      </c>
    </row>
    <row r="17" ht="66" customHeight="1" s="56">
      <c r="A17" s="118" t="inlineStr">
        <is>
          <t>Nanchang – Sleeper</t>
        </is>
      </c>
      <c r="B17" s="116" t="inlineStr">
        <is>
          <t>Sun 20 Dec / Sat 19 Dec</t>
        </is>
      </c>
      <c r="C17" s="116" t="inlineStr">
        <is>
          <t>17 Dec Z111 hard sleeper 23:06–11:52 (~5–6 h, broken)</t>
        </is>
      </c>
      <c r="D17" s="116" t="inlineStr">
        <is>
          <t>18 Dec Orange Hotel, arrive 11:52 → nap</t>
        </is>
      </c>
      <c r="E17" s="116" t="inlineStr">
        <is>
          <t>19 Dec Orange Hotel, 0.7 km</t>
        </is>
      </c>
      <c r="F17" s="116" t="inlineStr">
        <is>
          <t>Walk ~10–15 min, wake ~07:00</t>
        </is>
      </c>
      <c r="G17" s="121" t="inlineStr">
        <is>
          <t>OK</t>
        </is>
      </c>
      <c r="H17" s="116" t="inlineStr">
        <is>
          <t>Two hotel nights sit between the sleeper and the contest. D136 home is after the contest: now a 2nd-class seat (¥271, sleeper was ¥382). Soft sleeper on Z111 (+¥168 pp, ~₮0.3M) is the upgrade. Total ₮6.3M.</t>
        </is>
      </c>
    </row>
    <row r="18" ht="66" customHeight="1" s="56">
      <c r="A18" s="118" t="inlineStr">
        <is>
          <t>Nanchang – Comfort</t>
        </is>
      </c>
      <c r="B18" s="116" t="inlineStr">
        <is>
          <t>Sun 20 Dec / Sat 19 Dec</t>
        </is>
      </c>
      <c r="C18" s="116" t="inlineStr">
        <is>
          <t>17 Dec Orange Hotel (after a 04:30 start; arrive 17:52)</t>
        </is>
      </c>
      <c r="D18" s="116" t="inlineStr">
        <is>
          <t>18 Dec Orange Hotel</t>
        </is>
      </c>
      <c r="E18" s="116" t="inlineStr">
        <is>
          <t>19 Dec Orange Hotel</t>
        </is>
      </c>
      <c r="F18" s="116" t="inlineStr">
        <is>
          <t>Walk ~10–15 min</t>
        </is>
      </c>
      <c r="G18" s="119" t="inlineStr">
        <is>
          <t>BEST</t>
        </is>
      </c>
      <c r="H18" s="116" t="inlineStr">
        <is>
          <t>Three bed nights; +1.6M vs the sleeper plan.</t>
        </is>
      </c>
    </row>
    <row r="19" ht="66" customHeight="1" s="56">
      <c r="A19" s="118" t="inlineStr">
        <is>
          <t>Nanchang – Fly in (Air China)</t>
        </is>
      </c>
      <c r="B19" s="116" t="inlineStr">
        <is>
          <t>Sun 20 Dec / Sat 19 Dec</t>
        </is>
      </c>
      <c r="C19" s="116" t="inlineStr">
        <is>
          <t>17 Dec Orange Hotel (lands 21:40, bed ~23:00)</t>
        </is>
      </c>
      <c r="D19" s="116" t="inlineStr">
        <is>
          <t>18 Dec Orange Hotel</t>
        </is>
      </c>
      <c r="E19" s="116" t="inlineStr">
        <is>
          <t>19 Dec Orange Hotel</t>
        </is>
      </c>
      <c r="F19" s="116" t="inlineStr">
        <is>
          <t>Walk ~10–15 min</t>
        </is>
      </c>
      <c r="G19" s="119" t="inlineStr">
        <is>
          <t>BEST</t>
        </is>
      </c>
      <c r="H19" s="116" t="inlineStr">
        <is>
          <t>No early start at all; +2.1M vs the sleeper plan.</t>
        </is>
      </c>
    </row>
    <row r="20" ht="66" customHeight="1" s="56">
      <c r="A20" s="118" t="inlineStr">
        <is>
          <t>Hong Kong – Budget</t>
        </is>
      </c>
      <c r="B20" s="116" t="inlineStr">
        <is>
          <t>Sun 10 Jan / Sat 9 Jan</t>
        </is>
      </c>
      <c r="C20" s="116" t="inlineStr">
        <is>
          <t>7 Jan at home (wake ~04:00 on 8 Jan for MIAT 07:15)</t>
        </is>
      </c>
      <c r="D20" s="116" t="inlineStr">
        <is>
          <t>8 Jan Chungking Mansion guesthouse, 3 in one small room</t>
        </is>
      </c>
      <c r="E20" s="116" t="inlineStr">
        <is>
          <t>9 Jan same room</t>
        </is>
      </c>
      <c r="F20" s="116" t="inlineStr">
        <is>
          <t>MTR ~35 min, wake ~06:15</t>
        </is>
      </c>
      <c r="G20" s="120" t="inlineStr">
        <is>
          <t>WATCH</t>
        </is>
      </c>
      <c r="H20" s="116" t="inlineStr">
        <is>
          <t>Cheapest, but small noisy rooms, three people in one room and a long commute are the worst pre-contest sleep of any plan. Use Value or Sleep first for the nights of 8 and 9 Jan.</t>
        </is>
      </c>
    </row>
    <row r="21" ht="66" customHeight="1" s="56">
      <c r="A21" s="118" t="inlineStr">
        <is>
          <t>Hong Kong – Comfort</t>
        </is>
      </c>
      <c r="B21" s="116" t="inlineStr">
        <is>
          <t>Sun 10 Jan / Sat 9 Jan</t>
        </is>
      </c>
      <c r="C21" s="116" t="inlineStr">
        <is>
          <t>7 Jan at home (04:00 start on 8 Jan)</t>
        </is>
      </c>
      <c r="D21" s="116" t="inlineStr">
        <is>
          <t>8 Jan Best Western Plus, Sai Ying Pun</t>
        </is>
      </c>
      <c r="E21" s="116" t="inlineStr">
        <is>
          <t>9 Jan same</t>
        </is>
      </c>
      <c r="F21" s="116" t="inlineStr">
        <is>
          <t>Walk / 1 MTR stop ~10–15 min</t>
        </is>
      </c>
      <c r="G21" s="121" t="inlineStr">
        <is>
          <t>OK</t>
        </is>
      </c>
      <c r="H21" s="116" t="inlineStr">
        <is>
          <t>Close to HKU but rated only 7.4 (4,583 reviews) – read the noise reviews before booking.</t>
        </is>
      </c>
    </row>
    <row r="22" ht="66" customHeight="1" s="56">
      <c r="A22" s="118" t="inlineStr">
        <is>
          <t>Hong Kong – Value</t>
        </is>
      </c>
      <c r="B22" s="116" t="inlineStr">
        <is>
          <t>Sun 10 Jan / Sat 9 Jan</t>
        </is>
      </c>
      <c r="C22" s="116" t="inlineStr">
        <is>
          <t>7 Jan at home (04:00 start)</t>
        </is>
      </c>
      <c r="D22" s="116" t="inlineStr">
        <is>
          <t>8 Jan Kusa Inn (9.6, 15 reviews), Kowloon</t>
        </is>
      </c>
      <c r="E22" s="116" t="inlineStr">
        <is>
          <t>9 Jan same</t>
        </is>
      </c>
      <c r="F22" s="116" t="inlineStr">
        <is>
          <t>MTR ~35 min, wake ~06:15</t>
        </is>
      </c>
      <c r="G22" s="121" t="inlineStr">
        <is>
          <t>OK</t>
        </is>
      </c>
      <c r="H22" s="116" t="inlineStr">
        <is>
          <t>Better-rated room for the same money, but few reviews and the same 35-min commute.</t>
        </is>
      </c>
    </row>
    <row r="23" ht="66" customHeight="1" s="56">
      <c r="A23" s="118" t="inlineStr">
        <is>
          <t>Hong Kong – Sleep first</t>
        </is>
      </c>
      <c r="B23" s="116" t="inlineStr">
        <is>
          <t>Sun 10 Jan / Sat 9 Jan</t>
        </is>
      </c>
      <c r="C23" s="116" t="inlineStr">
        <is>
          <t>7 Jan at home (04:00 start; arrive 11:50 and nap)</t>
        </is>
      </c>
      <c r="D23" s="116" t="inlineStr">
        <is>
          <t>8 Jan iclub AMTD Sheung Wan, 2 rooms</t>
        </is>
      </c>
      <c r="E23" s="116" t="inlineStr">
        <is>
          <t>9 Jan same, 2 MTR stops to HKU</t>
        </is>
      </c>
      <c r="F23" s="116" t="inlineStr">
        <is>
          <t>MTR ~10–15 min, wake ~07:00</t>
        </is>
      </c>
      <c r="G23" s="119" t="inlineStr">
        <is>
          <t>BEST</t>
        </is>
      </c>
      <c r="H23" s="116" t="inlineStr">
        <is>
          <t>Two rooms in an 8.6-rated hotel: ₮2.55M (3 ppl) / ₮2.33M (4 ppl) vs Budget (₮11.63M / ₮14.45M total). Over the ₮12M with the coach.</t>
        </is>
      </c>
    </row>
    <row r="24" ht="66" customHeight="1" s="56">
      <c r="A24" s="118" t="inlineStr">
        <is>
          <t>Hong Kong – Funded 12M (funded regional)</t>
        </is>
      </c>
      <c r="B24" s="116" t="inlineStr">
        <is>
          <t>Sun 10 Jan / Sat 9 Jan</t>
        </is>
      </c>
      <c r="C24" s="116" t="inlineStr">
        <is>
          <t>7 Jan at home (04:00 start; arrive 11:50, nap)</t>
        </is>
      </c>
      <c r="D24" s="116" t="inlineStr">
        <is>
          <t>8 Jan Best Western Plus, Sai Ying Pun, 2 rooms (2 beds each)</t>
        </is>
      </c>
      <c r="E24" s="116" t="inlineStr">
        <is>
          <t>9 Jan same, ~540 m to HKU</t>
        </is>
      </c>
      <c r="F24" s="116" t="inlineStr">
        <is>
          <t>Walk ~10 min, wake ~07:00</t>
        </is>
      </c>
      <c r="G24" s="121" t="inlineStr">
        <is>
          <t>OK</t>
        </is>
      </c>
      <c r="H24" s="116" t="inlineStr">
        <is>
          <t>Fits ₮12M only before the 10% contingency (~₮11.7M). Separate beds and no commute; the hotel is rated 7.4–8.2, so read noise reviews. Cheaper alternative with separate beds: Good Fortune Inn (8.6, 4 twin beds) but ~35 min MTR.</t>
        </is>
      </c>
    </row>
    <row r="25" ht="78" customHeight="1" s="56">
      <c r="A25" s="118" t="inlineStr">
        <is>
          <t>Hong Kong – Sleep priority (funded regional)</t>
        </is>
      </c>
      <c r="B25" s="116" t="inlineStr">
        <is>
          <t>Sun 10 Jan / Sat 9 Jan</t>
        </is>
      </c>
      <c r="C25" s="116" t="inlineStr">
        <is>
          <t>7 Jan at home (04:00 start; arrive 11:50, nap)</t>
        </is>
      </c>
      <c r="D25" s="116" t="inlineStr">
        <is>
          <t>8 Jan Good Fortune Inn: 2 rooms, 4 twin beds, private bathrooms</t>
        </is>
      </c>
      <c r="E25" s="116" t="inlineStr">
        <is>
          <t>9 Jan same</t>
        </is>
      </c>
      <c r="F25" s="116" t="inlineStr">
        <is>
          <t>MTR ~35–40 min, wake ~06:15 (lights out 22:30 = 7.75 h)</t>
        </is>
      </c>
      <c r="G25" s="121" t="inlineStr">
        <is>
          <t>OK</t>
        </is>
      </c>
      <c r="H25" s="116" t="inlineStr">
        <is>
          <t>Best bed arrangement under the ₮12M cap (everyone has their own bed and bathroom, 8.6 from 715 reviews) at ~₮11.3M before contingency; costs ~35 min of sleep a day in commute versus the BW Plus walk. Better still if the host campus turns out to be near Kowloon.</t>
        </is>
      </c>
    </row>
    <row r="26" ht="66" customHeight="1" s="56">
      <c r="A26" s="118" t="inlineStr">
        <is>
          <t>EC Final – Train</t>
        </is>
      </c>
      <c r="B26" s="116" t="inlineStr">
        <is>
          <t>Wed 27 Jan / Tue 26 Jan</t>
        </is>
      </c>
      <c r="C26" s="116" t="inlineStr">
        <is>
          <t>24 Jan at home</t>
        </is>
      </c>
      <c r="D26" s="116" t="inlineStr">
        <is>
          <t>25 Jan D17 2nd-class sleeper 19:10–09:15 (4-berth cabin, ~6 h) → arrive on day 1</t>
        </is>
      </c>
      <c r="E26" s="116" t="inlineStr">
        <is>
          <t>26 Jan HanTing, 1.6 km</t>
        </is>
      </c>
      <c r="F26" s="116" t="inlineStr">
        <is>
          <t>Walk ~20 min, wake ~07:00</t>
        </is>
      </c>
      <c r="G26" s="120" t="inlineStr">
        <is>
          <t>WATCH</t>
        </is>
      </c>
      <c r="H26" s="116" t="inlineStr">
        <is>
          <t>The sleeper is the night before the check-in / warm-up day (not the contest day), with a hotel night in between. Safer: leave Beijing 24 Jan (one more hotel night, ~₮0.35M) or take the afternoon G-train + hotel (old plan, ~+₮0.44M).</t>
        </is>
      </c>
    </row>
    <row r="27" ht="66" customHeight="1" s="56">
      <c r="A27" s="118" t="inlineStr">
        <is>
          <t>EC Final – Fly</t>
        </is>
      </c>
      <c r="B27" s="116" t="inlineStr">
        <is>
          <t>Wed 27 Jan / Tue 26 Jan</t>
        </is>
      </c>
      <c r="C27" s="116" t="inlineStr">
        <is>
          <t>24 Jan at home (wake ~03:30 on 25 Jan for Aero Mongolia 06:30)</t>
        </is>
      </c>
      <c r="D27" s="116" t="inlineStr">
        <is>
          <t>25 Jan Mehood Theater Hotel (arrive ~13:40; nap)</t>
        </is>
      </c>
      <c r="E27" s="116" t="inlineStr">
        <is>
          <t>26 Jan same, 1.7 km</t>
        </is>
      </c>
      <c r="F27" s="116" t="inlineStr">
        <is>
          <t>Walk ~20 min</t>
        </is>
      </c>
      <c r="G27" s="121" t="inlineStr">
        <is>
          <t>OK</t>
        </is>
      </c>
      <c r="H27" s="116" t="inlineStr">
        <is>
          <t>Early start two nights before; arrives early afternoon, then two hotel nights.</t>
        </is>
      </c>
    </row>
    <row r="28" ht="66" customHeight="1" s="56">
      <c r="A28" s="118" t="inlineStr">
        <is>
          <t>Nanjing + Shenyang (older workbook A / B)</t>
        </is>
      </c>
      <c r="B28" s="116" t="inlineStr">
        <is>
          <t>Nanjing Sun 8 Nov; Shenyang Sun 15 Nov</t>
        </is>
      </c>
      <c r="C28" s="116" t="inlineStr">
        <is>
          <t>6 Nov Beijing hotel after MIAT lands 19:30, wake ~06:00 for the G-train</t>
        </is>
      </c>
      <c r="D28" s="116" t="inlineStr">
        <is>
          <t>7 Nov Nanjing hotel (A 1 km, B 15 min metro)</t>
        </is>
      </c>
      <c r="E28" s="116" t="inlineStr">
        <is>
          <t>Shenyang: Z366 sleeper 12 Nov → hotels 13 and 14 Nov</t>
        </is>
      </c>
      <c r="F28" s="116" t="inlineStr">
        <is>
          <t>Nanjing walk / Shenyang walk</t>
        </is>
      </c>
      <c r="G28" s="121" t="inlineStr">
        <is>
          <t>OK</t>
        </is>
      </c>
      <c r="H28" s="116" t="inlineStr">
        <is>
          <t>K54 home after the Shenyang contest is now a hard sleeper (soft was ¥263). Plan C (home between) uses K53 soft sleeper on 13 Nov = night before day 1 (WATCH).</t>
        </is>
      </c>
    </row>
    <row r="29" s="56">
      <c r="A29" s="55"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30" s="56">
      <c r="A30" s="122" t="inlineStr">
        <is>
          <t>Where the money goes (use the headroom on sleep)</t>
        </is>
      </c>
    </row>
    <row r="31" ht="36" customHeight="1" s="56">
      <c r="A31"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32" ht="36" customHeight="1" s="56">
      <c r="A32" s="116" t="inlineStr">
        <is>
          <t>Pre-contest upgrades applied: Shenyang Budget K53 hard → soft; Hong Kong Sleep first (2 rooms near HKU). Post-contest downgrades applied: Shenyang K54 soft → hard, Shanghai D8 sleeper → seat, Nanchang D136 sleeper → seat.</t>
        </is>
      </c>
    </row>
    <row r="33" ht="36" customHeight="1" s="56">
      <c r="A33" s="116" t="inlineStr">
        <is>
          <t>Cheapest post-contest options if you want to go further: Nanchang Z182 20:01 → 08:46 hard seat (¥173.5 vs ¥271); Shanghai G808 17:25 is too early after the awards, so the D8 seat stays.</t>
        </is>
      </c>
    </row>
    <row r="34" ht="36" customHeight="1" s="56">
      <c r="A34" s="116" t="inlineStr">
        <is>
          <t>Contest-day wake-up rule of thumb: bed by 22:30–23:00, up by 06:00–06:30 for a 09:00 start; avoid alcohol and late team dinners; no phone-based all-nighters on day 1.</t>
        </is>
      </c>
    </row>
  </sheetData>
  <mergeCells count="5">
    <mergeCell ref="A2:H2"/>
    <mergeCell ref="A33:H33"/>
    <mergeCell ref="A32:H32"/>
    <mergeCell ref="A31:H31"/>
    <mergeCell ref="A34:H34"/>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first</t>
        </is>
      </c>
    </row>
    <row r="2" ht="15" customHeight="1" s="56">
      <c r="A2" s="62" t="inlineStr">
        <is>
          <t>Sleep first before the contest, cheapest after: no early alarm (Air China 11:50), three nights in the same quiet hotel next to the venue with a bed each;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75"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51" customHeight="1" s="56">
      <c r="B16" s="111" t="inlineStr">
        <is>
          <t>NEU International Hotel, 80 Wenti West Rd (~580 m to NEU Nanhu): 2 Superior Twin rooms, 38 m², floors 5–10 – a bed each</t>
        </is>
      </c>
      <c r="C16" s="83" t="inlineStr">
        <is>
          <t>12–15 Nov (3 nights)</t>
        </is>
      </c>
      <c r="D16" s="84" t="n"/>
      <c r="E16" s="85" t="n">
        <v>796</v>
      </c>
      <c r="F16" s="86" t="inlineStr">
        <is>
          <t>CNY</t>
        </is>
      </c>
      <c r="G16" s="91" t="n">
        <v>3</v>
      </c>
      <c r="H16" s="88">
        <f>E16*G16*IF(F16="USD",Compare!$B$8,IF(F16="CNY",Compare!$B$9,IF(F16="HKD",Compare!$B$10,1)))</f>
        <v/>
      </c>
      <c r="I16" s="85" t="n">
        <v>796</v>
      </c>
      <c r="J16" s="91" t="n">
        <v>3</v>
      </c>
      <c r="K16" s="88">
        <f>I16*J16*IF(F16="USD",Compare!$B$8,IF(F16="CNY",Compare!$B$9,IF(F16="HKD",Compare!$B$10,1)))</f>
        <v/>
      </c>
      <c r="L16" s="112" t="inlineStr">
        <is>
          <t>Trip.com 22 Oct: ¥2,388 for 2 rooms × 3 nights incl. taxes, free cancellation, pay at hotel; same price for 3 or 4 adults. 9.7 from 1,998 reviews (no negative review in 2 years; campus/river views). Shown as a 30% 'Surprise Savings' rate (list ¥547 per room-night = ¥3,282) – book soon.</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45" customHeight="1" s="56">
      <c r="A43" s="75" t="inlineStr">
        <is>
          <t>Why this plan</t>
        </is>
      </c>
      <c r="B43" s="74" t="inlineStr">
        <is>
          <t>Sleep quantity: nobody wakes before ~08:00 on any day before the contest (Air China 11:50 instead of MIAT 07:30), and there are three hotel nights before the contest with a free rest day on 13 Nov. Sleep quality: the same room all three nights, two twin rooms so everyone has their own bed, the best-rated hotel next to the campus (9.7), and a 7-minute walk on contest morning.</t>
        </is>
      </c>
    </row>
    <row r="44" ht="30" customHeight="1" s="56">
      <c r="A44" s="75" t="inlineStr">
        <is>
          <t>Trade-off</t>
        </is>
      </c>
      <c r="B44" s="74" t="inlineStr">
        <is>
          <t>After the contest it is the cheapest way home: a night sitting up on the K28 (hard sleeper K54 is +¥59 pp) and the cheapest flight. Hotel luggage storage on 15 Nov (check-out before the contest). 'Shenyang – Sleep value' is the same plan with a cheaper twin-room hotel 15 min away.</t>
        </is>
      </c>
    </row>
    <row r="45" ht="15" customHeight="1" s="56">
      <c r="A45" s="75" t="inlineStr">
        <is>
          <t>Book</t>
        </is>
      </c>
      <c r="B45" s="74" t="inlineStr">
        <is>
          <t>Air China CA902 on Ctrip now (¥1,291; Trip.com $203 as fallback); hotel now (free cancellation);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NEU International Hotel. Bed by ~23:00.</t>
        </is>
      </c>
    </row>
    <row r="50" ht="15" customHeight="1" s="56">
      <c r="A50" s="74" t="inlineStr">
        <is>
          <t>Fri 13 Nov</t>
        </is>
      </c>
      <c r="B50" s="74" t="inlineStr">
        <is>
          <t>Shenyang</t>
        </is>
      </c>
      <c r="C50" s="74" t="inlineStr">
        <is>
          <t>Free rest day: no alarm, light practice, walk the 7-minute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~07:00, walk 7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~7 min walk (NEU International Hotel, 580 m)</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value</t>
        </is>
      </c>
    </row>
    <row r="2" ht="15" customHeight="1" s="56">
      <c r="A2" s="62" t="inlineStr">
        <is>
          <t>Same sleep-first timing as 'Sleep first' (Air China 11:50, three nights before the contest, a bed each) in a cheaper twin-room hotel ~15 min walk from the venue;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75"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12–15 Nov (3 nights)</t>
        </is>
      </c>
      <c r="D16" s="84" t="n"/>
      <c r="E16" s="85" t="n">
        <v>457</v>
      </c>
      <c r="F16" s="86" t="inlineStr">
        <is>
          <t>CNY</t>
        </is>
      </c>
      <c r="G16" s="91" t="n">
        <v>3</v>
      </c>
      <c r="H16" s="88">
        <f>E16*G16*IF(F16="USD",Compare!$B$8,IF(F16="CNY",Compare!$B$9,IF(F16="HKD",Compare!$B$10,1)))</f>
        <v/>
      </c>
      <c r="I16" s="85" t="n">
        <v>457</v>
      </c>
      <c r="J16" s="91" t="n">
        <v>3</v>
      </c>
      <c r="K16" s="88">
        <f>I16*J16*IF(F16="USD",Compare!$B$8,IF(F16="CNY",Compare!$B$9,IF(F16="HKD",Compare!$B$10,1)))</f>
        <v/>
      </c>
      <c r="L16" s="112" t="inlineStr">
        <is>
          <t>Trip.com 22 Oct: ¥1,371 for 2 rooms × 3 nights incl. taxes, free cancellation until 18:00 on 11 Nov (prepay); same price for 3 or 4 adults. 9.0 from 1,433 reviews; 16 m² rooms high in an office tower, above the street. Breakfast ¥40 optional.</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Same sleep quantity as 'Sleep first' (no alarm before ~08:00, three hotel nights, rest day on 13 Nov) and still a bed each: two twin rooms with King Koil mattresses (Huazhu's Ji Hotel, 9.0 from 1,433 reviews) high in an office tower, for ¥1,017 less than NEU International.</t>
        </is>
      </c>
    </row>
    <row r="44" ht="30" customHeight="1" s="56">
      <c r="A44" s="75" t="inlineStr">
        <is>
          <t>Trade-off</t>
        </is>
      </c>
      <c r="B44" s="74" t="inlineStr">
        <is>
          <t>Smaller rooms (16 m² vs 38 m²) and a ~15-minute walk (wake ~06:50 instead of 07:00). After the contest the same cheapest way home: K28 hard seat (K54 hard sleeper +¥59 pp) and Air China 12:55.</t>
        </is>
      </c>
    </row>
    <row r="45" ht="15" customHeight="1" s="56">
      <c r="A45" s="75" t="inlineStr">
        <is>
          <t>Book</t>
        </is>
      </c>
      <c r="B45" s="74" t="inlineStr">
        <is>
          <t>Air China CA902 on Ctrip now (¥1,291; Trip.com $203 as fallback); hotel now (free cancellation until 18:00 on 11 Nov, prepaid);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Ji Hotel Sanhao Street. Bed by ~23:00.</t>
        </is>
      </c>
    </row>
    <row r="50" ht="15" customHeight="1" s="56">
      <c r="A50" s="74" t="inlineStr">
        <is>
          <t>Fri 13 Nov</t>
        </is>
      </c>
      <c r="B50" s="74" t="inlineStr">
        <is>
          <t>Shenyang</t>
        </is>
      </c>
      <c r="C50" s="74" t="inlineStr">
        <is>
          <t>Free rest day: no alarm, light practice, walk the ~15-minute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~15 min walk (Ji Hotel, 940 m straight line)</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home</t>
        </is>
      </c>
    </row>
    <row r="2" ht="15" customHeight="1" s="56">
      <c r="A2" s="62" t="inlineStr">
        <is>
          <t>'Sleep value' out (Air China 11:50, three nights before the contest, a bed each), then the cheapest way home overland: night trains via Hohhot to Erenhot, jeep across the border, UBTZ sleeper to Ulaanbaatar (home 18 Nov).</t>
        </is>
      </c>
    </row>
    <row r="4" ht="15" customHeight="1" s="56">
      <c r="A4" s="60" t="inlineStr">
        <is>
          <t>Days in destination (meals &amp; local transport)</t>
        </is>
      </c>
      <c r="B4" s="76" t="n">
        <v>5.5</v>
      </c>
      <c r="C4" s="62" t="inlineStr">
        <is>
          <t>12 Nov afternoon → 18 Nov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s="56">
      <c r="A11" s="79" t="inlineStr">
        <is>
          <t>Trains &amp; border crossing</t>
        </is>
      </c>
      <c r="B11" s="80" t="n"/>
      <c r="C11" s="80" t="n"/>
      <c r="D11" s="80" t="n"/>
      <c r="E11" s="80" t="n"/>
      <c r="F11" s="80" t="n"/>
      <c r="G11" s="80" t="n"/>
      <c r="H11" s="80" t="n"/>
      <c r="I11" s="80" t="n"/>
      <c r="J11" s="80" t="n"/>
      <c r="K11" s="80" t="n"/>
      <c r="L11" s="80" t="n"/>
    </row>
    <row r="12" ht="75" customHeight="1" s="56">
      <c r="B12" s="111" t="inlineStr">
        <is>
          <t>High-speed rail G153 Beijing Chaoyang 17:27 → Shenyang 20:04, 2nd class</t>
        </is>
      </c>
      <c r="C12" s="83" t="inlineStr">
        <is>
          <t>12 Nov (evening)</t>
        </is>
      </c>
      <c r="D12" s="84" t="n">
        <v>0.1090277777777778</v>
      </c>
      <c r="E12" s="85" t="n">
        <v>369</v>
      </c>
      <c r="F12" s="86" t="inlineStr">
        <is>
          <t>CNY</t>
        </is>
      </c>
      <c r="G12" s="87">
        <f>Compare!$B$6</f>
        <v/>
      </c>
      <c r="H12" s="88">
        <f>E12*G12*IF(F12="USD",Compare!$B$8,IF(F12="CNY",Compare!$B$9,IF(F12="HKD",Compare!$B$10,1)))</f>
        <v/>
      </c>
      <c r="I12" s="89">
        <f>E12</f>
        <v/>
      </c>
      <c r="J12" s="87">
        <f>Compare!$B$7</f>
        <v/>
      </c>
      <c r="K12" s="88">
        <f>I12*J12*IF(F12="USD",Compare!$B$8,IF(F12="CNY",Compare!$B$9,IF(F12="HKD",Compare!$B$10,1)))</f>
        <v/>
      </c>
      <c r="L12"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3" ht="39" customHeight="1" s="56">
      <c r="B13" s="111" t="inlineStr">
        <is>
          <t>Overnight train K1568 Shenyang 22:50 → Hohhot 17:02 (+1), hard sleeper (after the contest)</t>
        </is>
      </c>
      <c r="C13" s="83" t="inlineStr">
        <is>
          <t>15–16 Nov</t>
        </is>
      </c>
      <c r="D13" s="84" t="n">
        <v>0.7583333333333333</v>
      </c>
      <c r="E13" s="85" t="n">
        <v>304.5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hard sleeper ¥304.5, hard seat ¥177.5, soft ¥476.5 (to Hohhot East 16:27: ¥296.5). ChinaTicketOnline confirms 15 Nov, on sale 1 Nov 09:30.</t>
        </is>
      </c>
    </row>
    <row r="14" ht="39" customHeight="1" s="56">
      <c r="B14" s="111" t="inlineStr">
        <is>
          <t>Overnight train 4652 Hohhot 22:50 → Erenhot 06:50, hard sleeper</t>
        </is>
      </c>
      <c r="C14" s="83" t="inlineStr">
        <is>
          <t>16–17 Nov</t>
        </is>
      </c>
      <c r="D14" s="84" t="n">
        <v>0.3333333333333333</v>
      </c>
      <c r="E14" s="85" t="n">
        <v>115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sleeper ¥115, hard seat ¥61. Daily; ChinaTicketOnline confirms 16 Nov, on sale 2 Nov 14:00. ~6 h wait in Hohhot after K1568 (dinner).</t>
        </is>
      </c>
    </row>
    <row r="15" ht="39" customHeight="1" s="56">
      <c r="B15" s="111" t="inlineStr">
        <is>
          <t>Shared jeep Erenhot → Zamyn-Uud across the border</t>
        </is>
      </c>
      <c r="C15" s="83" t="inlineStr">
        <is>
          <t>17 Nov (morning)</t>
        </is>
      </c>
      <c r="D15" s="84" t="n">
        <v>0.125</v>
      </c>
      <c r="E15" s="113" t="n">
        <v>100</v>
      </c>
      <c r="F15" s="86" t="inlineStr">
        <is>
          <t>CNY</t>
        </is>
      </c>
      <c r="G15" s="87">
        <f>Compare!$B$6</f>
        <v/>
      </c>
      <c r="H15" s="88">
        <f>E15*G15*IF(F15="USD",Compare!$B$8,IF(F15="CNY",Compare!$B$9,IF(F15="HKD",Compare!$B$10,1)))</f>
        <v/>
      </c>
      <c r="I15" s="114">
        <f>E15</f>
        <v/>
      </c>
      <c r="J15" s="87">
        <f>Compare!$B$7</f>
        <v/>
      </c>
      <c r="K15" s="88">
        <f>I15*J15*IF(F15="USD",Compare!$B$8,IF(F15="CNY",Compare!$B$9,IF(F15="HKD",Compare!$B$10,1)))</f>
        <v/>
      </c>
      <c r="L15" s="112" t="inlineStr">
        <is>
          <t>ASSUMPTION ¥50–110 pp (Wikivoyage, travel blogs); jeeps wait near Erenhot station. ~3 h includes both border posts (no visa needed for Mongolian passports). Confirm the border hours.</t>
        </is>
      </c>
    </row>
    <row r="16" ht="30" customHeight="1" s="56">
      <c r="B16" s="111" t="inlineStr">
        <is>
          <t>UBTZ train 275 Zamyn-Uud 18:05 → Ulaanbaatar 09:20, platskart sleeper incl. bedding</t>
        </is>
      </c>
      <c r="C16" s="83" t="inlineStr">
        <is>
          <t>17–18 Nov</t>
        </is>
      </c>
      <c r="D16" s="84" t="n">
        <v>0.6354166666666666</v>
      </c>
      <c r="E16" s="85" t="n">
        <v>51400</v>
      </c>
      <c r="F16" s="86" t="inlineStr">
        <is>
          <t>MNT</t>
        </is>
      </c>
      <c r="G16" s="87">
        <f>Compare!$B$6</f>
        <v/>
      </c>
      <c r="H16" s="88">
        <f>E16*G16*IF(F16="USD",Compare!$B$8,IF(F16="CNY",Compare!$B$9,IF(F16="HKD",Compare!$B$10,1)))</f>
        <v/>
      </c>
      <c r="I16" s="89">
        <f>E16</f>
        <v/>
      </c>
      <c r="J16" s="87">
        <f>Compare!$B$7</f>
        <v/>
      </c>
      <c r="K16" s="88">
        <f>I16*J16*IF(F16="USD",Compare!$B$8,IF(F16="CNY",Compare!$B$9,IF(F16="HKD",Compare!$B$10,1)))</f>
        <v/>
      </c>
      <c r="L16" s="112" t="inlineStr">
        <is>
          <t>eticket.ubtz.mn 22 Oct: platskart ₮44,000 + bedding ₮7,400 (seat ₮26,000; kupe ₮73,400 + ₮7,400). Daily; 72 platskart berths free on 17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12–15 Nov (3 nights)</t>
        </is>
      </c>
      <c r="D18" s="84" t="n"/>
      <c r="E18" s="85" t="n">
        <v>457</v>
      </c>
      <c r="F18" s="86" t="inlineStr">
        <is>
          <t>CNY</t>
        </is>
      </c>
      <c r="G18" s="91" t="n">
        <v>3</v>
      </c>
      <c r="H18" s="88">
        <f>E18*G18*IF(F18="USD",Compare!$B$8,IF(F18="CNY",Compare!$B$9,IF(F18="HKD",Compare!$B$10,1)))</f>
        <v/>
      </c>
      <c r="I18" s="85" t="n">
        <v>457</v>
      </c>
      <c r="J18" s="91" t="n">
        <v>3</v>
      </c>
      <c r="K18" s="88">
        <f>I18*J18*IF(F18="USD",Compare!$B$8,IF(F18="CNY",Compare!$B$9,IF(F18="HKD",Compare!$B$10,1)))</f>
        <v/>
      </c>
      <c r="L18" s="112" t="inlineStr">
        <is>
          <t>Trip.com 22 Oct: ¥1,371 for 2 rooms × 3 nights incl. taxes, free cancellation until 18:00 on 11 Nov (prepay); same price for 3 or 4 adults. 9.0 from 1,433 reviews; 16 m² rooms high in an office tower, above the street. Breakfast ¥40 optional.</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Taxi PEK → Beijing Chaoyang station</t>
        </is>
      </c>
      <c r="C22" s="83" t="inlineStr">
        <is>
          <t>12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~40 km (4 ppl may need an XL car)</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Chinggis Khaan airport (UB)</t>
        </is>
      </c>
      <c r="C27" s="83" t="inlineStr">
        <is>
          <t>12 Nov</t>
        </is>
      </c>
      <c r="D27" s="84" t="n">
        <v>0.04166666666666666</v>
      </c>
      <c r="E27" s="113" t="n">
        <v>100000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100k MNT per trip for the group</t>
        </is>
      </c>
    </row>
    <row r="28" ht="30" customHeight="1" s="56">
      <c r="B28" s="111" t="inlineStr">
        <is>
          <t>Taxi Ulaanbaatar railway station → home</t>
        </is>
      </c>
      <c r="C28" s="83" t="inlineStr">
        <is>
          <t>18 Nov</t>
        </is>
      </c>
      <c r="D28" s="84" t="n">
        <v>0.02083333333333333</v>
      </c>
      <c r="E28" s="113" t="n">
        <v>30000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~30k MNT for the group (city trip)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Before the contest it is identical to 'Sleep value' (no alarm before ~08:00, three nights in twin rooms). After the contest it skips the Beijing flight: three night trains (two Chinese hard sleepers + a UBTZ platskart berth) cost less than the flight alone, so it is the cheapest sleep-safe plan.</t>
        </is>
      </c>
    </row>
    <row r="46" ht="30" customHeight="1" s="56">
      <c r="A46" s="75" t="inlineStr">
        <is>
          <t>Trade-off</t>
        </is>
      </c>
      <c r="B46" s="74" t="inlineStr">
        <is>
          <t>Home on 18 Nov at 09:20 instead of 16 Nov 15:05 (2 more days, 2 more days of meals), ~6 h wait in Hohhot, a cold early-morning border crossing at Erenhot (dress for −15 °C). The jeep fare and border hours are not verified.</t>
        </is>
      </c>
    </row>
    <row r="47" ht="30" customHeight="1" s="56">
      <c r="A47" s="75" t="inlineStr">
        <is>
          <t>Book</t>
        </is>
      </c>
      <c r="B47" s="74" t="inlineStr">
        <is>
          <t>Air China CA902 on Ctrip now (¥1,291; Trip.com $203 as fallback); hotel now; G153 on 12306 at 10:00 on 29 Oct; K1568 at 09:30 on 1 Nov; 4652 at 14:00 on 2 Nov; UBTZ 275 on eticket.ubtz.mn (on sale now).</t>
        </is>
      </c>
    </row>
    <row r="48" s="56"/>
    <row r="49" s="56">
      <c r="A49" s="72" t="inlineStr">
        <is>
          <t>Day-by-day plan</t>
        </is>
      </c>
    </row>
    <row r="50" s="56">
      <c r="A50" s="96" t="inlineStr">
        <is>
          <t>Date</t>
        </is>
      </c>
      <c r="B50" s="96" t="inlineStr">
        <is>
          <t>Sleep in</t>
        </is>
      </c>
      <c r="C50" s="96" t="inlineStr">
        <is>
          <t>What happens</t>
        </is>
      </c>
    </row>
    <row r="51" ht="30" customHeight="1" s="56">
      <c r="A51" s="74" t="inlineStr">
        <is>
          <t>Thu 12 Nov</t>
        </is>
      </c>
      <c r="B51" s="74" t="inlineStr">
        <is>
          <t>Shenyang</t>
        </is>
      </c>
      <c r="C51" s="74" t="inlineStr">
        <is>
          <t>Wake ~08:00. Air China CA902 UB 11:50 → Beijing Capital 13:55; taxi to Beijing Chaoyang; G153 17:27 → Shenyang 20:04 (G141 16:00 if early); taxi to Ji Hotel Sanhao Street. Bed by ~23:00.</t>
        </is>
      </c>
    </row>
    <row r="52" ht="15" customHeight="1" s="56">
      <c r="A52" s="74" t="inlineStr">
        <is>
          <t>Fri 13 Nov</t>
        </is>
      </c>
      <c r="B52" s="74" t="inlineStr">
        <is>
          <t>Shenyang</t>
        </is>
      </c>
      <c r="C52" s="74" t="inlineStr">
        <is>
          <t>Free rest day: no alarm, light practice, walk the ~15-minute route to the venue.</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(hard sleeper)</t>
        </is>
      </c>
      <c r="C54" s="74" t="inlineStr">
        <is>
          <t>CONTEST. Wake ~06:50, walk ~15 min. Check out before leaving, luggage stored at the hotel. Awards ~17:00; taxi to Shenyang station; K1568 22:50 hard sleeper → Hohhot.</t>
        </is>
      </c>
    </row>
    <row r="55" ht="15" customHeight="1" s="56">
      <c r="A55" s="74" t="inlineStr">
        <is>
          <t>Mon 16 Nov</t>
        </is>
      </c>
      <c r="B55" s="74" t="inlineStr">
        <is>
          <t>Train (hard sleeper)</t>
        </is>
      </c>
      <c r="C55" s="74" t="inlineStr">
        <is>
          <t>Arrive Hohhot 17:02; dinner near the station; 4652 22:50 hard sleeper → Erenhot.</t>
        </is>
      </c>
    </row>
    <row r="56" ht="15" customHeight="1" s="56">
      <c r="A56" s="74" t="inlineStr">
        <is>
          <t>Tue 17 Nov</t>
        </is>
      </c>
      <c r="B56" s="74" t="inlineStr">
        <is>
          <t>Train (platskart)</t>
        </is>
      </c>
      <c r="C56" s="74" t="inlineStr">
        <is>
          <t>Arrive Erenhot 06:50; shared jeep across the border to Zamyn-Uud; UBTZ 275 18:05 → Ulaanbaatar.</t>
        </is>
      </c>
    </row>
    <row r="57" ht="15" customHeight="1" s="56">
      <c r="A57" s="74" t="inlineStr">
        <is>
          <t>Wed 18 Nov</t>
        </is>
      </c>
      <c r="B57" s="74" t="inlineStr">
        <is>
          <t>Home</t>
        </is>
      </c>
      <c r="C57" s="74" t="inlineStr">
        <is>
          <t>Arrive Ulaanbaatar 09:20; taxi home.</t>
        </is>
      </c>
    </row>
    <row r="58" s="56"/>
    <row r="59" s="56">
      <c r="A59" s="72" t="inlineStr">
        <is>
          <t>Door-to-door travel times</t>
        </is>
      </c>
    </row>
    <row r="60" s="56">
      <c r="A60" s="96" t="inlineStr">
        <is>
          <t>Date</t>
        </is>
      </c>
      <c r="B60" s="96" t="inlineStr">
        <is>
          <t>Leg</t>
        </is>
      </c>
      <c r="C60" s="96" t="inlineStr">
        <is>
          <t>Mode</t>
        </is>
      </c>
      <c r="D60" s="96" t="inlineStr">
        <is>
          <t>Expected time</t>
        </is>
      </c>
      <c r="E60" s="96" t="inlineStr">
        <is>
          <t>Notes</t>
        </is>
      </c>
    </row>
    <row r="61" s="56">
      <c r="A61" s="105" t="inlineStr">
        <is>
          <t>12 Nov</t>
        </is>
      </c>
      <c r="B61" s="105" t="inlineStr">
        <is>
          <t>Home → Chinggis Khaan airport</t>
        </is>
      </c>
      <c r="C61" s="82" t="inlineStr">
        <is>
          <t>Taxi (~50 km)</t>
        </is>
      </c>
      <c r="D61" s="104" t="n">
        <v>0.04166666666666666</v>
      </c>
      <c r="E61" s="106" t="inlineStr">
        <is>
          <t>Leave ~09:15 for the 11:50 flight; wake ~08:00</t>
        </is>
      </c>
      <c r="F61" s="107" t="n"/>
      <c r="G61" s="107" t="n"/>
      <c r="H61" s="107" t="n"/>
      <c r="I61" s="107" t="n"/>
      <c r="J61" s="107" t="n"/>
      <c r="K61" s="107" t="n"/>
      <c r="L61" s="107" t="n"/>
    </row>
    <row r="62" s="56">
      <c r="A62" s="105" t="inlineStr">
        <is>
          <t>12 Nov</t>
        </is>
      </c>
      <c r="B62" s="105" t="inlineStr">
        <is>
          <t>Ulaanbaatar → Beijing (PEK)</t>
        </is>
      </c>
      <c r="C62" s="82" t="inlineStr">
        <is>
          <t>Air China CA902 11:50–13:55</t>
        </is>
      </c>
      <c r="D62" s="104" t="n">
        <v>0.08680555555555555</v>
      </c>
      <c r="E62" s="106" t="n"/>
      <c r="F62" s="107" t="n"/>
      <c r="G62" s="107" t="n"/>
      <c r="H62" s="107" t="n"/>
      <c r="I62" s="107" t="n"/>
      <c r="J62" s="107" t="n"/>
      <c r="K62" s="107" t="n"/>
      <c r="L62" s="107" t="n"/>
    </row>
    <row r="63" s="56">
      <c r="A63" s="105" t="inlineStr">
        <is>
          <t>12 Nov</t>
        </is>
      </c>
      <c r="B63" s="105" t="inlineStr">
        <is>
          <t>PEK arrival: immigration, bags</t>
        </is>
      </c>
      <c r="C63" s="82" t="inlineStr">
        <is>
          <t>—</t>
        </is>
      </c>
      <c r="D63" s="104" t="n">
        <v>0.03125</v>
      </c>
      <c r="E63" s="106" t="inlineStr">
        <is>
          <t>Estimate</t>
        </is>
      </c>
      <c r="F63" s="107" t="n"/>
      <c r="G63" s="107" t="n"/>
      <c r="H63" s="107" t="n"/>
      <c r="I63" s="107" t="n"/>
      <c r="J63" s="107" t="n"/>
      <c r="K63" s="107" t="n"/>
      <c r="L63" s="107" t="n"/>
    </row>
    <row r="64" s="56">
      <c r="A64" s="105" t="inlineStr">
        <is>
          <t>12 Nov</t>
        </is>
      </c>
      <c r="B64" s="105" t="inlineStr">
        <is>
          <t>PEK → Beijing Chaoyang station</t>
        </is>
      </c>
      <c r="C64" s="82" t="inlineStr">
        <is>
          <t>Taxi (~40 km)</t>
        </is>
      </c>
      <c r="D64" s="104" t="n">
        <v>0.03472222222222222</v>
      </c>
      <c r="E64" s="106" t="inlineStr">
        <is>
          <t>Estimate; at the station ~15:30, G153 at 17:27 (or G141 16:00)</t>
        </is>
      </c>
      <c r="F64" s="107" t="n"/>
      <c r="G64" s="107" t="n"/>
      <c r="H64" s="107" t="n"/>
      <c r="I64" s="107" t="n"/>
      <c r="J64" s="107" t="n"/>
      <c r="K64" s="107" t="n"/>
      <c r="L64" s="107" t="n"/>
    </row>
    <row r="65" s="56">
      <c r="A65" s="105" t="inlineStr">
        <is>
          <t>12 Nov</t>
        </is>
      </c>
      <c r="B65" s="105" t="inlineStr">
        <is>
          <t>Beijing Chaoyang → Shenyang</t>
        </is>
      </c>
      <c r="C65" s="82" t="inlineStr">
        <is>
          <t>G153 2nd class 17:27–20:04</t>
        </is>
      </c>
      <c r="D65" s="104" t="n">
        <v>0.1090277777777778</v>
      </c>
      <c r="E65" s="106" t="n"/>
      <c r="F65" s="107" t="n"/>
      <c r="G65" s="107" t="n"/>
      <c r="H65" s="107" t="n"/>
      <c r="I65" s="107" t="n"/>
      <c r="J65" s="107" t="n"/>
      <c r="K65" s="107" t="n"/>
      <c r="L65" s="107" t="n"/>
    </row>
    <row r="66" s="56">
      <c r="A66" s="105" t="inlineStr">
        <is>
          <t>12 Nov</t>
        </is>
      </c>
      <c r="B66" s="105" t="inlineStr">
        <is>
          <t>Shenyang station → hotel</t>
        </is>
      </c>
      <c r="C66" s="82" t="inlineStr">
        <is>
          <t>Taxi (~4 km)</t>
        </is>
      </c>
      <c r="D66" s="104" t="n">
        <v>0.01388888888888889</v>
      </c>
      <c r="E66" s="106" t="inlineStr">
        <is>
          <t>Check in ~20:30</t>
        </is>
      </c>
      <c r="F66" s="107" t="n"/>
      <c r="G66" s="107" t="n"/>
      <c r="H66" s="107" t="n"/>
      <c r="I66" s="107" t="n"/>
      <c r="J66" s="107" t="n"/>
      <c r="K66" s="107" t="n"/>
      <c r="L66" s="107" t="n"/>
    </row>
    <row r="67" s="56">
      <c r="A67" s="105" t="inlineStr">
        <is>
          <t>13–15 Nov</t>
        </is>
      </c>
      <c r="B67" s="105" t="inlineStr">
        <is>
          <t>Hotel ↔ NEU Nanhu (each way)</t>
        </is>
      </c>
      <c r="C67" s="82" t="inlineStr">
        <is>
          <t>Walk</t>
        </is>
      </c>
      <c r="D67" s="104" t="inlineStr">
        <is>
          <t>daily</t>
        </is>
      </c>
      <c r="E67" s="106" t="inlineStr">
        <is>
          <t>~15 min walk (Ji Hotel, 940 m straight line)</t>
        </is>
      </c>
      <c r="F67" s="107" t="n"/>
      <c r="G67" s="107" t="n"/>
      <c r="H67" s="107" t="n"/>
      <c r="I67" s="107" t="n"/>
      <c r="J67" s="107" t="n"/>
      <c r="K67" s="107" t="n"/>
      <c r="L67" s="107" t="n"/>
    </row>
    <row r="68" s="56">
      <c r="A68" s="105" t="inlineStr">
        <is>
          <t>15 Nov</t>
        </is>
      </c>
      <c r="B68" s="105" t="inlineStr">
        <is>
          <t>NEU Nanhu → Shenyang station</t>
        </is>
      </c>
      <c r="C68" s="82" t="inlineStr">
        <is>
          <t>Taxi</t>
        </is>
      </c>
      <c r="D68" s="104" t="n">
        <v>0.01388888888888889</v>
      </c>
      <c r="E68" s="106" t="n"/>
      <c r="F68" s="107" t="n"/>
      <c r="G68" s="107" t="n"/>
      <c r="H68" s="107" t="n"/>
      <c r="I68" s="107" t="n"/>
      <c r="J68" s="107" t="n"/>
      <c r="K68" s="107" t="n"/>
      <c r="L68" s="107" t="n"/>
    </row>
    <row r="69" s="56">
      <c r="A69" s="105" t="inlineStr">
        <is>
          <t>15–16 Nov</t>
        </is>
      </c>
      <c r="B69" s="105" t="inlineStr">
        <is>
          <t>Shenyang → Hohhot</t>
        </is>
      </c>
      <c r="C69" s="82" t="inlineStr">
        <is>
          <t>K1568 hard sleeper 22:50–17:02</t>
        </is>
      </c>
      <c r="D69" s="104" t="n">
        <v>0.7583333333333333</v>
      </c>
      <c r="E69" s="106" t="inlineStr">
        <is>
          <t>Overnight, after the contest</t>
        </is>
      </c>
      <c r="F69" s="107" t="n"/>
      <c r="G69" s="107" t="n"/>
      <c r="H69" s="107" t="n"/>
      <c r="I69" s="107" t="n"/>
      <c r="J69" s="107" t="n"/>
      <c r="K69" s="107" t="n"/>
      <c r="L69" s="107" t="n"/>
    </row>
    <row r="70" s="56">
      <c r="A70" s="105" t="inlineStr">
        <is>
          <t>16–17 Nov</t>
        </is>
      </c>
      <c r="B70" s="105" t="inlineStr">
        <is>
          <t>Hohhot → Erenhot</t>
        </is>
      </c>
      <c r="C70" s="82" t="inlineStr">
        <is>
          <t>4652 hard sleeper 22:50–06:50</t>
        </is>
      </c>
      <c r="D70" s="104" t="n">
        <v>0.3333333333333333</v>
      </c>
      <c r="E70" s="106" t="inlineStr">
        <is>
          <t>~6 h wait in Hohhot first (not counted)</t>
        </is>
      </c>
      <c r="F70" s="107" t="n"/>
      <c r="G70" s="107" t="n"/>
      <c r="H70" s="107" t="n"/>
      <c r="I70" s="107" t="n"/>
      <c r="J70" s="107" t="n"/>
      <c r="K70" s="107" t="n"/>
      <c r="L70" s="107" t="n"/>
    </row>
    <row r="71" s="56">
      <c r="A71" s="105" t="inlineStr">
        <is>
          <t>17 Nov</t>
        </is>
      </c>
      <c r="B71" s="105" t="inlineStr">
        <is>
          <t>Erenhot → Zamyn-Uud (border)</t>
        </is>
      </c>
      <c r="C71" s="82" t="inlineStr">
        <is>
          <t>Shared jeep</t>
        </is>
      </c>
      <c r="D71" s="104" t="n">
        <v>0.125</v>
      </c>
      <c r="E71" s="106" t="inlineStr">
        <is>
          <t>Estimate incl. both border posts</t>
        </is>
      </c>
      <c r="F71" s="107" t="n"/>
      <c r="G71" s="107" t="n"/>
      <c r="H71" s="107" t="n"/>
      <c r="I71" s="107" t="n"/>
      <c r="J71" s="107" t="n"/>
      <c r="K71" s="107" t="n"/>
      <c r="L71" s="107" t="n"/>
    </row>
    <row r="72">
      <c r="A72" s="105" t="inlineStr">
        <is>
          <t>17–18 Nov</t>
        </is>
      </c>
      <c r="B72" s="105" t="inlineStr">
        <is>
          <t>Zamyn-Uud → Ulaanbaatar</t>
        </is>
      </c>
      <c r="C72" s="82" t="inlineStr">
        <is>
          <t>UBTZ 275 platskart 18:05–09:20</t>
        </is>
      </c>
      <c r="D72" s="104" t="n">
        <v>0.6354166666666666</v>
      </c>
      <c r="E72" s="106" t="inlineStr">
        <is>
          <t>Wait in Zamyn-Uud not counted</t>
        </is>
      </c>
      <c r="F72" s="107" t="n"/>
      <c r="G72" s="107" t="n"/>
      <c r="H72" s="107" t="n"/>
      <c r="I72" s="107" t="n"/>
      <c r="J72" s="107" t="n"/>
      <c r="K72" s="107" t="n"/>
      <c r="L72" s="107" t="n"/>
    </row>
    <row r="73">
      <c r="A73" s="105" t="inlineStr">
        <is>
          <t>18 Nov</t>
        </is>
      </c>
      <c r="B73" s="105" t="inlineStr">
        <is>
          <t>Ulaanbaatar station → home</t>
        </is>
      </c>
      <c r="C73" s="82" t="inlineStr">
        <is>
          <t>Taxi</t>
        </is>
      </c>
      <c r="D73" s="104" t="n">
        <v>0.02083333333333333</v>
      </c>
      <c r="E73" s="106" t="n"/>
      <c r="F73" s="107" t="n"/>
      <c r="G73" s="107" t="n"/>
      <c r="H73" s="107" t="n"/>
      <c r="I73" s="107" t="n"/>
      <c r="J73" s="107" t="n"/>
      <c r="K73" s="107" t="n"/>
      <c r="L73" s="107" t="n"/>
    </row>
    <row r="75">
      <c r="C75" s="59" t="inlineStr">
        <is>
          <t>Total door-to-door</t>
        </is>
      </c>
      <c r="D75" s="109">
        <f>SUM(D61:D73)</f>
        <v/>
      </c>
    </row>
  </sheetData>
  <mergeCells count="24">
    <mergeCell ref="C52:L52"/>
    <mergeCell ref="E68:L68"/>
    <mergeCell ref="E71:L71"/>
    <mergeCell ref="B47:L47"/>
    <mergeCell ref="E62:L62"/>
    <mergeCell ref="B46:L46"/>
    <mergeCell ref="E67:L67"/>
    <mergeCell ref="C57:L57"/>
    <mergeCell ref="E73:L73"/>
    <mergeCell ref="C53:L53"/>
    <mergeCell ref="E64:L64"/>
    <mergeCell ref="E63:L63"/>
    <mergeCell ref="E69:L69"/>
    <mergeCell ref="E65:L65"/>
    <mergeCell ref="B44:L44"/>
    <mergeCell ref="C54:L54"/>
    <mergeCell ref="E70:L70"/>
    <mergeCell ref="E61:L61"/>
    <mergeCell ref="C55:L55"/>
    <mergeCell ref="C56:L56"/>
    <mergeCell ref="E72:L72"/>
    <mergeCell ref="E66:L66"/>
    <mergeCell ref="C51:L51"/>
    <mergeCell ref="B45:L4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two cheap rooms 1.8 km from the venue.</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Hi Inn (Hutai Road).</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~25 min walk (Hi Inn 1.8 km) or a ¥15 taxi</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Nonstop cheap rooms</t>
        </is>
      </c>
    </row>
    <row r="2" ht="15" customHeight="1" s="56">
      <c r="A2" s="62" t="inlineStr">
        <is>
          <t>Spring Airlines nonstops both ways (1 Dec out, 8 Dec back) as in 'Spring nonstop', but two cheap private rooms 1.8 km from the venue (Hi Inn 8.9 / Jtour Inn 8.6) instead of the apartment: 7 nights ¥1,784 / ¥1,652 instead of ¥2,984 / ¥3,766.</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Hi Inn Shanghai University Hutai Road (1.8 km, 8.9) – 3 ppl: 2 rooms (2 + 1 beds); 4 ppl: Jtour Inn Hotel Shanghai University (1.8 km, 8.6), 2 rooms of 2</t>
        </is>
      </c>
      <c r="C14" s="83" t="inlineStr">
        <is>
          <t>1–8 Dec (7 nights)</t>
        </is>
      </c>
      <c r="D14" s="81" t="n"/>
      <c r="E14" s="85">
        <f>1784/7</f>
        <v/>
      </c>
      <c r="F14" s="86" t="inlineStr">
        <is>
          <t>CNY</t>
        </is>
      </c>
      <c r="G14" s="91" t="n">
        <v>7</v>
      </c>
      <c r="H14" s="88">
        <f>E14*G14*IF(F14="USD",Compare!$B$8,IF(F14="CNY",Compare!$B$9,IF(F14="HKD",Compare!$B$10,1)))</f>
        <v/>
      </c>
      <c r="I14" s="85">
        <f>1652/7</f>
        <v/>
      </c>
      <c r="J14" s="91" t="n">
        <v>7</v>
      </c>
      <c r="K14" s="88">
        <f>I14*J14*IF(F14="USD",Compare!$B$8,IF(F14="CNY",Compare!$B$9,IF(F14="HKD",Compare!$B$10,1)))</f>
        <v/>
      </c>
      <c r="L14" s="112" t="inlineStr">
        <is>
          <t>Trip.com 10 Oct (Shanghai University landmark, Hotel + private-bathroom filters, lowest price first): Hi Inn Shanghai University Hutai Road (1.8 km walk, 8.9 from 423 reviews, Comfort Twin Room with fresh-air system) ¥1,784 for 7 nights, 2 rooms, for 3 ppl; Jtour Inn Hotel Shanghai University (1.8 km, 8.6 from 142 reviews) ¥1,652 for 4 ppl (2 rooms of 2; it is not offered for 3 adults). Cheaper but worse: Yibai Gucun Park (5.2 km, 7.9) ¥1,456, Boshi Changzhong Rd (2.5 km, 8.2) ¥1,568. Compare Jenny's Apartment, 1 room for 3: ¥2,984.</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(sale fares – book soon). The hotel is the cheapest decent private rooms near the venue: far-away rooms are only ¥200–330 cheaper in total, which is not worth a 1–2 h commute.</t>
        </is>
      </c>
    </row>
    <row r="42" ht="15" customHeight="1" s="56">
      <c r="A42" s="75" t="inlineStr">
        <is>
          <t>Trade-off</t>
        </is>
      </c>
      <c r="B42" s="74" t="inlineStr">
        <is>
          <t>Seven nights away (more class missed, more meals), hand-baggage-only fare (carry-on only saves ~₮1.0M), a 08:00 flight home from Pudong (leave the hotel ~05:00). The nights after the contest (6, 7 Dec) are ~¥500 for both rooms – 'Fly out, train home' drops them.</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Hi Inn (Hutai Road).</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Same time zone as China (UTC+8)</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~25 min walk (1.8 km) or a ¥15 taxi</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Fly out, train home</t>
        </is>
      </c>
    </row>
    <row r="2" ht="15" customHeight="1" s="56">
      <c r="A2" s="62" t="inlineStr">
        <is>
          <t>Spring nonstop out on 1 Dec (5 bed nights before the contest in two cheap rooms), then the D10 overnight seat to Beijing (¥294) right after the contest and Air China to UB on 7 Dec: no hotel nights and no meals after the contest, home a day earlier.</t>
        </is>
      </c>
    </row>
    <row r="4" ht="15" customHeight="1" s="56">
      <c r="A4" s="60" t="inlineStr">
        <is>
          <t>Days in destination (meals &amp; local transport)</t>
        </is>
      </c>
      <c r="B4" s="76" t="n">
        <v>6</v>
      </c>
      <c r="C4" s="62" t="inlineStr">
        <is>
          <t>1 Dec afternoon → 7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Flies Tue / Sat only; Sat 5 Dec would land 17:00, after registration closes</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CA955 12:55 $172 pp (08:25 also $172; MIAT 11:30 $193, SlickTrip $197). Checked bag included on Air China. The D10 arrives 09:24 + ~75 min to PEK, about 1 h of buffer before check-in closes</t>
        </is>
      </c>
    </row>
    <row r="12" ht="15" customHeight="1" s="56">
      <c r="A12" s="79" t="inlineStr">
        <is>
          <t>Trains and baggage</t>
        </is>
      </c>
      <c r="B12" s="80" t="n"/>
      <c r="C12" s="80" t="n"/>
      <c r="D12" s="80" t="n"/>
      <c r="E12" s="80" t="n"/>
      <c r="F12" s="80" t="n"/>
      <c r="G12" s="80" t="n"/>
      <c r="H12" s="80" t="n"/>
      <c r="I12" s="80" t="n"/>
      <c r="J12" s="80" t="n"/>
      <c r="K12" s="80" t="n"/>
      <c r="L12" s="80" t="n"/>
    </row>
    <row r="13" ht="45" customHeight="1" s="56">
      <c r="A13" s="81" t="n"/>
      <c r="B13" s="111" t="inlineStr">
        <is>
          <t>Checked baggage Spring Airlines (base fare = 1 hand bag only), 1 bag per person, outbound only</t>
        </is>
      </c>
      <c r="C13" s="83" t="inlineStr">
        <is>
          <t>1 Dec</t>
        </is>
      </c>
      <c r="D13" s="84" t="n"/>
      <c r="E13" s="85" t="n">
        <v>300</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ASSUMPTION ~300 CNY per checked bag (Spring sells bags from ~80–270 CNY online by weight tier, more at the airport). The Air China fare home includes a checked bag. Carry-on only saves ~₮0.5M for 3</t>
        </is>
      </c>
    </row>
    <row r="14" ht="60" customHeight="1" s="56">
      <c r="A14" s="81" t="n"/>
      <c r="B14" s="111" t="inlineStr">
        <is>
          <t>Overnight train D10 Shanghai South 21:05 → Beijing South 09:24 (+1), 2nd-class seat</t>
        </is>
      </c>
      <c r="C14" s="83" t="inlineStr">
        <is>
          <t>6 Dec (night)</t>
        </is>
      </c>
      <c r="D14" s="84" t="n">
        <v>0.5131944444444444</v>
      </c>
      <c r="E14" s="85" t="n">
        <v>294</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 fixed): D10 2nd-class seat ¥294 (sleeper ¥442); cheaper still: Z282 Songjiang 19:17 → Fengtai 09:52 hard seat ¥177.5 (needs Songjiang by ~18:30, tight after the awards), T110 Shanghai 16:30 → Beijing 08:33 hard seat ¥177.5 (leave before the awards). D6 21:15 → Beijing station 09:25 ¥338, D8 19:08 ¥361. Sales open 22 Nov 14:45 (ChinaTicketOnline)</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1–6 Dec (5 nights)</t>
        </is>
      </c>
      <c r="D16" s="81" t="n"/>
      <c r="E16" s="85">
        <f>1284/5</f>
        <v/>
      </c>
      <c r="F16" s="86" t="inlineStr">
        <is>
          <t>CNY</t>
        </is>
      </c>
      <c r="G16" s="91" t="n">
        <v>5</v>
      </c>
      <c r="H16" s="88">
        <f>E16*G16*IF(F16="USD",Compare!$B$8,IF(F16="CNY",Compare!$B$9,IF(F16="HKD",Compare!$B$10,1)))</f>
        <v/>
      </c>
      <c r="I16" s="85">
        <f>1180/5</f>
        <v/>
      </c>
      <c r="J16" s="91" t="n">
        <v>5</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¥1,284 for 5 nights, 2 rooms, for 3 ppl; Jtour Inn Hotel Shanghai University (1.8 km, 8.6 from 142 reviews) ¥1,180 for 4 ppl (2 rooms of 2; it is not offered for 3 adults). Cheaper but worse: Yibai Gucun Park (5.2 km, 7.9) ¥1,040, Boshi Changzhong Rd (2.5 km, 8.2) ¥1,120. Compare Jenny's Apartment, 1 room for 3: ¥2,132.</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PVG → hotel (Baoshan), arrival</t>
        </is>
      </c>
      <c r="C20" s="83" t="inlineStr">
        <is>
          <t>1 Dec</t>
        </is>
      </c>
      <c r="D20" s="84" t="n"/>
      <c r="E20" s="113" t="n">
        <v>220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~220 CNY per car, ~65 km (metro lines 2 + 7 take ~2 h, ~10 CNY pp)</t>
        </is>
      </c>
    </row>
    <row r="21" ht="30" customHeight="1" s="56">
      <c r="A21" s="81" t="n"/>
      <c r="B21" s="111" t="inlineStr">
        <is>
          <t>Taxi Shanghai University → Shanghai South station</t>
        </is>
      </c>
      <c r="C21" s="83" t="inlineStr">
        <is>
          <t>6 Dec</t>
        </is>
      </c>
      <c r="D21" s="84" t="n"/>
      <c r="E21" s="113" t="n">
        <v>90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~90 CNY per car (~25 km); metro lines 7 + 3 / 1 is ~1 h, ~8 CNY pp</t>
        </is>
      </c>
    </row>
    <row r="22" ht="30" customHeight="1" s="56">
      <c r="A22" s="81" t="n"/>
      <c r="B22" s="111" t="inlineStr">
        <is>
          <t>Beijing South → PEK (metro line 4 + 10 + Airport Express, or taxi)</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(~45 km, 60–75 min); metro + Airport Express is ~35 CNY pp. Leave the station by ~10:00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D10+D11+D14</f>
        <v/>
      </c>
      <c r="K40" s="104">
        <f>D10+D11+D14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Spring's sale fare is the cheapest way in, and the D10 seat + Air China costs about the same as the nonstop home once the two hotel nights, two days of meals and the Pudong taxi are counted. Home on 7 Dec instead of 8 Dec.</t>
        </is>
      </c>
    </row>
    <row r="46" ht="15" customHeight="1" s="56">
      <c r="A46" s="75" t="inlineStr">
        <is>
          <t>Trade-off</t>
        </is>
      </c>
      <c r="B46" s="74" t="inlineStr">
        <is>
          <t>Awards end ~17:00 and D10 leaves 21:05, so there is time to eat; ~12 h seated overnight in a train (sleeper ¥442 if you want to lie down) then straight to the airport: Beijing South → PEK needs ~75 min. Two tickets (Spring, Air China) so no through protection.</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Tue 1 Dec</t>
        </is>
      </c>
      <c r="B50" s="74" t="inlineStr">
        <is>
          <t>Shanghai</t>
        </is>
      </c>
      <c r="C50" s="74" t="inlineStr">
        <is>
          <t>Spring 9C6520 UB 13:00 → Shanghai Pudong 17:00; taxi to Hi Inn (Hutai Road).</t>
        </is>
      </c>
    </row>
    <row r="51" ht="15" customHeight="1" s="56">
      <c r="A51" s="74" t="inlineStr">
        <is>
          <t>Wed 2 – Fri 4 Dec</t>
        </is>
      </c>
      <c r="B51" s="74" t="inlineStr">
        <is>
          <t>Shanghai</t>
        </is>
      </c>
      <c r="C51" s="74" t="inlineStr">
        <is>
          <t>Rest / practice days (or sightseeing, lectures).</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Check out of the hotel in the morning (leave the bags at the venue / hotel desk), taxi to Shanghai South; D10 21:05 → Beijing South 09:24.</t>
        </is>
      </c>
    </row>
    <row r="54" ht="15" customHeight="1" s="56">
      <c r="A54" s="74" t="inlineStr">
        <is>
          <t>Mon 7 Dec</t>
        </is>
      </c>
      <c r="B54" s="74" t="inlineStr">
        <is>
          <t>Home</t>
        </is>
      </c>
      <c r="C54" s="74" t="inlineStr">
        <is>
          <t>Beijing South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1 Dec</t>
        </is>
      </c>
      <c r="B58" s="105" t="inlineStr">
        <is>
          <t>Home → Chinggis Khaan airport</t>
        </is>
      </c>
      <c r="C58" s="82" t="inlineStr">
        <is>
          <t>Taxi (~50 km)</t>
        </is>
      </c>
      <c r="D58" s="104" t="n">
        <v>0.04166666666666666</v>
      </c>
      <c r="E58" s="106" t="inlineStr">
        <is>
          <t>Leave ~10:00 for the 13:00 flight</t>
        </is>
      </c>
      <c r="F58" s="107" t="n"/>
      <c r="G58" s="107" t="n"/>
      <c r="H58" s="107" t="n"/>
      <c r="I58" s="107" t="n"/>
      <c r="J58" s="107" t="n"/>
      <c r="K58" s="107" t="n"/>
      <c r="L58" s="107" t="n"/>
    </row>
    <row r="59" ht="15" customHeight="1" s="56">
      <c r="A59" s="105" t="inlineStr">
        <is>
          <t>1 Dec</t>
        </is>
      </c>
      <c r="B59" s="105" t="inlineStr">
        <is>
          <t>Ulaanbaatar → Shanghai (PVG)</t>
        </is>
      </c>
      <c r="C59" s="82" t="inlineStr">
        <is>
          <t>Spring 9C6520 13:00–17:00</t>
        </is>
      </c>
      <c r="D59" s="104" t="n">
        <v>0.1666666666666667</v>
      </c>
      <c r="E59" s="106" t="inlineStr">
        <is>
          <t>Same time zone as China (UTC+8)</t>
        </is>
      </c>
      <c r="F59" s="107" t="n"/>
      <c r="G59" s="107" t="n"/>
      <c r="H59" s="107" t="n"/>
      <c r="I59" s="107" t="n"/>
      <c r="J59" s="107" t="n"/>
      <c r="K59" s="107" t="n"/>
      <c r="L59" s="107" t="n"/>
    </row>
    <row r="60" ht="15" customHeight="1" s="56">
      <c r="A60" s="105" t="inlineStr">
        <is>
          <t>1 Dec</t>
        </is>
      </c>
      <c r="B60" s="105" t="inlineStr">
        <is>
          <t>PVG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1 Dec</t>
        </is>
      </c>
      <c r="B61" s="105" t="inlineStr">
        <is>
          <t>PVG → hotel (Baoshan)</t>
        </is>
      </c>
      <c r="C61" s="82" t="inlineStr">
        <is>
          <t>Taxi (~65 km)</t>
        </is>
      </c>
      <c r="D61" s="104" t="n">
        <v>0.05208333333333334</v>
      </c>
      <c r="E61" s="106" t="inlineStr">
        <is>
          <t>Estimate; metro ~2 h</t>
        </is>
      </c>
      <c r="F61" s="107" t="n"/>
      <c r="G61" s="107" t="n"/>
      <c r="H61" s="107" t="n"/>
      <c r="I61" s="107" t="n"/>
      <c r="J61" s="107" t="n"/>
      <c r="K61" s="107" t="n"/>
      <c r="L61" s="107" t="n"/>
    </row>
    <row r="62" ht="15" customHeight="1" s="56">
      <c r="A62" s="105" t="inlineStr">
        <is>
          <t>5–6 Dec</t>
        </is>
      </c>
      <c r="B62" s="105" t="inlineStr">
        <is>
          <t>Hotel ↔ Shanghai University Baoshan (each way)</t>
        </is>
      </c>
      <c r="C62" s="82" t="inlineStr">
        <is>
          <t>Walk</t>
        </is>
      </c>
      <c r="D62" s="104" t="inlineStr">
        <is>
          <t>daily</t>
        </is>
      </c>
      <c r="E62" s="106" t="inlineStr">
        <is>
          <t>~25 min walk (Hi Inn 1.8 km) or a ¥15 taxi</t>
        </is>
      </c>
      <c r="F62" s="107" t="n"/>
      <c r="G62" s="107" t="n"/>
      <c r="H62" s="107" t="n"/>
      <c r="I62" s="107" t="n"/>
      <c r="J62" s="107" t="n"/>
      <c r="K62" s="107" t="n"/>
      <c r="L62" s="107" t="n"/>
    </row>
    <row r="63" ht="15" customHeight="1" s="56">
      <c r="A63" s="105" t="inlineStr">
        <is>
          <t>6 Dec</t>
        </is>
      </c>
      <c r="B63" s="105" t="inlineStr">
        <is>
          <t>Campus → Shanghai South station</t>
        </is>
      </c>
      <c r="C63" s="82" t="inlineStr">
        <is>
          <t>Taxi / metro</t>
        </is>
      </c>
      <c r="D63" s="104" t="n">
        <v>0.04166666666666666</v>
      </c>
      <c r="E63" s="106" t="inlineStr">
        <is>
          <t>Leave ~18:30 for the 21:05 train</t>
        </is>
      </c>
      <c r="F63" s="107" t="n"/>
      <c r="G63" s="107" t="n"/>
      <c r="H63" s="107" t="n"/>
      <c r="I63" s="107" t="n"/>
      <c r="J63" s="107" t="n"/>
      <c r="K63" s="107" t="n"/>
      <c r="L63" s="107" t="n"/>
    </row>
    <row r="64" ht="15" customHeight="1" s="56">
      <c r="A64" s="105" t="inlineStr">
        <is>
          <t>6–7 Dec</t>
        </is>
      </c>
      <c r="B64" s="105" t="inlineStr">
        <is>
          <t>Shanghai South → Beijing South</t>
        </is>
      </c>
      <c r="C64" s="82" t="inlineStr">
        <is>
          <t>D10 seat 21:05–09:24</t>
        </is>
      </c>
      <c r="D64" s="104" t="n">
        <v>0.5131944444444444</v>
      </c>
      <c r="E64" s="106" t="inlineStr">
        <is>
          <t>Overnight</t>
        </is>
      </c>
      <c r="F64" s="107" t="n"/>
      <c r="G64" s="107" t="n"/>
      <c r="H64" s="107" t="n"/>
      <c r="I64" s="107" t="n"/>
      <c r="J64" s="107" t="n"/>
      <c r="K64" s="107" t="n"/>
      <c r="L64" s="107" t="n"/>
    </row>
    <row r="65" ht="15" customHeight="1" s="56">
      <c r="A65" s="105" t="inlineStr">
        <is>
          <t>7 Dec</t>
        </is>
      </c>
      <c r="B65" s="105" t="inlineStr">
        <is>
          <t>Beijing South → PEK</t>
        </is>
      </c>
      <c r="C65" s="82" t="inlineStr">
        <is>
          <t>Metro line 4 + 10 + Airport Express / taxi</t>
        </is>
      </c>
      <c r="D65" s="104" t="n">
        <v>0.05208333333333334</v>
      </c>
      <c r="E65" s="106" t="inlineStr">
        <is>
          <t>Be at PEK by ~11:00</t>
        </is>
      </c>
      <c r="F65" s="107" t="n"/>
      <c r="G65" s="107" t="n"/>
      <c r="H65" s="107" t="n"/>
      <c r="I65" s="107" t="n"/>
      <c r="J65" s="107" t="n"/>
      <c r="K65" s="107" t="n"/>
      <c r="L65" s="107" t="n"/>
    </row>
    <row r="66" ht="15" customHeight="1" s="56">
      <c r="A66" s="105" t="inlineStr">
        <is>
          <t>7 Dec</t>
        </is>
      </c>
      <c r="B66" s="105" t="inlineStr">
        <is>
          <t>PEK check-in &amp; security</t>
        </is>
      </c>
      <c r="C66" s="82" t="inlineStr">
        <is>
          <t>—</t>
        </is>
      </c>
      <c r="D66" s="104" t="n">
        <v>0.0625</v>
      </c>
      <c r="E66" s="106" t="inlineStr">
        <is>
          <t>Estimate</t>
        </is>
      </c>
      <c r="F66" s="107" t="n"/>
      <c r="G66" s="107" t="n"/>
      <c r="H66" s="107" t="n"/>
      <c r="I66" s="107" t="n"/>
      <c r="J66" s="107" t="n"/>
      <c r="K66" s="107" t="n"/>
      <c r="L66" s="107" t="n"/>
    </row>
    <row r="67" ht="15" customHeight="1" s="56">
      <c r="A67" s="105" t="inlineStr">
        <is>
          <t>7 Dec</t>
        </is>
      </c>
      <c r="B67" s="105" t="inlineStr">
        <is>
          <t>Beijing (PEK) → Ulaanbaatar</t>
        </is>
      </c>
      <c r="C67" s="82" t="inlineStr">
        <is>
          <t>Air China CA955 12:55–15:05</t>
        </is>
      </c>
      <c r="D67" s="104" t="n">
        <v>0.09027777777777778</v>
      </c>
      <c r="E67" s="106" t="n"/>
      <c r="F67" s="107" t="n"/>
      <c r="G67" s="107" t="n"/>
      <c r="H67" s="107" t="n"/>
      <c r="I67" s="107" t="n"/>
      <c r="J67" s="107" t="n"/>
      <c r="K67" s="107" t="n"/>
      <c r="L67" s="107" t="n"/>
    </row>
    <row r="68" ht="15" customHeight="1" s="56">
      <c r="A68" s="105" t="inlineStr">
        <is>
          <t>7 Dec</t>
        </is>
      </c>
      <c r="B68" s="105" t="inlineStr">
        <is>
          <t>Chinggis Khaan airport → home</t>
        </is>
      </c>
      <c r="C68" s="82" t="inlineStr">
        <is>
          <t>Taxi</t>
        </is>
      </c>
      <c r="D68" s="104" t="n">
        <v>0.04166666666666666</v>
      </c>
      <c r="E68" s="106" t="n"/>
      <c r="F68" s="107" t="n"/>
      <c r="G68" s="107" t="n"/>
      <c r="H68" s="107" t="n"/>
      <c r="I68" s="107" t="n"/>
      <c r="J68" s="107" t="n"/>
      <c r="K68" s="107" t="n"/>
      <c r="L68" s="107" t="n"/>
    </row>
    <row r="69" ht="15" customHeight="1" s="56">
      <c r="A69" s="105" t="n"/>
      <c r="B69" s="105" t="n"/>
      <c r="C69" s="82" t="n"/>
      <c r="D69" s="104" t="n"/>
      <c r="E69" s="106" t="n"/>
      <c r="F69" s="107" t="n"/>
      <c r="G69" s="107" t="n"/>
      <c r="H69" s="107" t="n"/>
      <c r="I69" s="107" t="n"/>
      <c r="J69" s="107" t="n"/>
      <c r="K69" s="107" t="n"/>
      <c r="L69" s="107" t="n"/>
    </row>
    <row r="71" ht="15" customHeight="1" s="56">
      <c r="C71" s="59" t="inlineStr">
        <is>
          <t>Total door-to-door</t>
        </is>
      </c>
      <c r="D71" s="109">
        <f>SUM(D58:D68)</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Hi Inn (Hutai Road).</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~25 min walk (Hi Inn 1.8 km) or a ¥15 taxi</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8.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Funded 12M</t>
        </is>
      </c>
    </row>
    <row r="2" ht="15" customHeight="1" s="56">
      <c r="A2" s="62" t="inlineStr">
        <is>
          <t>For the funded regional (₮12M, coach travels): MIAT nonstop, two rooms at a hotel ~540 m from HKU (walk, no commute) so each contestant has a bed and the contest-eve sleep is protected; airport bus instead of the Airport Express to stay under the cap.</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(~540 m to HKU; 3 ppl 1 room; 4 ppl 2 rooms, 2 beds each)</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HK$2,139 (3 ppl) / HK$3,640 (4 ppl, 2 rooms) for 3 nights; rated 7.4 (4,583 reviews) on Booking.com, 8.2 (3,331) on Trip.com where 4 ppl / 2 rooms is HK$4,243. Read recent noise reviews; the cheaper guesthouses (Good Fortune Inn 8.6, 4 twin beds, HK$2,889) are ~35 min away by MTR</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A10 / A12 (HKG ↔ Sheung Wan / Sai Ying Pun), both ways</t>
        </is>
      </c>
      <c r="C17" s="83" t="inlineStr">
        <is>
          <t>8 &amp; 11 Jan</t>
        </is>
      </c>
      <c r="D17" s="81" t="n"/>
      <c r="E17" s="92" t="n">
        <v>90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~HK$45 per person each way on the A-route airport buses (about 45–60 min) instead of the HK$115 Airport Express (saves HK$140 pp, ~₮0.26M for 4 people)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Flights are fixed (MIAT nonstop is the cheapest way in). The only room for the ₮12M cap is the hotel and the airport transfer, so this plan uses 2 rooms at a hotel next to HKU and the airport bus.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Fits ₮12M only before the 10% contingency (about ₮11.7M); with contingency it is ~₮0.9M over. Lock the flights first – they are 70% of the cost. Read noise reviews for the hotel before booking.</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check in at the Sai Ying Pun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bus to Sheung Wan / Sai Ying Pun + walk</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Walk + airport bus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priority</t>
        </is>
      </c>
    </row>
    <row r="2" ht="15" customHeight="1" s="56">
      <c r="A2" s="62" t="inlineStr">
        <is>
          <t>Sleep over distance: MIAT nonstop, two rooms with four separate twin beds and private bathrooms in a well-reviewed guesthouse in Kowloon (~35–40 min MTR to HKU), airport bus; stays under the ₮12M cap before contingency.</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Good Fortune Inn, Kowloon (3 ppl: triple room; 4 ppl: 2 rooms, 2 twin beds each, private bathroom; ~35–40 min MTR to HKU)</t>
        </is>
      </c>
      <c r="C13" s="83" t="inlineStr">
        <is>
          <t>8–11 Jan (3 nights)</t>
        </is>
      </c>
      <c r="D13" s="81" t="n"/>
      <c r="E13" s="85" t="n">
        <v>586.33</v>
      </c>
      <c r="F13" s="86" t="inlineStr">
        <is>
          <t>HKD</t>
        </is>
      </c>
      <c r="G13" s="91" t="n">
        <v>3</v>
      </c>
      <c r="H13" s="88">
        <f>E13*G13*IF(F13="USD",Compare!$B$8,IF(F13="CNY",Compare!$B$9,IF(F13="HKD",Compare!$B$10,1)))</f>
        <v/>
      </c>
      <c r="I13" s="85" t="n">
        <v>963</v>
      </c>
      <c r="J13" s="91" t="n">
        <v>3</v>
      </c>
      <c r="K13" s="88">
        <f>I13*J13*IF(F13="USD",Compare!$B$8,IF(F13="CNY",Compare!$B$9,IF(F13="HKD",Compare!$B$10,1)))</f>
        <v/>
      </c>
      <c r="L13" s="90" t="inlineStr">
        <is>
          <t>Booking.com 10 Oct, 8–11 Jan: HK$1,759 (3 ppl, triple room) / HK$2,889 (4 ppl, 2 rooms with 4 twin beds) for 3 nights; rated 8.6 (715 reviews). Alternatives with real hotel rooms: ALVA Hotel by Royal, Tsuen Wan (8.5, 1,038 reviews) HK$3,890, two queen beds, ~50 min to HKU; Sleep Inn (8.4) HK$3,401 but one full bed per room (two people share a bed)</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A21 (HKG ↔ Kowloon / Yau Ma Tei), both ways</t>
        </is>
      </c>
      <c r="C17" s="83" t="inlineStr">
        <is>
          <t>8 &amp; 11 Jan</t>
        </is>
      </c>
      <c r="D17" s="81" t="n"/>
      <c r="E17" s="92" t="n">
        <v>80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~HK$40 per person each way on the A21 airport bus (~60 min) instead of the HK$115 Airport Express + walk</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on a coach's tracking page, but the 2025 regional was at HKUST (Clear Water Bay) – the site rotates, so confirm before paying for a hotel near any one campus.</t>
        </is>
      </c>
    </row>
    <row r="39" ht="15" customHeight="1" s="56">
      <c r="A39" s="75" t="inlineStr">
        <is>
          <t>Why this plan</t>
        </is>
      </c>
      <c r="B39" s="74" t="inlineStr">
        <is>
          <t>The hotel is chosen for the sleep, not the distance: every contestant has their own bed, a private bathroom and a quiet room; the flights are fixed. A guesthouse in Kowloon also keeps the team on the MTR whichever campus hosts.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~35–40 min each way on the MTR (wake ~06:15 for a 09:00 start; still ≥7.5 h in bed with lights out at 22:30). Request a high floor away from the street, bring earplugs. Guesthouse rooms are small. Fits ₮12M before the 10% contingency (about ₮11.3M).</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A21 to Yau Ma Tei, leave bags, check in at the guesthouse and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Good Fortune Inn</t>
        </is>
      </c>
      <c r="C55" s="82" t="inlineStr">
        <is>
          <t>Airport bus A21 + walk</t>
        </is>
      </c>
      <c r="D55" s="104" t="n">
        <v>0.04166666666666666</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~35–40 min MTR (Yau Ma Tei → Admiralty → HKU); leave ~07:15 for a 09:00 start</t>
        </is>
      </c>
      <c r="F56" s="107" t="n"/>
      <c r="G56" s="107" t="n"/>
      <c r="H56" s="107" t="n"/>
      <c r="I56" s="107" t="n"/>
      <c r="J56" s="107" t="n"/>
      <c r="K56" s="107" t="n"/>
      <c r="L56" s="107" t="n"/>
    </row>
    <row r="57" ht="26.85" customHeight="1" s="56">
      <c r="A57" s="105" t="inlineStr">
        <is>
          <t>11 Jan</t>
        </is>
      </c>
      <c r="B57" s="105" t="inlineStr">
        <is>
          <t>Guesthouse → HKG</t>
        </is>
      </c>
      <c r="C57" s="82" t="inlineStr">
        <is>
          <t>Airport bus A21 + walk</t>
        </is>
      </c>
      <c r="D57" s="104" t="n">
        <v>0.04166666666666666</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2026-09-30T14:38:02Z</dcterms:created>
  <dcterms:modified xsi:type="dcterms:W3CDTF">2026-10-22T02:35:18Z</dcterms:modified>
  <cp:revision>0</cp:revision>
</cp:coreProperties>
</file>