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ompare" sheetId="1" state="visible" r:id="rId1"/>
    <sheet name="Sleep check" sheetId="2" state="visible" r:id="rId2"/>
    <sheet name="Shenyang – Budget" sheetId="3" state="visible" r:id="rId3"/>
    <sheet name="Shenyang – Comfort" sheetId="4" state="visible" r:id="rId4"/>
    <sheet name="Shenyang – Budget (G-train)" sheetId="5" state="visible" r:id="rId5"/>
    <sheet name="Shenyang – Comfort (G-train)" sheetId="6" state="visible" r:id="rId6"/>
    <sheet name="Shenyang – Sleep first" sheetId="7" state="visible" r:id="rId7"/>
    <sheet name="Shenyang – Sleep value" sheetId="8" state="visible" r:id="rId8"/>
    <sheet name="Shenyang – Overland home" sheetId="9" state="visible" r:id="rId9"/>
    <sheet name="Shenyang – Overland out (seats)" sheetId="10" state="visible" r:id="rId10"/>
    <sheet name="Shenyang – Overland out, berths" sheetId="11" state="visible" r:id="rId11"/>
    <sheet name="Shenyang – Manzhouli seats" sheetId="12" state="visible" r:id="rId12"/>
    <sheet name="Shenyang – Hunnu Daxing + K341" sheetId="13" state="visible" r:id="rId13"/>
    <sheet name="Shenyang – MIAT 13 Nov + K341" sheetId="14" state="visible" r:id="rId14"/>
    <sheet name="Shenyang – Hunnu Erenhot" sheetId="15" state="visible" r:id="rId15"/>
    <sheet name="Shenyang – Hohhot red-eye" sheetId="16" state="visible" r:id="rId16"/>
    <sheet name="Shenyang – Way out" sheetId="17" state="visible" r:id="rId17"/>
    <sheet name="Shanghai – Sleeper" sheetId="18" state="visible" r:id="rId18"/>
    <sheet name="Shanghai – Spring nonstop" sheetId="19" state="visible" r:id="rId19"/>
    <sheet name="Shanghai – Nonstop cheap rooms" sheetId="20" state="visible" r:id="rId20"/>
    <sheet name="Shanghai – Fly out, train home" sheetId="21" state="visible" r:id="rId21"/>
    <sheet name="Shanghai – Train (no sleeper)" sheetId="22" state="visible" r:id="rId22"/>
    <sheet name="Nanchang – Sleeper" sheetId="23" state="visible" r:id="rId23"/>
    <sheet name="Nanchang – Comfort" sheetId="24" state="visible" r:id="rId24"/>
    <sheet name="Nanchang – Fly in (Air China)" sheetId="25" state="visible" r:id="rId25"/>
    <sheet name="Hong Kong – Budget" sheetId="26" state="visible" r:id="rId26"/>
    <sheet name="Hong Kong – Comfort" sheetId="27" state="visible" r:id="rId27"/>
    <sheet name="Hong Kong – Value" sheetId="28" state="visible" r:id="rId28"/>
    <sheet name="Hong Kong – Sleep first" sheetId="29" state="visible" r:id="rId29"/>
    <sheet name="Hong Kong – Funded 12M" sheetId="30" state="visible" r:id="rId30"/>
    <sheet name="Hong Kong – Sleep priority" sheetId="31" state="visible" r:id="rId31"/>
    <sheet name="EC Final Hangzhou – Train" sheetId="32" state="visible" r:id="rId32"/>
    <sheet name="EC Final Hangzhou – Fly" sheetId="33" state="visible" r:id="rId33"/>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0&quot; ₮&quot;;\(#,##0&quot; ₮)&quot;;\-"/>
    <numFmt numFmtId="165" formatCode="[h]&quot; h &quot;mm&quot; min&quot;"/>
    <numFmt numFmtId="166" formatCode="#,##0.00;\(#,##0.00\);\-"/>
    <numFmt numFmtId="167" formatCode="0.#"/>
    <numFmt numFmtId="168" formatCode="[hh]:mm:ss"/>
  </numFmts>
  <fonts count="16">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i val="1"/>
      <color rgb="FF595959"/>
      <sz val="11"/>
    </font>
    <font>
      <name val="Arial"/>
      <charset val="1"/>
      <family val="0"/>
      <b val="1"/>
      <sz val="11"/>
    </font>
    <font>
      <name val="Arial"/>
      <charset val="1"/>
      <family val="0"/>
      <sz val="11"/>
    </font>
    <font>
      <name val="Arial"/>
      <charset val="1"/>
      <family val="0"/>
      <color rgb="FF0000FF"/>
      <sz val="11"/>
    </font>
    <font>
      <name val="Arial"/>
      <charset val="1"/>
      <family val="0"/>
      <b val="1"/>
      <color rgb="FFFFFFFF"/>
      <sz val="11"/>
    </font>
    <font>
      <name val="Arial"/>
      <charset val="1"/>
      <family val="0"/>
      <color rgb="FF008000"/>
      <sz val="11"/>
    </font>
    <font>
      <name val="Arial"/>
      <charset val="1"/>
      <family val="0"/>
      <b val="1"/>
      <sz val="12"/>
    </font>
    <font>
      <name val="Arial"/>
      <charset val="1"/>
      <family val="0"/>
      <color rgb="FF595959"/>
      <sz val="9"/>
    </font>
    <font>
      <b val="1"/>
      <sz val="13"/>
    </font>
    <font>
      <b val="1"/>
      <color rgb="00FFFFFF"/>
    </font>
    <font>
      <b val="1"/>
    </font>
  </fonts>
  <fills count="13">
    <fill>
      <patternFill/>
    </fill>
    <fill>
      <patternFill patternType="gray125"/>
    </fill>
    <fill>
      <patternFill patternType="solid">
        <fgColor rgb="FFFFFF00"/>
        <bgColor rgb="FFFFFF00"/>
      </patternFill>
    </fill>
    <fill>
      <patternFill patternType="solid">
        <fgColor rgb="FF1F3864"/>
        <bgColor rgb="FF333333"/>
      </patternFill>
    </fill>
    <fill>
      <patternFill patternType="solid">
        <fgColor rgb="FFDDEBF7"/>
        <bgColor rgb="FFD9E1F2"/>
      </patternFill>
    </fill>
    <fill>
      <patternFill patternType="solid">
        <fgColor rgb="FFFCE4D6"/>
        <bgColor rgb="FFE2EFDA"/>
      </patternFill>
    </fill>
    <fill>
      <patternFill patternType="solid">
        <fgColor rgb="FFE2EFDA"/>
        <bgColor rgb="FFDDEBF7"/>
      </patternFill>
    </fill>
    <fill>
      <patternFill patternType="solid">
        <fgColor rgb="FFD9E1F2"/>
        <bgColor rgb="FFDDEBF7"/>
      </patternFill>
    </fill>
    <fill>
      <patternFill patternType="solid">
        <fgColor rgb="FFFFFF00"/>
      </patternFill>
    </fill>
    <fill>
      <patternFill patternType="solid">
        <fgColor rgb="001F3864"/>
      </patternFill>
    </fill>
    <fill>
      <patternFill patternType="solid">
        <fgColor rgb="00E2EFDA"/>
      </patternFill>
    </fill>
    <fill>
      <patternFill patternType="solid">
        <fgColor rgb="00FCE4D6"/>
      </patternFill>
    </fill>
    <fill>
      <patternFill patternType="solid">
        <fgColor rgb="00FFF2CC"/>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diagonal/>
    </border>
    <border>
      <left/>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top" wrapText="1"/>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164" fontId="8" fillId="2" borderId="1" applyAlignment="1" pivotButton="0" quotePrefix="0" xfId="0">
      <alignment horizontal="general" vertical="bottom"/>
    </xf>
    <xf numFmtId="0" fontId="5" fillId="0" borderId="0" applyAlignment="1" pivotButton="0" quotePrefix="0" xfId="0">
      <alignment horizontal="general" vertical="bottom"/>
    </xf>
    <xf numFmtId="1" fontId="8" fillId="2" borderId="1" applyAlignment="1" pivotButton="0" quotePrefix="0" xfId="0">
      <alignment horizontal="general" vertical="bottom"/>
    </xf>
    <xf numFmtId="3" fontId="8" fillId="2" borderId="1" applyAlignment="1" pivotButton="0" quotePrefix="0" xfId="0">
      <alignment horizontal="general" vertical="bottom"/>
    </xf>
    <xf numFmtId="9" fontId="8" fillId="2" borderId="1"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bottom"/>
    </xf>
    <xf numFmtId="164" fontId="10" fillId="4" borderId="1" applyAlignment="1" pivotButton="0" quotePrefix="0" xfId="0">
      <alignment horizontal="general" vertical="bottom"/>
    </xf>
    <xf numFmtId="164" fontId="10" fillId="5" borderId="1" applyAlignment="1" pivotButton="0" quotePrefix="0" xfId="0">
      <alignment horizontal="general" vertical="bottom"/>
    </xf>
    <xf numFmtId="164" fontId="10" fillId="6" borderId="1" applyAlignment="1" pivotButton="0" quotePrefix="0" xfId="0">
      <alignment horizontal="general" vertical="bottom"/>
    </xf>
    <xf numFmtId="165" fontId="10" fillId="0" borderId="1" applyAlignment="1" pivotButton="0" quotePrefix="0" xfId="0">
      <alignment horizontal="general" vertical="bottom"/>
    </xf>
    <xf numFmtId="0" fontId="11" fillId="0" borderId="0" applyAlignment="1" pivotButton="0" quotePrefix="0" xfId="0">
      <alignment horizontal="general" vertical="bottom"/>
    </xf>
    <xf numFmtId="0" fontId="6" fillId="6" borderId="0" applyAlignment="1" pivotButton="0" quotePrefix="0" xfId="0">
      <alignment horizontal="general" vertical="top" wrapText="1"/>
    </xf>
    <xf numFmtId="0" fontId="7" fillId="0" borderId="0" applyAlignment="1" pivotButton="0" quotePrefix="0" xfId="0">
      <alignment horizontal="general" vertical="top" wrapText="1"/>
    </xf>
    <xf numFmtId="0" fontId="6" fillId="0" borderId="0" applyAlignment="1" pivotButton="0" quotePrefix="0" xfId="0">
      <alignment horizontal="general" vertical="top" wrapText="1"/>
    </xf>
    <xf numFmtId="0" fontId="8" fillId="2" borderId="1" applyAlignment="1" pivotButton="0" quotePrefix="0" xfId="0">
      <alignment horizontal="general" vertical="bottom"/>
    </xf>
    <xf numFmtId="0" fontId="6" fillId="4" borderId="0" applyAlignment="1" pivotButton="0" quotePrefix="0" xfId="0">
      <alignment horizontal="general" vertical="bottom"/>
    </xf>
    <xf numFmtId="0" fontId="0" fillId="4" borderId="0" applyAlignment="1" pivotButton="0" quotePrefix="0" xfId="0">
      <alignment horizontal="general" vertical="bottom"/>
    </xf>
    <xf numFmtId="0" fontId="6" fillId="7" borderId="0" applyAlignment="1" pivotButton="0" quotePrefix="0" xfId="0">
      <alignment horizontal="general" vertical="bottom"/>
    </xf>
    <xf numFmtId="0" fontId="0" fillId="7" borderId="0" applyAlignment="1" pivotButton="0" quotePrefix="0" xfId="0">
      <alignment horizontal="general" vertical="bottom"/>
    </xf>
    <xf numFmtId="0" fontId="0" fillId="0" borderId="1" applyAlignment="1" pivotButton="0" quotePrefix="0" xfId="0">
      <alignment horizontal="general" vertical="bottom"/>
    </xf>
    <xf numFmtId="0" fontId="7" fillId="0" borderId="1" applyAlignment="1" pivotButton="0" quotePrefix="0" xfId="0">
      <alignment horizontal="general" vertical="bottom" wrapText="1"/>
    </xf>
    <xf numFmtId="0" fontId="7" fillId="0" borderId="1" applyAlignment="1" pivotButton="0" quotePrefix="0" xfId="0">
      <alignment horizontal="general" vertical="bottom"/>
    </xf>
    <xf numFmtId="165"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10" fillId="0" borderId="1" applyAlignment="1" pivotButton="0" quotePrefix="0" xfId="0">
      <alignment horizontal="general" vertical="bottom"/>
    </xf>
    <xf numFmtId="164" fontId="0" fillId="0" borderId="1" applyAlignment="1" pivotButton="0" quotePrefix="0" xfId="0">
      <alignment horizontal="general" vertical="bottom"/>
    </xf>
    <xf numFmtId="166" fontId="7" fillId="0" borderId="1" applyAlignment="1" pivotButton="0" quotePrefix="0" xfId="0">
      <alignment horizontal="general" vertical="bottom"/>
    </xf>
    <xf numFmtId="0" fontId="12" fillId="0" borderId="1" applyAlignment="1" pivotButton="0" quotePrefix="0" xfId="0">
      <alignment horizontal="general" vertical="bottom" wrapText="1"/>
    </xf>
    <xf numFmtId="167" fontId="8" fillId="0" borderId="1" applyAlignment="1" pivotButton="0" quotePrefix="0" xfId="0">
      <alignment horizontal="general" vertical="bottom"/>
    </xf>
    <xf numFmtId="166" fontId="8" fillId="2" borderId="1" applyAlignment="1" pivotButton="0" quotePrefix="0" xfId="0">
      <alignment horizontal="general" vertical="bottom"/>
    </xf>
    <xf numFmtId="166" fontId="7" fillId="2" borderId="1" applyAlignment="1" pivotButton="0" quotePrefix="0" xfId="0">
      <alignment horizontal="general" vertical="bottom"/>
    </xf>
    <xf numFmtId="0" fontId="6" fillId="5" borderId="0" applyAlignment="1" pivotButton="0" quotePrefix="0" xfId="0">
      <alignment horizontal="general" vertical="bottom"/>
    </xf>
    <xf numFmtId="0" fontId="0" fillId="5" borderId="0" applyAlignment="1" pivotButton="0" quotePrefix="0" xfId="0">
      <alignment horizontal="general" vertical="bottom"/>
    </xf>
    <xf numFmtId="0" fontId="9" fillId="3" borderId="0" applyAlignment="1" pivotButton="0" quotePrefix="0" xfId="0">
      <alignment horizontal="general" vertical="bottom"/>
    </xf>
    <xf numFmtId="0" fontId="6" fillId="0" borderId="0" applyAlignment="1" pivotButton="0" quotePrefix="0" xfId="0">
      <alignment horizontal="right" vertical="bottom"/>
    </xf>
    <xf numFmtId="164" fontId="6" fillId="4" borderId="1" applyAlignment="1" pivotButton="0" quotePrefix="0" xfId="0">
      <alignment horizontal="general" vertical="bottom"/>
    </xf>
    <xf numFmtId="0" fontId="7" fillId="0" borderId="0" applyAlignment="1" pivotButton="0" quotePrefix="0" xfId="0">
      <alignment horizontal="right" vertical="bottom"/>
    </xf>
    <xf numFmtId="164" fontId="7" fillId="4" borderId="1" applyAlignment="1" pivotButton="0" quotePrefix="0" xfId="0">
      <alignment horizontal="general" vertical="bottom"/>
    </xf>
    <xf numFmtId="164" fontId="6" fillId="0" borderId="1" applyAlignment="1" pivotButton="0" quotePrefix="0" xfId="0">
      <alignment horizontal="general" vertical="bottom"/>
    </xf>
    <xf numFmtId="164" fontId="6" fillId="5" borderId="1" applyAlignment="1" pivotButton="0" quotePrefix="0" xfId="0">
      <alignment horizontal="general" vertical="bottom"/>
    </xf>
    <xf numFmtId="164" fontId="6" fillId="6" borderId="1" applyAlignment="1" pivotButton="0" quotePrefix="0" xfId="0">
      <alignment horizontal="general" vertical="bottom"/>
    </xf>
    <xf numFmtId="165" fontId="7" fillId="0" borderId="1" applyAlignment="1" pivotButton="0" quotePrefix="0" xfId="0">
      <alignment horizontal="general" vertical="bottom"/>
    </xf>
    <xf numFmtId="0" fontId="7" fillId="0" borderId="1" applyAlignment="1" pivotButton="0" quotePrefix="0" xfId="0">
      <alignment horizontal="general" vertical="top" wrapText="1"/>
    </xf>
    <xf numFmtId="0" fontId="12" fillId="0" borderId="2" applyAlignment="1" pivotButton="0" quotePrefix="0" xfId="0">
      <alignment horizontal="general" vertical="bottom"/>
    </xf>
    <xf numFmtId="0" fontId="0" fillId="0" borderId="4" pivotButton="0" quotePrefix="0" xfId="0"/>
    <xf numFmtId="0" fontId="5" fillId="0" borderId="1" applyAlignment="1" pivotButton="0" quotePrefix="0" xfId="0">
      <alignment horizontal="general" vertical="bottom"/>
    </xf>
    <xf numFmtId="165" fontId="6" fillId="6" borderId="0" applyAlignment="1" pivotButton="0" quotePrefix="0" xfId="0">
      <alignment horizontal="general" vertical="bottom"/>
    </xf>
    <xf numFmtId="168" fontId="5" fillId="0" borderId="1" applyAlignment="1" pivotButton="0" quotePrefix="0" xfId="0">
      <alignment horizontal="general" vertical="bottom"/>
    </xf>
    <xf numFmtId="0" fontId="7" fillId="0" borderId="1" applyAlignment="1" pivotButton="0" quotePrefix="0" xfId="0">
      <alignment vertical="top" wrapText="1"/>
    </xf>
    <xf numFmtId="0" fontId="12" fillId="0" borderId="1" applyAlignment="1" pivotButton="0" quotePrefix="0" xfId="0">
      <alignment vertical="top" wrapText="1"/>
    </xf>
    <xf numFmtId="166" fontId="8" fillId="8" borderId="1" applyAlignment="1" pivotButton="0" quotePrefix="0" xfId="0">
      <alignment horizontal="general" vertical="bottom"/>
    </xf>
    <xf numFmtId="166" fontId="7" fillId="8" borderId="1" applyAlignment="1" pivotButton="0" quotePrefix="0" xfId="0">
      <alignment horizontal="general" vertical="bottom"/>
    </xf>
    <xf numFmtId="0" fontId="13" fillId="0" borderId="0" pivotButton="0" quotePrefix="0" xfId="0"/>
    <xf numFmtId="0" fontId="0" fillId="0" borderId="0" applyAlignment="1" pivotButton="0" quotePrefix="0" xfId="0">
      <alignment vertical="top" wrapText="1"/>
    </xf>
    <xf numFmtId="0" fontId="14" fillId="9" borderId="0" applyAlignment="1" pivotButton="0" quotePrefix="0" xfId="0">
      <alignment vertical="top" wrapText="1"/>
    </xf>
    <xf numFmtId="0" fontId="15" fillId="0" borderId="0" applyAlignment="1" pivotButton="0" quotePrefix="0" xfId="0">
      <alignment vertical="top" wrapText="1"/>
    </xf>
    <xf numFmtId="0" fontId="15" fillId="10" borderId="0" applyAlignment="1" pivotButton="0" quotePrefix="0" xfId="0">
      <alignment vertical="top" wrapText="1"/>
    </xf>
    <xf numFmtId="0" fontId="15" fillId="11" borderId="0" applyAlignment="1" pivotButton="0" quotePrefix="0" xfId="0">
      <alignment vertical="top" wrapText="1"/>
    </xf>
    <xf numFmtId="0" fontId="15" fillId="12" borderId="0" applyAlignment="1" pivotButton="0" quotePrefix="0" xfId="0">
      <alignment vertical="top" wrapText="1"/>
    </xf>
    <xf numFmtId="0" fontId="15" fillId="0" borderId="0" pivotButton="0" quotePrefix="0" xfId="0"/>
    <xf numFmtId="0" fontId="10" fillId="0" borderId="1" applyAlignment="1" pivotButton="0" quotePrefix="0" xfId="0">
      <alignment horizontal="general" vertical="bottom"/>
    </xf>
    <xf numFmtId="164" fontId="10" fillId="0" borderId="1"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M6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55" min="1" max="1"/>
    <col width="17" customWidth="1" style="55" min="2" max="11"/>
    <col width="22" customWidth="1" style="56" min="12" max="12"/>
    <col width="24" customWidth="1" style="56" min="13" max="13"/>
  </cols>
  <sheetData>
    <row r="1" ht="17.35" customHeight="1" s="56">
      <c r="A1" s="57" t="inlineStr">
        <is>
          <t>ICPC single-contest trip plans — Shenyang, Shanghai, Nanchang, Hong Kong, EC Final Hangzhou</t>
        </is>
      </c>
    </row>
    <row r="2" ht="42" customHeight="1" s="56">
      <c r="A2" s="58" t="inlineStr">
        <is>
          <t>Each trip planned as if it is the only contest attended. Two to three variants per contest. Two scenarios: the UNFUNDED regional (3 contestants pay everything) and the FUNDED regional (₮12M from the university, coach travels: 4 people). University funding covers flights, trains, hotels, meals &amp; local transport; contest fees and 'Other' are personal. Prices: Trip.com / 12306 / ChinaTicketOnline / SlickTrip / Booking.com checked 30 Sep – 22 Oct 2026. Blue = inputs; yellow = key assumptions; green = links.</t>
        </is>
      </c>
    </row>
    <row r="4" ht="15" customHeight="1" s="56">
      <c r="A4" s="59" t="inlineStr">
        <is>
          <t>Shared inputs</t>
        </is>
      </c>
    </row>
    <row r="5" ht="15" customHeight="1" s="56">
      <c r="A5" s="60" t="inlineStr">
        <is>
          <t>University funding – funded regional (MNT)</t>
        </is>
      </c>
      <c r="B5" s="61" t="n">
        <v>12000000</v>
      </c>
      <c r="C5" s="62" t="inlineStr">
        <is>
          <t>One regional is funded with ₮12M and the coach travels (4 people: 3 contestants + coach); used in every "4 ppl" column</t>
        </is>
      </c>
    </row>
    <row r="6" ht="15" customHeight="1" s="56">
      <c r="A6" s="60" t="inlineStr">
        <is>
          <t>Travelers – unfunded regional</t>
        </is>
      </c>
      <c r="B6" s="63" t="n">
        <v>3</v>
      </c>
      <c r="C6" s="62" t="inlineStr">
        <is>
          <t>3 contestants, one room, everyone pays</t>
        </is>
      </c>
    </row>
    <row r="7" ht="15" customHeight="1" s="56">
      <c r="A7" s="60" t="inlineStr">
        <is>
          <t>Travelers – funded regional (with coach)</t>
        </is>
      </c>
      <c r="B7" s="63" t="n">
        <v>4</v>
      </c>
      <c r="C7" s="62" t="inlineStr">
        <is>
          <t>3 contestants + coach, two rooms (or one family room for 4)</t>
        </is>
      </c>
    </row>
    <row r="8" ht="15" customHeight="1" s="56">
      <c r="A8" s="60" t="inlineStr">
        <is>
          <t>USD → MNT</t>
        </is>
      </c>
      <c r="B8" s="64" t="n">
        <v>3598</v>
      </c>
      <c r="C8" s="62" t="inlineStr">
        <is>
          <t>Mid-market, Xe/Investing.com, 29–30 Sep 2026</t>
        </is>
      </c>
    </row>
    <row r="9" ht="15" customHeight="1" s="56">
      <c r="A9" s="60" t="inlineStr">
        <is>
          <t>CNY → MNT</t>
        </is>
      </c>
      <c r="B9" s="64" t="n">
        <v>536</v>
      </c>
      <c r="C9" s="62" t="inlineStr">
        <is>
          <t>Mid-market, Xe/currency.wiki, late Sep 2026</t>
        </is>
      </c>
    </row>
    <row r="10" ht="15" customHeight="1" s="56">
      <c r="A10" s="60" t="inlineStr">
        <is>
          <t>HKD → MNT</t>
        </is>
      </c>
      <c r="B10" s="64" t="n">
        <v>461</v>
      </c>
      <c r="C10" s="62" t="inlineStr">
        <is>
          <t>Derived from USD rate and the HKD peg (~7.8 HKD per USD)</t>
        </is>
      </c>
    </row>
    <row r="11" ht="15" customHeight="1" s="56">
      <c r="A11" s="60" t="inlineStr">
        <is>
          <t>Contingency % (on university-paid part)</t>
        </is>
      </c>
      <c r="B11" s="65" t="n">
        <v>0.1</v>
      </c>
      <c r="C11" s="62" t="inlineStr">
        <is>
          <t>Buffer for fare changes, FX spread, extras</t>
        </is>
      </c>
    </row>
    <row r="12">
      <c r="A12" s="60" t="inlineStr">
        <is>
          <t>University funding – unfunded regional (MNT)</t>
        </is>
      </c>
      <c r="B12" s="61" t="n">
        <v>0</v>
      </c>
      <c r="C12" s="62" t="inlineStr">
        <is>
          <t>The other regional is unfunded: the 3 contestants pay everything themselves; used in every "3 ppl" column</t>
        </is>
      </c>
    </row>
    <row r="13" ht="15" customHeight="1" s="56">
      <c r="A13" s="59" t="inlineStr">
        <is>
          <t>Side-by-side (all figures incl. 10% contingency on the travel + stay part). 3 ppl = the UNFUNDED regional, 4 ppl = the FUNDED regional (₮12M, coach travels)</t>
        </is>
      </c>
    </row>
    <row r="14" ht="45" customHeight="1" s="56">
      <c r="A14" s="66" t="inlineStr">
        <is>
          <t>Plan</t>
        </is>
      </c>
      <c r="B14" s="66" t="inlineStr">
        <is>
          <t>Travel + stay total – 3 ppl (unfunded: paid by the contestants)</t>
        </is>
      </c>
      <c r="C14" s="66" t="inlineStr">
        <is>
          <t>Funding left – 3 ppl (funding ₮0)</t>
        </is>
      </c>
      <c r="D14" s="66" t="inlineStr">
        <is>
          <t>Cost per person – 3 ppl (everything incl. fee)</t>
        </is>
      </c>
      <c r="E14" s="66" t="inlineStr">
        <is>
          <t>Travel + stay total – 4 ppl (funded)</t>
        </is>
      </c>
      <c r="F14" s="66" t="inlineStr">
        <is>
          <t>Left of the ₮12M – 4 ppl (negative = over)</t>
        </is>
      </c>
      <c r="G14" s="66" t="inlineStr">
        <is>
          <t>Out-of-pocket per person – 4 ppl (fee, UB taxi, insurance, eSIM)</t>
        </is>
      </c>
      <c r="H14" s="66" t="inlineStr">
        <is>
          <t>Whole trip – 3 ppl</t>
        </is>
      </c>
      <c r="I14" s="66" t="inlineStr">
        <is>
          <t>Whole trip – 4 ppl</t>
        </is>
      </c>
      <c r="J14" s="66" t="inlineStr">
        <is>
          <t>Planes &amp; trains</t>
        </is>
      </c>
      <c r="K14" s="66" t="inlineStr">
        <is>
          <t>Door-to-door</t>
        </is>
      </c>
      <c r="L14" s="66" t="inlineStr">
        <is>
          <t>Fits ₮12M incl. 10% contingency?</t>
        </is>
      </c>
      <c r="M14" s="66" t="inlineStr">
        <is>
          <t>Left of ₮12M before contingency (4 ppl)</t>
        </is>
      </c>
    </row>
    <row r="15" ht="15" customHeight="1" s="56">
      <c r="A15" s="67" t="inlineStr">
        <is>
          <t>Shenyang – Budget</t>
        </is>
      </c>
      <c r="B15" s="68">
        <f>'Shenyang – Budget'!H34</f>
        <v/>
      </c>
      <c r="C15" s="68">
        <f>'Shenyang – Budget'!H35</f>
        <v/>
      </c>
      <c r="D15" s="69">
        <f>'Shenyang – Budget'!H37</f>
        <v/>
      </c>
      <c r="E15" s="68">
        <f>'Shenyang – Budget'!K34</f>
        <v/>
      </c>
      <c r="F15" s="68">
        <f>'Shenyang – Budget'!K35</f>
        <v/>
      </c>
      <c r="G15" s="69">
        <f>'Shenyang – Budget'!K37</f>
        <v/>
      </c>
      <c r="H15" s="70">
        <f>'Shenyang – Budget'!H38</f>
        <v/>
      </c>
      <c r="I15" s="70">
        <f>'Shenyang – Budget'!K38</f>
        <v/>
      </c>
      <c r="J15" s="71">
        <f>'Shenyang – Budget'!H39</f>
        <v/>
      </c>
      <c r="K15" s="71">
        <f>'Shenyang – Budget'!D69</f>
        <v/>
      </c>
      <c r="L15" s="123">
        <f>IF(F15&gt;=0,"yes","over by "&amp;TEXT(-F15,"#,##0")&amp;" ₮")</f>
        <v/>
      </c>
      <c r="M15" s="68">
        <f>Compare!$B$5-E15/(1+Compare!$B$11)</f>
        <v/>
      </c>
    </row>
    <row r="16" ht="15" customHeight="1" s="56">
      <c r="A16" s="67" t="inlineStr">
        <is>
          <t>Shenyang – Comfort</t>
        </is>
      </c>
      <c r="B16" s="68">
        <f>'Shenyang – Comfort'!H33</f>
        <v/>
      </c>
      <c r="C16" s="68">
        <f>'Shenyang – Comfort'!H34</f>
        <v/>
      </c>
      <c r="D16" s="69">
        <f>'Shenyang – Comfort'!H36</f>
        <v/>
      </c>
      <c r="E16" s="68">
        <f>'Shenyang – Comfort'!K33</f>
        <v/>
      </c>
      <c r="F16" s="68">
        <f>'Shenyang – Comfort'!K34</f>
        <v/>
      </c>
      <c r="G16" s="69">
        <f>'Shenyang – Comfort'!K36</f>
        <v/>
      </c>
      <c r="H16" s="70">
        <f>'Shenyang – Comfort'!H37</f>
        <v/>
      </c>
      <c r="I16" s="70">
        <f>'Shenyang – Comfort'!K37</f>
        <v/>
      </c>
      <c r="J16" s="71">
        <f>'Shenyang – Comfort'!H38</f>
        <v/>
      </c>
      <c r="K16" s="71">
        <f>'Shenyang – Comfort'!D68</f>
        <v/>
      </c>
      <c r="L16" s="123">
        <f>IF(F16&gt;=0,"yes","over by "&amp;TEXT(-F16,"#,##0")&amp;" ₮")</f>
        <v/>
      </c>
      <c r="M16" s="68">
        <f>Compare!$B$5-E16/(1+Compare!$B$11)</f>
        <v/>
      </c>
    </row>
    <row r="17" ht="15" customHeight="1" s="56">
      <c r="A17" s="67" t="inlineStr">
        <is>
          <t>Shenyang – Budget (G-train)</t>
        </is>
      </c>
      <c r="B17" s="68">
        <f>'Shenyang – Budget (G-train)'!H35</f>
        <v/>
      </c>
      <c r="C17" s="68">
        <f>'Shenyang – Budget (G-train)'!H36</f>
        <v/>
      </c>
      <c r="D17" s="69">
        <f>'Shenyang – Budget (G-train)'!H38</f>
        <v/>
      </c>
      <c r="E17" s="68">
        <f>'Shenyang – Budget (G-train)'!K35</f>
        <v/>
      </c>
      <c r="F17" s="68">
        <f>'Shenyang – Budget (G-train)'!K36</f>
        <v/>
      </c>
      <c r="G17" s="69">
        <f>'Shenyang – Budget (G-train)'!K38</f>
        <v/>
      </c>
      <c r="H17" s="70">
        <f>'Shenyang – Budget (G-train)'!H39</f>
        <v/>
      </c>
      <c r="I17" s="70">
        <f>'Shenyang – Budget (G-train)'!K39</f>
        <v/>
      </c>
      <c r="J17" s="71">
        <f>'Shenyang – Budget (G-train)'!H40</f>
        <v/>
      </c>
      <c r="K17" s="71">
        <f>'Shenyang – Budget (G-train)'!D70</f>
        <v/>
      </c>
      <c r="L17" s="123">
        <f>IF(F17&gt;=0,"yes","over by "&amp;TEXT(-F17,"#,##0")&amp;" ₮")</f>
        <v/>
      </c>
      <c r="M17" s="68">
        <f>Compare!$B$5-E17/(1+Compare!$B$11)</f>
        <v/>
      </c>
    </row>
    <row r="18" ht="15" customHeight="1" s="56">
      <c r="A18" s="67" t="inlineStr">
        <is>
          <t>Shenyang – Comfort (G-train)</t>
        </is>
      </c>
      <c r="B18" s="68">
        <f>'Shenyang – Comfort (G-train)'!H35</f>
        <v/>
      </c>
      <c r="C18" s="68">
        <f>'Shenyang – Comfort (G-train)'!H36</f>
        <v/>
      </c>
      <c r="D18" s="69">
        <f>'Shenyang – Comfort (G-train)'!H38</f>
        <v/>
      </c>
      <c r="E18" s="68">
        <f>'Shenyang – Comfort (G-train)'!K35</f>
        <v/>
      </c>
      <c r="F18" s="68">
        <f>'Shenyang – Comfort (G-train)'!K36</f>
        <v/>
      </c>
      <c r="G18" s="69">
        <f>'Shenyang – Comfort (G-train)'!K38</f>
        <v/>
      </c>
      <c r="H18" s="70">
        <f>'Shenyang – Comfort (G-train)'!H39</f>
        <v/>
      </c>
      <c r="I18" s="70">
        <f>'Shenyang – Comfort (G-train)'!K39</f>
        <v/>
      </c>
      <c r="J18" s="71">
        <f>'Shenyang – Comfort (G-train)'!H40</f>
        <v/>
      </c>
      <c r="K18" s="71">
        <f>'Shenyang – Comfort (G-train)'!D71</f>
        <v/>
      </c>
      <c r="L18" s="123">
        <f>IF(F18&gt;=0,"yes","over by "&amp;TEXT(-F18,"#,##0")&amp;" ₮")</f>
        <v/>
      </c>
      <c r="M18" s="68">
        <f>Compare!$B$5-E18/(1+Compare!$B$11)</f>
        <v/>
      </c>
    </row>
    <row r="19" ht="15" customHeight="1" s="56">
      <c r="A19" s="67" t="inlineStr">
        <is>
          <t>Shenyang – Sleep first</t>
        </is>
      </c>
      <c r="B19" s="68">
        <f>'Shenyang – Sleep first'!H34</f>
        <v/>
      </c>
      <c r="C19" s="68">
        <f>'Shenyang – Sleep first'!H35</f>
        <v/>
      </c>
      <c r="D19" s="69">
        <f>'Shenyang – Sleep first'!H37</f>
        <v/>
      </c>
      <c r="E19" s="68">
        <f>'Shenyang – Sleep first'!K34</f>
        <v/>
      </c>
      <c r="F19" s="68">
        <f>'Shenyang – Sleep first'!K35</f>
        <v/>
      </c>
      <c r="G19" s="69">
        <f>'Shenyang – Sleep first'!K37</f>
        <v/>
      </c>
      <c r="H19" s="70">
        <f>'Shenyang – Sleep first'!H38</f>
        <v/>
      </c>
      <c r="I19" s="70">
        <f>'Shenyang – Sleep first'!K38</f>
        <v/>
      </c>
      <c r="J19" s="71">
        <f>'Shenyang – Sleep first'!H39</f>
        <v/>
      </c>
      <c r="K19" s="71">
        <f>'Shenyang – Sleep first'!D70</f>
        <v/>
      </c>
      <c r="L19" s="123">
        <f>IF(F19&gt;=0,"yes","over by "&amp;TEXT(-F19,"#,##0")&amp;" ₮")</f>
        <v/>
      </c>
      <c r="M19" s="68">
        <f>Compare!$B$5-E19/(1+Compare!$B$11)</f>
        <v/>
      </c>
    </row>
    <row r="20" ht="15" customHeight="1" s="56">
      <c r="A20" s="67" t="inlineStr">
        <is>
          <t>Shenyang – Sleep value</t>
        </is>
      </c>
      <c r="B20" s="68">
        <f>'Shenyang – Sleep value'!H34</f>
        <v/>
      </c>
      <c r="C20" s="68">
        <f>'Shenyang – Sleep value'!H35</f>
        <v/>
      </c>
      <c r="D20" s="69">
        <f>'Shenyang – Sleep value'!H37</f>
        <v/>
      </c>
      <c r="E20" s="68">
        <f>'Shenyang – Sleep value'!K34</f>
        <v/>
      </c>
      <c r="F20" s="68">
        <f>'Shenyang – Sleep value'!K35</f>
        <v/>
      </c>
      <c r="G20" s="69">
        <f>'Shenyang – Sleep value'!K37</f>
        <v/>
      </c>
      <c r="H20" s="70">
        <f>'Shenyang – Sleep value'!H38</f>
        <v/>
      </c>
      <c r="I20" s="70">
        <f>'Shenyang – Sleep value'!K38</f>
        <v/>
      </c>
      <c r="J20" s="71">
        <f>'Shenyang – Sleep value'!H39</f>
        <v/>
      </c>
      <c r="K20" s="71">
        <f>'Shenyang – Sleep value'!D70</f>
        <v/>
      </c>
      <c r="L20" s="123">
        <f>IF(F20&gt;=0,"yes","over by "&amp;TEXT(-F20,"#,##0")&amp;" ₮")</f>
        <v/>
      </c>
      <c r="M20" s="68">
        <f>Compare!$B$5-E20/(1+Compare!$B$11)</f>
        <v/>
      </c>
    </row>
    <row r="21" ht="15" customHeight="1" s="56">
      <c r="A21" s="67" t="inlineStr">
        <is>
          <t>Shenyang – Overland home</t>
        </is>
      </c>
      <c r="B21" s="68">
        <f>'Shenyang – Overland home'!H36</f>
        <v/>
      </c>
      <c r="C21" s="68">
        <f>'Shenyang – Overland home'!H37</f>
        <v/>
      </c>
      <c r="D21" s="69">
        <f>'Shenyang – Overland home'!H39</f>
        <v/>
      </c>
      <c r="E21" s="68">
        <f>'Shenyang – Overland home'!K36</f>
        <v/>
      </c>
      <c r="F21" s="68">
        <f>'Shenyang – Overland home'!K37</f>
        <v/>
      </c>
      <c r="G21" s="69">
        <f>'Shenyang – Overland home'!K39</f>
        <v/>
      </c>
      <c r="H21" s="70">
        <f>'Shenyang – Overland home'!H40</f>
        <v/>
      </c>
      <c r="I21" s="70">
        <f>'Shenyang – Overland home'!K40</f>
        <v/>
      </c>
      <c r="J21" s="71">
        <f>'Shenyang – Overland home'!H41</f>
        <v/>
      </c>
      <c r="K21" s="71">
        <f>'Shenyang – Overland home'!D75</f>
        <v/>
      </c>
      <c r="L21" s="123">
        <f>IF(F21&gt;=0,"yes","over by "&amp;TEXT(-F21,"#,##0")&amp;" ₮")</f>
        <v/>
      </c>
      <c r="M21" s="68">
        <f>Compare!$B$5-E21/(1+Compare!$B$11)</f>
        <v/>
      </c>
    </row>
    <row r="22" ht="15" customHeight="1" s="56">
      <c r="A22" s="67" t="inlineStr">
        <is>
          <t>Shenyang – Overland out (seats)</t>
        </is>
      </c>
      <c r="B22" s="68">
        <f>'Shenyang – Overland out (seats)'!H36</f>
        <v/>
      </c>
      <c r="C22" s="68">
        <f>'Shenyang – Overland out (seats)'!H37</f>
        <v/>
      </c>
      <c r="D22" s="69">
        <f>'Shenyang – Overland out (seats)'!H39</f>
        <v/>
      </c>
      <c r="E22" s="68">
        <f>'Shenyang – Overland out (seats)'!K36</f>
        <v/>
      </c>
      <c r="F22" s="68">
        <f>'Shenyang – Overland out (seats)'!K37</f>
        <v/>
      </c>
      <c r="G22" s="69">
        <f>'Shenyang – Overland out (seats)'!K39</f>
        <v/>
      </c>
      <c r="H22" s="70">
        <f>'Shenyang – Overland out (seats)'!H40</f>
        <v/>
      </c>
      <c r="I22" s="70">
        <f>'Shenyang – Overland out (seats)'!K40</f>
        <v/>
      </c>
      <c r="J22" s="71">
        <f>'Shenyang – Overland out (seats)'!H41</f>
        <v/>
      </c>
      <c r="K22" s="71">
        <f>'Shenyang – Overland out (seats)'!D71</f>
        <v/>
      </c>
      <c r="L22" s="123">
        <f>IF(F22&gt;=0,"yes","over by "&amp;TEXT(-F22,"#,##0")&amp;" ₮")</f>
        <v/>
      </c>
      <c r="M22" s="68">
        <f>Compare!$B$5-E22/(1+Compare!$B$11)</f>
        <v/>
      </c>
    </row>
    <row r="23" ht="15" customHeight="1" s="56">
      <c r="A23" s="67" t="inlineStr">
        <is>
          <t>Shenyang – Overland out, berths</t>
        </is>
      </c>
      <c r="B23" s="68">
        <f>'Shenyang – Overland out, berths'!H36</f>
        <v/>
      </c>
      <c r="C23" s="68">
        <f>'Shenyang – Overland out, berths'!H37</f>
        <v/>
      </c>
      <c r="D23" s="69">
        <f>'Shenyang – Overland out, berths'!H39</f>
        <v/>
      </c>
      <c r="E23" s="68">
        <f>'Shenyang – Overland out, berths'!K36</f>
        <v/>
      </c>
      <c r="F23" s="68">
        <f>'Shenyang – Overland out, berths'!K37</f>
        <v/>
      </c>
      <c r="G23" s="69">
        <f>'Shenyang – Overland out, berths'!K39</f>
        <v/>
      </c>
      <c r="H23" s="70">
        <f>'Shenyang – Overland out, berths'!H40</f>
        <v/>
      </c>
      <c r="I23" s="70">
        <f>'Shenyang – Overland out, berths'!K40</f>
        <v/>
      </c>
      <c r="J23" s="71">
        <f>'Shenyang – Overland out, berths'!H41</f>
        <v/>
      </c>
      <c r="K23" s="71">
        <f>'Shenyang – Overland out, berths'!D71</f>
        <v/>
      </c>
      <c r="L23" s="123">
        <f>IF(F23&gt;=0,"yes","over by "&amp;TEXT(-F23,"#,##0")&amp;" ₮")</f>
        <v/>
      </c>
      <c r="M23" s="68">
        <f>Compare!$B$5-E23/(1+Compare!$B$11)</f>
        <v/>
      </c>
    </row>
    <row r="24" ht="15" customHeight="1" s="56">
      <c r="A24" s="67" t="inlineStr">
        <is>
          <t>Shenyang – Manzhouli seats</t>
        </is>
      </c>
      <c r="B24" s="68">
        <f>'Shenyang – Manzhouli seats'!H35</f>
        <v/>
      </c>
      <c r="C24" s="68">
        <f>'Shenyang – Manzhouli seats'!H36</f>
        <v/>
      </c>
      <c r="D24" s="69">
        <f>'Shenyang – Manzhouli seats'!H38</f>
        <v/>
      </c>
      <c r="E24" s="68">
        <f>'Shenyang – Manzhouli seats'!K35</f>
        <v/>
      </c>
      <c r="F24" s="68">
        <f>'Shenyang – Manzhouli seats'!K36</f>
        <v/>
      </c>
      <c r="G24" s="69">
        <f>'Shenyang – Manzhouli seats'!K38</f>
        <v/>
      </c>
      <c r="H24" s="70">
        <f>'Shenyang – Manzhouli seats'!H39</f>
        <v/>
      </c>
      <c r="I24" s="70">
        <f>'Shenyang – Manzhouli seats'!K39</f>
        <v/>
      </c>
      <c r="J24" s="71">
        <f>'Shenyang – Manzhouli seats'!H40</f>
        <v/>
      </c>
      <c r="K24" s="71">
        <f>'Shenyang – Manzhouli seats'!D72</f>
        <v/>
      </c>
      <c r="L24" s="123">
        <f>IF(F24&gt;=0,"yes","over by "&amp;TEXT(-F24,"#,##0")&amp;" ₮")</f>
        <v/>
      </c>
      <c r="M24" s="68">
        <f>Compare!$B$5-E24/(1+Compare!$B$11)</f>
        <v/>
      </c>
    </row>
    <row r="25" ht="15" customHeight="1" s="56">
      <c r="A25" s="67" t="inlineStr">
        <is>
          <t>Shenyang – Hunnu Daxing + K341</t>
        </is>
      </c>
      <c r="B25" s="68">
        <f>'Shenyang – Hunnu Daxing + K341'!H34</f>
        <v/>
      </c>
      <c r="C25" s="68">
        <f>'Shenyang – Hunnu Daxing + K341'!H35</f>
        <v/>
      </c>
      <c r="D25" s="69">
        <f>'Shenyang – Hunnu Daxing + K341'!H37</f>
        <v/>
      </c>
      <c r="E25" s="68">
        <f>'Shenyang – Hunnu Daxing + K341'!K34</f>
        <v/>
      </c>
      <c r="F25" s="68">
        <f>'Shenyang – Hunnu Daxing + K341'!K35</f>
        <v/>
      </c>
      <c r="G25" s="69">
        <f>'Shenyang – Hunnu Daxing + K341'!K37</f>
        <v/>
      </c>
      <c r="H25" s="70">
        <f>'Shenyang – Hunnu Daxing + K341'!H38</f>
        <v/>
      </c>
      <c r="I25" s="70">
        <f>'Shenyang – Hunnu Daxing + K341'!K38</f>
        <v/>
      </c>
      <c r="J25" s="71">
        <f>'Shenyang – Hunnu Daxing + K341'!H39</f>
        <v/>
      </c>
      <c r="K25" s="71">
        <f>'Shenyang – Hunnu Daxing + K341'!D68</f>
        <v/>
      </c>
      <c r="L25" s="123">
        <f>IF(F25&gt;=0,"yes","over by "&amp;TEXT(-F25,"#,##0")&amp;" ₮")</f>
        <v/>
      </c>
      <c r="M25" s="68">
        <f>Compare!$B$5-E25/(1+Compare!$B$11)</f>
        <v/>
      </c>
    </row>
    <row r="26" ht="15" customHeight="1" s="56">
      <c r="A26" s="67" t="inlineStr">
        <is>
          <t>Shenyang – MIAT 13 Nov + K341</t>
        </is>
      </c>
      <c r="B26" s="68">
        <f>'Shenyang – MIAT 13 Nov + K341'!H34</f>
        <v/>
      </c>
      <c r="C26" s="68">
        <f>'Shenyang – MIAT 13 Nov + K341'!H35</f>
        <v/>
      </c>
      <c r="D26" s="69">
        <f>'Shenyang – MIAT 13 Nov + K341'!H37</f>
        <v/>
      </c>
      <c r="E26" s="68">
        <f>'Shenyang – MIAT 13 Nov + K341'!K34</f>
        <v/>
      </c>
      <c r="F26" s="68">
        <f>'Shenyang – MIAT 13 Nov + K341'!K35</f>
        <v/>
      </c>
      <c r="G26" s="69">
        <f>'Shenyang – MIAT 13 Nov + K341'!K37</f>
        <v/>
      </c>
      <c r="H26" s="70">
        <f>'Shenyang – MIAT 13 Nov + K341'!H38</f>
        <v/>
      </c>
      <c r="I26" s="70">
        <f>'Shenyang – MIAT 13 Nov + K341'!K38</f>
        <v/>
      </c>
      <c r="J26" s="71">
        <f>'Shenyang – MIAT 13 Nov + K341'!H39</f>
        <v/>
      </c>
      <c r="K26" s="71">
        <f>'Shenyang – MIAT 13 Nov + K341'!D68</f>
        <v/>
      </c>
      <c r="L26" s="123">
        <f>IF(F26&gt;=0,"yes","over by "&amp;TEXT(-F26,"#,##0")&amp;" ₮")</f>
        <v/>
      </c>
      <c r="M26" s="68">
        <f>Compare!$B$5-E26/(1+Compare!$B$11)</f>
        <v/>
      </c>
    </row>
    <row r="27" ht="15" customHeight="1" s="56">
      <c r="A27" s="67" t="inlineStr">
        <is>
          <t>Shenyang – Hunnu Erenhot</t>
        </is>
      </c>
      <c r="B27" s="68">
        <f>'Shenyang – Hunnu Erenhot'!H35</f>
        <v/>
      </c>
      <c r="C27" s="68">
        <f>'Shenyang – Hunnu Erenhot'!H36</f>
        <v/>
      </c>
      <c r="D27" s="69">
        <f>'Shenyang – Hunnu Erenhot'!H38</f>
        <v/>
      </c>
      <c r="E27" s="68">
        <f>'Shenyang – Hunnu Erenhot'!K35</f>
        <v/>
      </c>
      <c r="F27" s="68">
        <f>'Shenyang – Hunnu Erenhot'!K36</f>
        <v/>
      </c>
      <c r="G27" s="69">
        <f>'Shenyang – Hunnu Erenhot'!K38</f>
        <v/>
      </c>
      <c r="H27" s="70">
        <f>'Shenyang – Hunnu Erenhot'!H39</f>
        <v/>
      </c>
      <c r="I27" s="70">
        <f>'Shenyang – Hunnu Erenhot'!K39</f>
        <v/>
      </c>
      <c r="J27" s="71">
        <f>'Shenyang – Hunnu Erenhot'!H40</f>
        <v/>
      </c>
      <c r="K27" s="71">
        <f>'Shenyang – Hunnu Erenhot'!D69</f>
        <v/>
      </c>
      <c r="L27" s="123">
        <f>IF(F27&gt;=0,"yes","over by "&amp;TEXT(-F27,"#,##0")&amp;" ₮")</f>
        <v/>
      </c>
      <c r="M27" s="68">
        <f>Compare!$B$5-E27/(1+Compare!$B$11)</f>
        <v/>
      </c>
    </row>
    <row r="28" ht="15" customHeight="1" s="56">
      <c r="A28" s="67" t="inlineStr">
        <is>
          <t>Shenyang – Hohhot red-eye</t>
        </is>
      </c>
      <c r="B28" s="68">
        <f>'Shenyang – Hohhot red-eye'!H35</f>
        <v/>
      </c>
      <c r="C28" s="68">
        <f>'Shenyang – Hohhot red-eye'!H36</f>
        <v/>
      </c>
      <c r="D28" s="69">
        <f>'Shenyang – Hohhot red-eye'!H38</f>
        <v/>
      </c>
      <c r="E28" s="68">
        <f>'Shenyang – Hohhot red-eye'!K35</f>
        <v/>
      </c>
      <c r="F28" s="68">
        <f>'Shenyang – Hohhot red-eye'!K36</f>
        <v/>
      </c>
      <c r="G28" s="69">
        <f>'Shenyang – Hohhot red-eye'!K38</f>
        <v/>
      </c>
      <c r="H28" s="70">
        <f>'Shenyang – Hohhot red-eye'!H39</f>
        <v/>
      </c>
      <c r="I28" s="70">
        <f>'Shenyang – Hohhot red-eye'!K39</f>
        <v/>
      </c>
      <c r="J28" s="71">
        <f>'Shenyang – Hohhot red-eye'!H40</f>
        <v/>
      </c>
      <c r="K28" s="71">
        <f>'Shenyang – Hohhot red-eye'!D72</f>
        <v/>
      </c>
      <c r="L28" s="123">
        <f>IF(F28&gt;=0,"yes","over by "&amp;TEXT(-F28,"#,##0")&amp;" ₮")</f>
        <v/>
      </c>
      <c r="M28" s="68">
        <f>Compare!$B$5-E28/(1+Compare!$B$11)</f>
        <v/>
      </c>
    </row>
    <row r="29" ht="15" customHeight="1" s="56">
      <c r="A29" s="67" t="inlineStr">
        <is>
          <t>Shanghai – Sleeper</t>
        </is>
      </c>
      <c r="B29" s="68">
        <f>'Shanghai – Sleeper'!H35</f>
        <v/>
      </c>
      <c r="C29" s="68">
        <f>'Shanghai – Sleeper'!H36</f>
        <v/>
      </c>
      <c r="D29" s="69">
        <f>'Shanghai – Sleeper'!H38</f>
        <v/>
      </c>
      <c r="E29" s="68">
        <f>'Shanghai – Sleeper'!K35</f>
        <v/>
      </c>
      <c r="F29" s="68">
        <f>'Shanghai – Sleeper'!K36</f>
        <v/>
      </c>
      <c r="G29" s="69">
        <f>'Shanghai – Sleeper'!K38</f>
        <v/>
      </c>
      <c r="H29" s="70">
        <f>'Shanghai – Sleeper'!H39</f>
        <v/>
      </c>
      <c r="I29" s="70">
        <f>'Shanghai – Sleeper'!K39</f>
        <v/>
      </c>
      <c r="J29" s="71">
        <f>'Shanghai – Sleeper'!H40</f>
        <v/>
      </c>
      <c r="K29" s="71">
        <f>'Shanghai – Sleeper'!D71</f>
        <v/>
      </c>
      <c r="L29" s="123">
        <f>IF(F29&gt;=0,"yes","over by "&amp;TEXT(-F29,"#,##0")&amp;" ₮")</f>
        <v/>
      </c>
      <c r="M29" s="68">
        <f>Compare!$B$5-E29/(1+Compare!$B$11)</f>
        <v/>
      </c>
    </row>
    <row r="30" ht="15" customHeight="1" s="56">
      <c r="A30" s="67" t="inlineStr">
        <is>
          <t>Shanghai – Spring nonstop</t>
        </is>
      </c>
      <c r="B30" s="68">
        <f>'Shanghai – Spring nonstop'!H31</f>
        <v/>
      </c>
      <c r="C30" s="68">
        <f>'Shanghai – Spring nonstop'!H32</f>
        <v/>
      </c>
      <c r="D30" s="69">
        <f>'Shanghai – Spring nonstop'!H34</f>
        <v/>
      </c>
      <c r="E30" s="68">
        <f>'Shanghai – Spring nonstop'!K31</f>
        <v/>
      </c>
      <c r="F30" s="68">
        <f>'Shanghai – Spring nonstop'!K32</f>
        <v/>
      </c>
      <c r="G30" s="69">
        <f>'Shanghai – Spring nonstop'!K34</f>
        <v/>
      </c>
      <c r="H30" s="70">
        <f>'Shanghai – Spring nonstop'!H35</f>
        <v/>
      </c>
      <c r="I30" s="70">
        <f>'Shanghai – Spring nonstop'!K35</f>
        <v/>
      </c>
      <c r="J30" s="71">
        <f>'Shanghai – Spring nonstop'!H36</f>
        <v/>
      </c>
      <c r="K30" s="71">
        <f>'Shanghai – Spring nonstop'!D65</f>
        <v/>
      </c>
      <c r="L30" s="123">
        <f>IF(F30&gt;=0,"yes","over by "&amp;TEXT(-F30,"#,##0")&amp;" ₮")</f>
        <v/>
      </c>
      <c r="M30" s="68">
        <f>Compare!$B$5-E30/(1+Compare!$B$11)</f>
        <v/>
      </c>
    </row>
    <row r="31" ht="15" customHeight="1" s="56">
      <c r="A31" s="67" t="inlineStr">
        <is>
          <t>Shanghai – Nonstop cheap rooms</t>
        </is>
      </c>
      <c r="B31" s="68">
        <f>'Shanghai – Nonstop cheap rooms'!H31</f>
        <v/>
      </c>
      <c r="C31" s="68">
        <f>'Shanghai – Nonstop cheap rooms'!H32</f>
        <v/>
      </c>
      <c r="D31" s="69">
        <f>'Shanghai – Nonstop cheap rooms'!H34</f>
        <v/>
      </c>
      <c r="E31" s="68">
        <f>'Shanghai – Nonstop cheap rooms'!K31</f>
        <v/>
      </c>
      <c r="F31" s="68">
        <f>'Shanghai – Nonstop cheap rooms'!K32</f>
        <v/>
      </c>
      <c r="G31" s="69">
        <f>'Shanghai – Nonstop cheap rooms'!K34</f>
        <v/>
      </c>
      <c r="H31" s="70">
        <f>'Shanghai – Nonstop cheap rooms'!H35</f>
        <v/>
      </c>
      <c r="I31" s="70">
        <f>'Shanghai – Nonstop cheap rooms'!K35</f>
        <v/>
      </c>
      <c r="J31" s="71">
        <f>'Shanghai – Nonstop cheap rooms'!H36</f>
        <v/>
      </c>
      <c r="K31" s="71">
        <f>'Shanghai – Nonstop cheap rooms'!D65</f>
        <v/>
      </c>
      <c r="L31" s="123">
        <f>IF(F31&gt;=0,"yes","over by "&amp;TEXT(-F31,"#,##0")&amp;" ₮")</f>
        <v/>
      </c>
      <c r="M31" s="68">
        <f>Compare!$B$5-E31/(1+Compare!$B$11)</f>
        <v/>
      </c>
    </row>
    <row r="32" ht="15" customHeight="1" s="56">
      <c r="A32" s="67" t="inlineStr">
        <is>
          <t>Shanghai – Fly out, train home</t>
        </is>
      </c>
      <c r="B32" s="68">
        <f>'Shanghai – Fly out, train home'!H35</f>
        <v/>
      </c>
      <c r="C32" s="68">
        <f>'Shanghai – Fly out, train home'!H36</f>
        <v/>
      </c>
      <c r="D32" s="69">
        <f>'Shanghai – Fly out, train home'!H38</f>
        <v/>
      </c>
      <c r="E32" s="68">
        <f>'Shanghai – Fly out, train home'!K35</f>
        <v/>
      </c>
      <c r="F32" s="68">
        <f>'Shanghai – Fly out, train home'!K36</f>
        <v/>
      </c>
      <c r="G32" s="69">
        <f>'Shanghai – Fly out, train home'!K38</f>
        <v/>
      </c>
      <c r="H32" s="70">
        <f>'Shanghai – Fly out, train home'!H39</f>
        <v/>
      </c>
      <c r="I32" s="70">
        <f>'Shanghai – Fly out, train home'!K39</f>
        <v/>
      </c>
      <c r="J32" s="71">
        <f>'Shanghai – Fly out, train home'!H40</f>
        <v/>
      </c>
      <c r="K32" s="71">
        <f>'Shanghai – Fly out, train home'!D71</f>
        <v/>
      </c>
      <c r="L32" s="123">
        <f>IF(F32&gt;=0,"yes","over by "&amp;TEXT(-F32,"#,##0")&amp;" ₮")</f>
        <v/>
      </c>
      <c r="M32" s="68">
        <f>Compare!$B$5-E32/(1+Compare!$B$11)</f>
        <v/>
      </c>
    </row>
    <row r="33" s="56">
      <c r="A33" s="67" t="inlineStr">
        <is>
          <t>Shanghai – Train (no sleeper)</t>
        </is>
      </c>
      <c r="B33" s="68">
        <f>'Shanghai – Train (no sleeper)'!H37</f>
        <v/>
      </c>
      <c r="C33" s="68">
        <f>'Shanghai – Train (no sleeper)'!H38</f>
        <v/>
      </c>
      <c r="D33" s="69">
        <f>'Shanghai – Train (no sleeper)'!H40</f>
        <v/>
      </c>
      <c r="E33" s="68">
        <f>'Shanghai – Train (no sleeper)'!K37</f>
        <v/>
      </c>
      <c r="F33" s="68">
        <f>'Shanghai – Train (no sleeper)'!K38</f>
        <v/>
      </c>
      <c r="G33" s="69">
        <f>'Shanghai – Train (no sleeper)'!K40</f>
        <v/>
      </c>
      <c r="H33" s="70">
        <f>'Shanghai – Train (no sleeper)'!H41</f>
        <v/>
      </c>
      <c r="I33" s="70">
        <f>'Shanghai – Train (no sleeper)'!K41</f>
        <v/>
      </c>
      <c r="J33" s="71">
        <f>'Shanghai – Train (no sleeper)'!H42</f>
        <v/>
      </c>
      <c r="K33" s="71">
        <f>'Shanghai – Train (no sleeper)'!D74</f>
        <v/>
      </c>
      <c r="L33" s="123">
        <f>IF(F33&gt;=0,"yes","over by "&amp;TEXT(-F33,"#,##0")&amp;" ₮")</f>
        <v/>
      </c>
      <c r="M33" s="68">
        <f>Compare!$B$5-E33/(1+Compare!$B$11)</f>
        <v/>
      </c>
    </row>
    <row r="34" ht="15" customHeight="1" s="56">
      <c r="A34" s="67" t="inlineStr">
        <is>
          <t>Nanchang – Sleeper</t>
        </is>
      </c>
      <c r="B34" s="68">
        <f>'Nanchang – Sleeper'!H34</f>
        <v/>
      </c>
      <c r="C34" s="68">
        <f>'Nanchang – Sleeper'!H35</f>
        <v/>
      </c>
      <c r="D34" s="69">
        <f>'Nanchang – Sleeper'!H37</f>
        <v/>
      </c>
      <c r="E34" s="68">
        <f>'Nanchang – Sleeper'!K34</f>
        <v/>
      </c>
      <c r="F34" s="68">
        <f>'Nanchang – Sleeper'!K35</f>
        <v/>
      </c>
      <c r="G34" s="69">
        <f>'Nanchang – Sleeper'!K37</f>
        <v/>
      </c>
      <c r="H34" s="70">
        <f>'Nanchang – Sleeper'!H38</f>
        <v/>
      </c>
      <c r="I34" s="70">
        <f>'Nanchang – Sleeper'!K38</f>
        <v/>
      </c>
      <c r="J34" s="71">
        <f>'Nanchang – Sleeper'!H39</f>
        <v/>
      </c>
      <c r="K34" s="71">
        <f>'Nanchang – Sleeper'!D70</f>
        <v/>
      </c>
      <c r="L34" s="123">
        <f>IF(F34&gt;=0,"yes","over by "&amp;TEXT(-F34,"#,##0")&amp;" ₮")</f>
        <v/>
      </c>
      <c r="M34" s="68">
        <f>Compare!$B$5-E34/(1+Compare!$B$11)</f>
        <v/>
      </c>
    </row>
    <row r="35" ht="30" customHeight="1" s="56">
      <c r="A35" s="67" t="inlineStr">
        <is>
          <t>Nanchang – Comfort</t>
        </is>
      </c>
      <c r="B35" s="68">
        <f>'Nanchang – Comfort'!H36</f>
        <v/>
      </c>
      <c r="C35" s="68">
        <f>'Nanchang – Comfort'!H37</f>
        <v/>
      </c>
      <c r="D35" s="69">
        <f>'Nanchang – Comfort'!H39</f>
        <v/>
      </c>
      <c r="E35" s="68">
        <f>'Nanchang – Comfort'!K36</f>
        <v/>
      </c>
      <c r="F35" s="68">
        <f>'Nanchang – Comfort'!K37</f>
        <v/>
      </c>
      <c r="G35" s="69">
        <f>'Nanchang – Comfort'!K39</f>
        <v/>
      </c>
      <c r="H35" s="70">
        <f>'Nanchang – Comfort'!H40</f>
        <v/>
      </c>
      <c r="I35" s="70">
        <f>'Nanchang – Comfort'!K40</f>
        <v/>
      </c>
      <c r="J35" s="71">
        <f>'Nanchang – Comfort'!H41</f>
        <v/>
      </c>
      <c r="K35" s="71">
        <f>'Nanchang – Comfort'!D72</f>
        <v/>
      </c>
      <c r="L35" s="123">
        <f>IF(F35&gt;=0,"yes","over by "&amp;TEXT(-F35,"#,##0")&amp;" ₮")</f>
        <v/>
      </c>
      <c r="M35" s="68">
        <f>Compare!$B$5-E35/(1+Compare!$B$11)</f>
        <v/>
      </c>
    </row>
    <row r="36" ht="30" customHeight="1" s="56">
      <c r="A36" s="67" t="inlineStr">
        <is>
          <t>Nanchang – Fly in (Air China)</t>
        </is>
      </c>
      <c r="B36" s="68">
        <f>'Nanchang – Fly in (Air China)'!H34</f>
        <v/>
      </c>
      <c r="C36" s="68">
        <f>'Nanchang – Fly in (Air China)'!H35</f>
        <v/>
      </c>
      <c r="D36" s="69">
        <f>'Nanchang – Fly in (Air China)'!H37</f>
        <v/>
      </c>
      <c r="E36" s="68">
        <f>'Nanchang – Fly in (Air China)'!K34</f>
        <v/>
      </c>
      <c r="F36" s="68">
        <f>'Nanchang – Fly in (Air China)'!K35</f>
        <v/>
      </c>
      <c r="G36" s="69">
        <f>'Nanchang – Fly in (Air China)'!K37</f>
        <v/>
      </c>
      <c r="H36" s="70">
        <f>'Nanchang – Fly in (Air China)'!H38</f>
        <v/>
      </c>
      <c r="I36" s="70">
        <f>'Nanchang – Fly in (Air China)'!K38</f>
        <v/>
      </c>
      <c r="J36" s="71">
        <f>'Nanchang – Fly in (Air China)'!H39</f>
        <v/>
      </c>
      <c r="K36" s="71">
        <f>'Nanchang – Fly in (Air China)'!D68</f>
        <v/>
      </c>
      <c r="L36" s="123">
        <f>IF(F36&gt;=0,"yes","over by "&amp;TEXT(-F36,"#,##0")&amp;" ₮")</f>
        <v/>
      </c>
      <c r="M36" s="68">
        <f>Compare!$B$5-E36/(1+Compare!$B$11)</f>
        <v/>
      </c>
    </row>
    <row r="37" ht="30" customHeight="1" s="56">
      <c r="A37" s="67" t="inlineStr">
        <is>
          <t>Hong Kong – Budget</t>
        </is>
      </c>
      <c r="B37" s="68">
        <f>'Hong Kong – Budget'!H30</f>
        <v/>
      </c>
      <c r="C37" s="68">
        <f>'Hong Kong – Budget'!H31</f>
        <v/>
      </c>
      <c r="D37" s="69">
        <f>'Hong Kong – Budget'!H33</f>
        <v/>
      </c>
      <c r="E37" s="68">
        <f>'Hong Kong – Budget'!K30</f>
        <v/>
      </c>
      <c r="F37" s="68">
        <f>'Hong Kong – Budget'!K31</f>
        <v/>
      </c>
      <c r="G37" s="69">
        <f>'Hong Kong – Budget'!K33</f>
        <v/>
      </c>
      <c r="H37" s="70">
        <f>'Hong Kong – Budget'!H34</f>
        <v/>
      </c>
      <c r="I37" s="70">
        <f>'Hong Kong – Budget'!K34</f>
        <v/>
      </c>
      <c r="J37" s="71">
        <f>'Hong Kong – Budget'!H35</f>
        <v/>
      </c>
      <c r="K37" s="71">
        <f>'Hong Kong – Budget'!D60</f>
        <v/>
      </c>
      <c r="L37" s="123">
        <f>IF(F37&gt;=0,"yes","over by "&amp;TEXT(-F37,"#,##0")&amp;" ₮")</f>
        <v/>
      </c>
      <c r="M37" s="68">
        <f>Compare!$B$5-E37/(1+Compare!$B$11)</f>
        <v/>
      </c>
    </row>
    <row r="38" s="56">
      <c r="A38" s="67" t="inlineStr">
        <is>
          <t>Hong Kong – Comfort</t>
        </is>
      </c>
      <c r="B38" s="68">
        <f>'Hong Kong – Comfort'!H30</f>
        <v/>
      </c>
      <c r="C38" s="68">
        <f>'Hong Kong – Comfort'!H31</f>
        <v/>
      </c>
      <c r="D38" s="69">
        <f>'Hong Kong – Comfort'!H33</f>
        <v/>
      </c>
      <c r="E38" s="68">
        <f>'Hong Kong – Comfort'!K30</f>
        <v/>
      </c>
      <c r="F38" s="68">
        <f>'Hong Kong – Comfort'!K31</f>
        <v/>
      </c>
      <c r="G38" s="69">
        <f>'Hong Kong – Comfort'!K33</f>
        <v/>
      </c>
      <c r="H38" s="70">
        <f>'Hong Kong – Comfort'!H34</f>
        <v/>
      </c>
      <c r="I38" s="70">
        <f>'Hong Kong – Comfort'!K34</f>
        <v/>
      </c>
      <c r="J38" s="71">
        <f>'Hong Kong – Comfort'!H35</f>
        <v/>
      </c>
      <c r="K38" s="71">
        <f>'Hong Kong – Comfort'!D60</f>
        <v/>
      </c>
      <c r="L38" s="123">
        <f>IF(F38&gt;=0,"yes","over by "&amp;TEXT(-F38,"#,##0")&amp;" ₮")</f>
        <v/>
      </c>
      <c r="M38" s="68">
        <f>Compare!$B$5-E38/(1+Compare!$B$11)</f>
        <v/>
      </c>
    </row>
    <row r="39" ht="30" customHeight="1" s="56">
      <c r="A39" s="67" t="inlineStr">
        <is>
          <t>Hong Kong – Value</t>
        </is>
      </c>
      <c r="B39" s="68">
        <f>'Hong Kong – Value'!H30</f>
        <v/>
      </c>
      <c r="C39" s="68">
        <f>'Hong Kong – Value'!H31</f>
        <v/>
      </c>
      <c r="D39" s="69">
        <f>'Hong Kong – Value'!H33</f>
        <v/>
      </c>
      <c r="E39" s="68">
        <f>'Hong Kong – Value'!K30</f>
        <v/>
      </c>
      <c r="F39" s="68">
        <f>'Hong Kong – Value'!K31</f>
        <v/>
      </c>
      <c r="G39" s="69">
        <f>'Hong Kong – Value'!K33</f>
        <v/>
      </c>
      <c r="H39" s="70">
        <f>'Hong Kong – Value'!H34</f>
        <v/>
      </c>
      <c r="I39" s="70">
        <f>'Hong Kong – Value'!K34</f>
        <v/>
      </c>
      <c r="J39" s="71">
        <f>'Hong Kong – Value'!H35</f>
        <v/>
      </c>
      <c r="K39" s="71">
        <f>'Hong Kong – Value'!D60</f>
        <v/>
      </c>
      <c r="L39" s="123">
        <f>IF(F39&gt;=0,"yes","over by "&amp;TEXT(-F39,"#,##0")&amp;" ₮")</f>
        <v/>
      </c>
      <c r="M39" s="68">
        <f>Compare!$B$5-E39/(1+Compare!$B$11)</f>
        <v/>
      </c>
    </row>
    <row r="40" s="56">
      <c r="A40" s="67" t="inlineStr">
        <is>
          <t>Hong Kong – Sleep first</t>
        </is>
      </c>
      <c r="B40" s="68">
        <f>'Hong Kong – Sleep first'!H30</f>
        <v/>
      </c>
      <c r="C40" s="68">
        <f>'Hong Kong – Sleep first'!H31</f>
        <v/>
      </c>
      <c r="D40" s="69">
        <f>'Hong Kong – Sleep first'!H33</f>
        <v/>
      </c>
      <c r="E40" s="68">
        <f>'Hong Kong – Sleep first'!K30</f>
        <v/>
      </c>
      <c r="F40" s="68">
        <f>'Hong Kong – Sleep first'!K31</f>
        <v/>
      </c>
      <c r="G40" s="69">
        <f>'Hong Kong – Sleep first'!K33</f>
        <v/>
      </c>
      <c r="H40" s="70">
        <f>'Hong Kong – Sleep first'!H34</f>
        <v/>
      </c>
      <c r="I40" s="70">
        <f>'Hong Kong – Sleep first'!K34</f>
        <v/>
      </c>
      <c r="J40" s="71">
        <f>'Hong Kong – Sleep first'!H35</f>
        <v/>
      </c>
      <c r="K40" s="71">
        <f>'Hong Kong – Sleep first'!D60</f>
        <v/>
      </c>
      <c r="L40" s="123">
        <f>IF(F40&gt;=0,"yes","over by "&amp;TEXT(-F40,"#,##0")&amp;" ₮")</f>
        <v/>
      </c>
      <c r="M40" s="68">
        <f>Compare!$B$5-E40/(1+Compare!$B$11)</f>
        <v/>
      </c>
    </row>
    <row r="41" s="56">
      <c r="A41" s="67" t="inlineStr">
        <is>
          <t>Hong Kong – Funded 12M</t>
        </is>
      </c>
      <c r="B41" s="68">
        <f>'Hong Kong – Funded 12M'!H30</f>
        <v/>
      </c>
      <c r="C41" s="68">
        <f>'Hong Kong – Funded 12M'!H31</f>
        <v/>
      </c>
      <c r="D41" s="69">
        <f>'Hong Kong – Funded 12M'!H33</f>
        <v/>
      </c>
      <c r="E41" s="68">
        <f>'Hong Kong – Funded 12M'!K30</f>
        <v/>
      </c>
      <c r="F41" s="68">
        <f>'Hong Kong – Funded 12M'!K31</f>
        <v/>
      </c>
      <c r="G41" s="69">
        <f>'Hong Kong – Funded 12M'!K33</f>
        <v/>
      </c>
      <c r="H41" s="70">
        <f>'Hong Kong – Funded 12M'!H34</f>
        <v/>
      </c>
      <c r="I41" s="70">
        <f>'Hong Kong – Funded 12M'!K34</f>
        <v/>
      </c>
      <c r="J41" s="71">
        <f>'Hong Kong – Funded 12M'!H35</f>
        <v/>
      </c>
      <c r="K41" s="71">
        <f>'Hong Kong – Funded 12M'!D60</f>
        <v/>
      </c>
      <c r="L41" s="123">
        <f>IF(F41&gt;=0,"yes","over by "&amp;TEXT(-F41,"#,##0")&amp;" ₮")</f>
        <v/>
      </c>
      <c r="M41" s="68">
        <f>Compare!$B$5-E41/(1+Compare!$B$11)</f>
        <v/>
      </c>
    </row>
    <row r="42" s="56">
      <c r="A42" s="67" t="inlineStr">
        <is>
          <t>Hong Kong – Sleep priority</t>
        </is>
      </c>
      <c r="B42" s="68">
        <f>'Hong Kong – Sleep priority'!H30</f>
        <v/>
      </c>
      <c r="C42" s="68">
        <f>'Hong Kong – Sleep priority'!H31</f>
        <v/>
      </c>
      <c r="D42" s="69">
        <f>'Hong Kong – Sleep priority'!H33</f>
        <v/>
      </c>
      <c r="E42" s="68">
        <f>'Hong Kong – Sleep priority'!K30</f>
        <v/>
      </c>
      <c r="F42" s="68">
        <f>'Hong Kong – Sleep priority'!K31</f>
        <v/>
      </c>
      <c r="G42" s="69">
        <f>'Hong Kong – Sleep priority'!K33</f>
        <v/>
      </c>
      <c r="H42" s="70">
        <f>'Hong Kong – Sleep priority'!H34</f>
        <v/>
      </c>
      <c r="I42" s="70">
        <f>'Hong Kong – Sleep priority'!K34</f>
        <v/>
      </c>
      <c r="J42" s="71">
        <f>'Hong Kong – Sleep priority'!H35</f>
        <v/>
      </c>
      <c r="K42" s="71">
        <f>'Hong Kong – Sleep priority'!D60</f>
        <v/>
      </c>
      <c r="L42" s="123">
        <f>IF(F42&gt;=0,"yes","over by "&amp;TEXT(-F42,"#,##0")&amp;" ₮")</f>
        <v/>
      </c>
      <c r="M42" s="68">
        <f>Compare!$B$5-E42/(1+Compare!$B$11)</f>
        <v/>
      </c>
    </row>
    <row r="43" ht="30" customHeight="1" s="56">
      <c r="A43" s="67" t="inlineStr">
        <is>
          <t>EC Final Hangzhou – Train</t>
        </is>
      </c>
      <c r="B43" s="68">
        <f>'EC Final Hangzhou – Train'!H34</f>
        <v/>
      </c>
      <c r="C43" s="68">
        <f>'EC Final Hangzhou – Train'!H35</f>
        <v/>
      </c>
      <c r="D43" s="69">
        <f>'EC Final Hangzhou – Train'!H37</f>
        <v/>
      </c>
      <c r="E43" s="68">
        <f>'EC Final Hangzhou – Train'!K34</f>
        <v/>
      </c>
      <c r="F43" s="68">
        <f>'EC Final Hangzhou – Train'!K35</f>
        <v/>
      </c>
      <c r="G43" s="69">
        <f>'EC Final Hangzhou – Train'!K37</f>
        <v/>
      </c>
      <c r="H43" s="70">
        <f>'EC Final Hangzhou – Train'!H38</f>
        <v/>
      </c>
      <c r="I43" s="70">
        <f>'EC Final Hangzhou – Train'!K38</f>
        <v/>
      </c>
      <c r="J43" s="71">
        <f>'EC Final Hangzhou – Train'!H39</f>
        <v/>
      </c>
      <c r="K43" s="71">
        <f>'EC Final Hangzhou – Train'!D70</f>
        <v/>
      </c>
      <c r="L43" s="123">
        <f>IF(F43&gt;=0,"yes","over by "&amp;TEXT(-F43,"#,##0")&amp;" ₮")</f>
        <v/>
      </c>
      <c r="M43" s="68">
        <f>Compare!$B$5-E43/(1+Compare!$B$11)</f>
        <v/>
      </c>
    </row>
    <row r="44" ht="30" customHeight="1" s="56">
      <c r="A44" s="67" t="inlineStr">
        <is>
          <t>EC Final Hangzhou – Fly</t>
        </is>
      </c>
      <c r="B44" s="68">
        <f>'EC Final Hangzhou – Fly'!H33</f>
        <v/>
      </c>
      <c r="C44" s="68">
        <f>'EC Final Hangzhou – Fly'!H34</f>
        <v/>
      </c>
      <c r="D44" s="69">
        <f>'EC Final Hangzhou – Fly'!H36</f>
        <v/>
      </c>
      <c r="E44" s="68">
        <f>'EC Final Hangzhou – Fly'!K33</f>
        <v/>
      </c>
      <c r="F44" s="68">
        <f>'EC Final Hangzhou – Fly'!K34</f>
        <v/>
      </c>
      <c r="G44" s="69">
        <f>'EC Final Hangzhou – Fly'!K36</f>
        <v/>
      </c>
      <c r="H44" s="70">
        <f>'EC Final Hangzhou – Fly'!H37</f>
        <v/>
      </c>
      <c r="I44" s="70">
        <f>'EC Final Hangzhou – Fly'!K37</f>
        <v/>
      </c>
      <c r="J44" s="71">
        <f>'EC Final Hangzhou – Fly'!H38</f>
        <v/>
      </c>
      <c r="K44" s="71">
        <f>'EC Final Hangzhou – Fly'!D70</f>
        <v/>
      </c>
      <c r="L44" s="123">
        <f>IF(F44&gt;=0,"yes","over by "&amp;TEXT(-F44,"#,##0")&amp;" ₮")</f>
        <v/>
      </c>
      <c r="M44" s="68">
        <f>Compare!$B$5-E44/(1+Compare!$B$11)</f>
        <v/>
      </c>
    </row>
    <row r="45" ht="30" customHeight="1" s="56">
      <c r="A45" s="75" t="n"/>
      <c r="B45" s="74" t="n"/>
    </row>
    <row r="46" ht="15" customHeight="1" s="56">
      <c r="A46" s="72" t="inlineStr">
        <is>
          <t>Recommended picks (not the expensive ones)</t>
        </is>
      </c>
    </row>
    <row r="47" ht="62" customHeight="1" s="56">
      <c r="A47" s="73" t="inlineStr">
        <is>
          <t>Likely pairing (your answer)</t>
        </is>
      </c>
      <c r="B47" s="74" t="inlineStr">
        <is>
          <t>Funded = Hong Kong (₮12M, coach): lead with 'Hong Kong – Sleep priority' – MIAT nonstop, 2 rooms with 4 separate twin beds and private bathrooms at Good Fortune Inn (8.6, 715 reviews, ~35–40 min MTR to HKU), airport bus: ₮11.33M before the 10% contingency (₮0.67M spare), ₮12.47M with it. Walking alternative: 'Funded 12M' (Best Western Plus, ~540 m to HKU) ₮11.70M before contingency (₮0.30M spare). Unfunded = Shenyang, sleep first and cheap after: 'Shenyang – Sleep value' ₮2.69M per person (no early start, a bed each, home 16 Nov) or 'Shenyang – Overland home' ₮2.37M per person (same before the contest, night trains home via Erenhot, home 18 Nov); Budget ₮2.14M per person is cheaper but puts a sleeper the night before day 1. The HK 2026 host may not be HKU (2025 was HKUST), which favours sleeping well and staying on the MTR over a hotel next to one campus.</t>
        </is>
      </c>
    </row>
    <row r="48" ht="75" customHeight="1" s="56">
      <c r="A48" s="73" t="inlineStr">
        <is>
          <t>Unfunded regional (3 ppl pay)</t>
        </is>
      </c>
      <c r="B48" s="74" t="inlineStr">
        <is>
          <t>Cheapest sleep-safe plans per person incl. fee, taxi, insurance, eSIM and 10% contingency: Shenyang – Overland out (seats) ₮1.70M per person (cheapest of all, but two seated train nights before day 1); Shenyang – Budget ₮2.14M per person (soft sleeper before day 1); Shenyang – Overland home ₮2.37M per person (no early start, a bed each, overland home); Shenyang – Comfort ₮2.46M per person; Nanchang – Sleeper ₮2.50M per person; Shenyang – Sleep value ₮2.69M / Sleep first ₮2.89M per person (no early start, a bed each, fly home); Shanghai – Sleeper ₮2.78M per person (Shanghai nonstop with cheap rooms ₮2.90M); Hong Kong – Budget ₮3.43M per person; EC Final – Train ₮3.14M per person. Shenyang and Nanchang are the cheap ones to pay yourselves.</t>
        </is>
      </c>
    </row>
    <row r="49" ht="62" customHeight="1" s="56">
      <c r="A49" s="73" t="inlineStr">
        <is>
          <t>Funded regional (₮12M, coach)</t>
        </is>
      </c>
      <c r="B49" s="74" t="inlineStr">
        <is>
          <t>Fits ₮12M incl. contingency: Shenyang – Comfort ₮8.04M (fits, ₮3.96M left); Shanghai – Sleeper ₮9.23M (fits, ₮2.77M left; the nonstop with cheap rooms ₮9.48M and 'Fly out, train home' ₮9.28M also fit); Nanchang – Sleeper ₮8.19M (fits, ₮3.81M left); EC Final – Train ₮11.12M (fits, ₮0.88M left). Hong Kong only fits before the 10% contingency (the flights are ₮8.4M of it): Budget ₮11.02M, Value ₮11.26M, Sleep priority ₮11.33M, Funded 12M ₮11.70M, Comfort ₮11.96M; Sleep first ₮13.14M and EC Final – Fly do not fit at all. Use the funded trip for the dearest contest you must attend and pay the cheap one yourselves.</t>
        </is>
      </c>
    </row>
    <row r="50" ht="92" customHeight="1" s="56">
      <c r="A50" s="73" t="inlineStr">
        <is>
          <t>Regional – Shenyang (14–15 Nov)</t>
        </is>
      </c>
      <c r="B50" s="74" t="inlineStr">
        <is>
          <t>Sleep first, cheapest after (22 Oct prices): Air China 11:50 out (¥1,291 on Ctrip; no 04:00 wake-up) + G153, two twin rooms for 3 nights, K28 hard seat + Air China 12:55 home. Sleep first (NEU International, 580 m, 9.7) ₮7.47M / ₮9.47M; Sleep value (Ji Hotel twins, ~15 min walk, 9.0) ₮6.88M / ₮8.87M; Overland home (Sleep value out, K1568 + 4652 night trains, jeep at Erenhot, UBTZ 275, home 18 Nov) ₮5.97M / ₮7.67M (3 / 4 ppl). Older: Comfort (MIAT 07:30, RiCH family room, K54) ₮6.18M / ₮8.04M; no sleepers: G-train Comfort ₮6.72M / ₮8.84M, G-train Budget ₮6.05M / ₮8.27M. Cheap way out instead (22 Oct; sheet 'Shenyang – Way out', rest of the trip as Sleep value): Overland out (UBTZ 276 + jeep + 4654 + T301, seats) ₮3.96M / ₮5.19M, per person ₮1.70M; with berths ₮1.79M per person; Hunnu Daxing + K341 ₮2.08M; MIAT 13 Nov + K341 ₮2.10M; Hunnu Erenhot ₮2.14M; Manzhouli seats ₮2.27M (sleep OK); Hohhot red-eye ₮2.34M (WATCH). All others are POOR for sleep: a seated night right before day 1.</t>
        </is>
      </c>
    </row>
    <row r="51" ht="47" customHeight="1" s="56">
      <c r="A51" s="73" t="inlineStr">
        <is>
          <t>Regional – Shanghai (5–6 Dec)</t>
        </is>
      </c>
      <c r="B51" s="74" t="inlineStr">
        <is>
          <t>Sleeper: MIAT $151 + G17 out on 3 Dec, 2 cheap rooms 3 nights at Hi Inn (1.8 km, 8.9), D8 overnight seat back, Air China 12:55 $172 on 7 Dec: ₮7.15M / ₮9.23M. Spring nonstop with the same cheap rooms (Tue 1 → Tue 8 Dec, 7 nights) ₮7.50M / ₮9.48M (was ₮8.21M / ₮10.73M with the apartment); 'Fly out, train home' (Spring out, D10 seat ¥294 after the awards, Air China 7 Dec, no hotel nights after the contest) ₮7.27M / ₮9.28M. Wildcard: email shu_icpc@163.com now.</t>
        </is>
      </c>
    </row>
    <row r="52" ht="47" customHeight="1" s="56">
      <c r="A52" s="73" t="inlineStr">
        <is>
          <t>Regional – Nanchang (19–20 Dec)</t>
        </is>
      </c>
      <c r="B52" s="74" t="inlineStr">
        <is>
          <t>Sleeper: Air China $157 + Z111 hard sleeper (arrive 11:52 on 18 Dec), Orange Hotel 2 nights, D136 seat back, Air China 12:55 $172. Comfort (daytime G-train, 3 hotel nights) ₮7.96M / ₮10.32M; Fly in (Air China through ticket $356) ₮8.41M / ₮10.95M.</t>
        </is>
      </c>
    </row>
    <row r="53" ht="62" customHeight="1" s="56">
      <c r="A53" s="73" t="inlineStr">
        <is>
          <t>Regional – Hong Kong (9–10 Jan)</t>
        </is>
      </c>
      <c r="B53" s="74" t="inlineStr">
        <is>
          <t>MIAT nonstop ($586 return on Trip.com, low against the usual $708–900) is the cheapest way in; flights are ₮8.4M of the 4-person cost. With sleep prioritised over distance: Sleep priority (Good Fortune Inn, 4 twin beds, ~35–40 min MTR) ₮9.14M / ₮12.47M, Funded 12M (BW Plus, 2 rooms, walk to HKU) ₮9.35M / ₮12.87M, Budget guesthouse ₮9.08M / ₮12.12M, Value (Kusa Inn 9.6) ₮9.08M / ₮12.38M, Sleep first (2 rooms in Sheung Wan) ₮11.63M / ₮14.45M (3 / 4 ppl). No route or date is cheaper (checked 10 Oct).</t>
        </is>
      </c>
    </row>
    <row r="54" ht="47" customHeight="1" s="56">
      <c r="A54" s="73" t="inlineStr">
        <is>
          <t>EC Final (only if qualified)</t>
        </is>
      </c>
      <c r="B54" s="74" t="inlineStr">
        <is>
          <t>Train: MIAT to Beijing, D17 overnight sleeper Beijing 19:10 → Hangzhou 09:15 (¥491), Air China through ticket Hangzhou → UB on 29 Jan: ₮11.12M (fits, ₮0.88M left) for 4 ppl, ₮3.14M per person for 3. Fly (Aero Mongolia + Xiamen via Hohhot) is ₮14.82M (over by ₮2.82M) – does not fit ₮12M. Buy D17 on 12306 at 10:00 on 11 Jan.</t>
        </is>
      </c>
    </row>
    <row r="55" ht="32" customHeight="1" s="56"/>
    <row r="56" ht="32" customHeight="1" s="56">
      <c r="A56" s="75" t="inlineStr">
        <is>
          <t>Note</t>
        </is>
      </c>
      <c r="B56" s="74" t="inlineStr">
        <is>
          <t>Dates are provisional (ICPC Beijing HQ summary, 5 Aug 2026). Hong Kong host (HKU) and EC Final venue (HZNU Cangqian) are from secondary sources; Shanghai (Shanghai University Baoshan) follows the 2025 invitation and Nanchang (Jiangxi Normal University Yaohu campus) the 2019 handbook – confirm each invitation.</t>
        </is>
      </c>
    </row>
    <row r="57" ht="18" customHeight="1" s="56">
      <c r="A57" s="75" t="inlineStr">
        <is>
          <t>Note</t>
        </is>
      </c>
      <c r="B57" s="74" t="inlineStr">
        <is>
          <t>EC Final is qualification-only: plan it only once the team has earned a slot at a regional.</t>
        </is>
      </c>
    </row>
    <row r="58" ht="32" customHeight="1" s="56">
      <c r="A58" s="75" t="inlineStr">
        <is>
          <t>Note</t>
        </is>
      </c>
      <c r="B58" s="74" t="inlineStr">
        <is>
          <t>4-person plans use whatever split is cheapest on Trip.com/Booking.com: one family room for 4 (Shenyang RiCH, Nanchang Orange Hotel), or two rooms. Taxi costs assume one car; with luggage 4 people may need an XL car.</t>
        </is>
      </c>
    </row>
    <row r="59" ht="47" customHeight="1" s="56">
      <c r="A59" s="75" t="inlineStr">
        <is>
          <t>Note</t>
        </is>
      </c>
      <c r="B59" s="74" t="inlineStr">
        <is>
          <t>Sleep rule (see the 'Sleep check' sheet): the two nights before each contest day are in a quiet bed near the venue; sleepers, early flights and red-eyes are only used before day 1 (soft sleeper) or after the contest (anything goes). Sleeper trains replace hotel nights in the Shenyang, Shanghai (D8 seat), Nanchang (Z111 / D136 seat) and EC Final (D17) plans; the 'G-train' / 'no sleeper' variants cost more per trip. Chinese train tickets go on sale 14 days ahead – dates are in the '12306 &amp; ChinaTicketOnline' and '10 Oct' sheets of the fares workbook.</t>
        </is>
      </c>
    </row>
    <row r="60" ht="32" customHeight="1" s="56">
      <c r="A60" s="75" t="inlineStr">
        <is>
          <t>Note</t>
        </is>
      </c>
      <c r="B60" s="74" t="inlineStr">
        <is>
          <t>Sources (10 Oct): Trip.com (flights and hotels, built-in browser), 12306 (official train fares), ChinaTicketOnline (timetable and sale-date check; 30–70% dearer than 12306, not used for booking), SlickTrip (MIAT / Spring fares; by 22 Oct it prices Air China, but $90–180 above Trip.com), UBTZ e-ticket (Zamyn-Uud → Ulaanbaatar train, 22 Oct), Ctrip / Kiwi / Google Flights (22 Oct cross-check of the Shenyang flights; Ctrip had the cheapest Air China fare).</t>
        </is>
      </c>
    </row>
  </sheetData>
  <mergeCells count="14">
    <mergeCell ref="B57:K57"/>
    <mergeCell ref="B49:K49"/>
    <mergeCell ref="B50:K50"/>
    <mergeCell ref="B48:K48"/>
    <mergeCell ref="B56:K56"/>
    <mergeCell ref="B58:K58"/>
    <mergeCell ref="B52:K52"/>
    <mergeCell ref="B53:K53"/>
    <mergeCell ref="A2:K2"/>
    <mergeCell ref="B47:K47"/>
    <mergeCell ref="B54:K54"/>
    <mergeCell ref="B51:K51"/>
    <mergeCell ref="B59:K59"/>
    <mergeCell ref="B60:K6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outlinePr summaryBelow="1" summaryRight="1"/>
    <pageSetUpPr/>
  </sheetPr>
  <dimension ref="A1:H41"/>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0" customWidth="1" style="56" min="1" max="1"/>
    <col width="22" customWidth="1" style="56" min="2" max="2"/>
    <col width="32" customWidth="1" style="56" min="3" max="3"/>
    <col width="34" customWidth="1" style="56" min="4" max="4"/>
    <col width="30" customWidth="1" style="56" min="5" max="5"/>
    <col width="22" customWidth="1" style="56" min="6" max="6"/>
    <col width="10" customWidth="1" style="56" min="7" max="7"/>
    <col width="70" customWidth="1" style="56" min="8" max="8"/>
  </cols>
  <sheetData>
    <row r="1">
      <c r="A1" s="115" t="inlineStr">
        <is>
          <t>Sleep check – protect the nights before the contest, spend nothing on comfort after it</t>
        </is>
      </c>
    </row>
    <row r="2" ht="78" customHeight="1" s="56">
      <c r="A2" s="116" t="inlineStr">
        <is>
          <t>Rules used: (1) the two nights before the contest day are in a real bed, quiet, ≤30 min from the venue, ≥7.5 h in bed and no wake-up before ~06:00 on contest morning; (2) no overnight train or flight on the contest eve; a sleeper before day 1 only if it is a soft sleeper that arrives by midday and there is a bed night in between; (3) flights before 08:00 only ≥2 nights before the contest; (4) after the contest anything goes – hard sleepers, seats, red-eye trains, 04:30 airport runs – so the cheapest option is used. No time-zone effect: Mongolia, China and Hong Kong are all UTC+8.</t>
        </is>
      </c>
    </row>
    <row r="4">
      <c r="A4" s="117" t="inlineStr">
        <is>
          <t>Plan</t>
        </is>
      </c>
      <c r="B4" s="117" t="inlineStr">
        <is>
          <t>Contest day / day 1</t>
        </is>
      </c>
      <c r="C4" s="117" t="inlineStr">
        <is>
          <t>Night −3</t>
        </is>
      </c>
      <c r="D4" s="117" t="inlineStr">
        <is>
          <t>Night −2 (before day 1)</t>
        </is>
      </c>
      <c r="E4" s="117" t="inlineStr">
        <is>
          <t>Night −1 (contest eve)</t>
        </is>
      </c>
      <c r="F4" s="117" t="inlineStr">
        <is>
          <t>Contest morning</t>
        </is>
      </c>
      <c r="G4" s="117" t="inlineStr">
        <is>
          <t>Verdict</t>
        </is>
      </c>
      <c r="H4" s="117" t="inlineStr">
        <is>
          <t>Sleep fix / what changed</t>
        </is>
      </c>
    </row>
    <row r="5" ht="66" customHeight="1" s="56">
      <c r="A5" s="118" t="inlineStr">
        <is>
          <t>Shenyang – Comfort</t>
        </is>
      </c>
      <c r="B5" s="116" t="inlineStr">
        <is>
          <t>Sun 15 Nov / Sat 14 Nov</t>
        </is>
      </c>
      <c r="C5" s="116" t="inlineStr">
        <is>
          <t>12 Nov RiCH hotel (after a 04:30 start for MIAT 07:30; nap in the afternoon)</t>
        </is>
      </c>
      <c r="D5" s="116" t="inlineStr">
        <is>
          <t>13 Nov RiCH, free rest day</t>
        </is>
      </c>
      <c r="E5" s="116" t="inlineStr">
        <is>
          <t>14 Nov RiCH, family room, quiet</t>
        </is>
      </c>
      <c r="F5" s="116" t="inlineStr">
        <is>
          <t>Walk 18 min, wake ~07:00</t>
        </is>
      </c>
      <c r="G5" s="119" t="inlineStr">
        <is>
          <t>BEST</t>
        </is>
      </c>
      <c r="H5" s="116" t="inlineStr">
        <is>
          <t>Sleeper K54 is after the contest, so it is now a hard sleeper (soft was ¥263): saves ~₮0.16M (₮6.2M total).</t>
        </is>
      </c>
    </row>
    <row r="6" ht="66" customHeight="1" s="56">
      <c r="A6" s="118" t="inlineStr">
        <is>
          <t>Shenyang – Budget</t>
        </is>
      </c>
      <c r="B6" s="116" t="inlineStr">
        <is>
          <t>Sun 15 Nov / Sat 14 Nov</t>
        </is>
      </c>
      <c r="C6" s="116" t="inlineStr">
        <is>
          <t>12 Nov at home</t>
        </is>
      </c>
      <c r="D6" s="116" t="inlineStr">
        <is>
          <t>13 Nov K53 soft sleeper 22:35–07:00 (was hard): ~5–6 h, then day-1 registration</t>
        </is>
      </c>
      <c r="E6" s="116" t="inlineStr">
        <is>
          <t>14 Nov Bestay hotel (8.2, budget chain)</t>
        </is>
      </c>
      <c r="F6" s="116" t="inlineStr">
        <is>
          <t>Metro 25 min, wake ~06:30</t>
        </is>
      </c>
      <c r="G6" s="120" t="inlineStr">
        <is>
          <t>WATCH</t>
        </is>
      </c>
      <c r="H6" s="116" t="inlineStr">
        <is>
          <t>K53 is the night before day 1, so it is now a soft sleeper (+¥92 pp, +₮0.16M; ₮5.2M total). Nap on arrival; the contest eve is in a bed. Safer: Comfort or either G-train variant.</t>
        </is>
      </c>
    </row>
    <row r="7" ht="66" customHeight="1" s="56">
      <c r="A7" s="118" t="inlineStr">
        <is>
          <t>Shenyang – Comfort (G-train)</t>
        </is>
      </c>
      <c r="B7" s="116" t="inlineStr">
        <is>
          <t>Sun 15 Nov / Sat 14 Nov</t>
        </is>
      </c>
      <c r="C7" s="116" t="inlineStr">
        <is>
          <t>12 Nov RiCH hotel</t>
        </is>
      </c>
      <c r="D7" s="116" t="inlineStr">
        <is>
          <t>13 Nov RiCH</t>
        </is>
      </c>
      <c r="E7" s="116" t="inlineStr">
        <is>
          <t>14 Nov RiCH</t>
        </is>
      </c>
      <c r="F7" s="116" t="inlineStr">
        <is>
          <t>Walk 18 min, wake ~07:00</t>
        </is>
      </c>
      <c r="G7" s="119" t="inlineStr">
        <is>
          <t>BEST</t>
        </is>
      </c>
      <c r="H7" s="116" t="inlineStr">
        <is>
          <t>All beds before the contest; the Beijing hotel night (Dequan) is after it. +0.5M vs the sleeper plan.</t>
        </is>
      </c>
    </row>
    <row r="8" ht="66" customHeight="1" s="56">
      <c r="A8" s="118" t="inlineStr">
        <is>
          <t>Shenyang – Budget (G-train)</t>
        </is>
      </c>
      <c r="B8" s="116" t="inlineStr">
        <is>
          <t>Sun 15 Nov / Sat 14 Nov</t>
        </is>
      </c>
      <c r="C8" s="116" t="inlineStr">
        <is>
          <t>12 Nov at home</t>
        </is>
      </c>
      <c r="D8" s="116" t="inlineStr">
        <is>
          <t>13 Nov Dequan hotel Beijing, wake 05:45 for G101 08:00 (~6.5 h)</t>
        </is>
      </c>
      <c r="E8" s="116" t="inlineStr">
        <is>
          <t>14 Nov Bestay hotel</t>
        </is>
      </c>
      <c r="F8" s="116" t="inlineStr">
        <is>
          <t>Metro 25 min, wake ~06:30</t>
        </is>
      </c>
      <c r="G8" s="121" t="inlineStr">
        <is>
          <t>OK</t>
        </is>
      </c>
      <c r="H8" s="116" t="inlineStr">
        <is>
          <t>Two nights in beds; one early wake two nights before the contest. Cheapest plan with no sleeper before the contest.</t>
        </is>
      </c>
    </row>
    <row r="9" ht="45" customHeight="1" s="56">
      <c r="A9" s="118" t="inlineStr">
        <is>
          <t>Shenyang – Sleep first</t>
        </is>
      </c>
      <c r="B9" s="116" t="inlineStr">
        <is>
          <t>Sun 15 Nov / Sat 14 Nov</t>
        </is>
      </c>
      <c r="C9" s="116" t="inlineStr">
        <is>
          <t>12 Nov NEU International (normal wake-up ~08:00 for Air China 11:50; bed ~23:00)</t>
        </is>
      </c>
      <c r="D9" s="116" t="inlineStr">
        <is>
          <t>13 Nov same room, free rest day, no alarm</t>
        </is>
      </c>
      <c r="E9" s="116" t="inlineStr">
        <is>
          <t>14 Nov same room, twin room, 580 m</t>
        </is>
      </c>
      <c r="F9" s="116" t="inlineStr">
        <is>
          <t>Walk 7 min, wake ~07:00</t>
        </is>
      </c>
      <c r="G9" s="121" t="inlineStr">
        <is>
          <t>BEST</t>
        </is>
      </c>
      <c r="H9" s="116" t="inlineStr">
        <is>
          <t>No alarm before ~08:00 on any day before the contest (Air China 11:50 instead of MIAT 07:30, ¥195 ≈ ₮0.10M pp more on Ctrip), three nights in the same room and a bed each (2 twin rooms, 38 m², 9.7). After the contest the cheapest: K28 hard seat + Air China 12:55. ₮2.89M per person (3 ppl).</t>
        </is>
      </c>
    </row>
    <row r="10" ht="45" customHeight="1" s="56">
      <c r="A10" s="118" t="inlineStr">
        <is>
          <t>Shenyang – Sleep value</t>
        </is>
      </c>
      <c r="B10" s="116" t="inlineStr">
        <is>
          <t>Sun 15 Nov / Sat 14 Nov</t>
        </is>
      </c>
      <c r="C10" s="116" t="inlineStr">
        <is>
          <t>12 Nov Ji Hotel (normal wake-up ~08:00 for Air China 11:50; bed ~23:00)</t>
        </is>
      </c>
      <c r="D10" s="116" t="inlineStr">
        <is>
          <t>13 Nov same room, free rest day, no alarm</t>
        </is>
      </c>
      <c r="E10" s="116" t="inlineStr">
        <is>
          <t>14 Nov same room, twin room, ~15 min walk</t>
        </is>
      </c>
      <c r="F10" s="116" t="inlineStr">
        <is>
          <t>Walk ~15 min, wake ~06:50</t>
        </is>
      </c>
      <c r="G10" s="121" t="inlineStr">
        <is>
          <t>BEST</t>
        </is>
      </c>
      <c r="H10" s="116" t="inlineStr">
        <is>
          <t>Same timing and a bed each (2 twin rooms, King Koil mattresses, 9.0); smaller rooms and a ~15 min walk. ₮2.69M per person – ₮0.20M less than Sleep first.</t>
        </is>
      </c>
    </row>
    <row r="11" ht="45" customHeight="1" s="56">
      <c r="A11" s="118" t="inlineStr">
        <is>
          <t>Shenyang – Overland home</t>
        </is>
      </c>
      <c r="B11" s="116" t="inlineStr">
        <is>
          <t>Sun 15 Nov / Sat 14 Nov</t>
        </is>
      </c>
      <c r="C11" s="116" t="inlineStr">
        <is>
          <t>12 Nov Ji Hotel (normal wake-up ~08:00 for Air China 11:50; bed ~23:00)</t>
        </is>
      </c>
      <c r="D11" s="116" t="inlineStr">
        <is>
          <t>13 Nov same room, free rest day, no alarm</t>
        </is>
      </c>
      <c r="E11" s="116" t="inlineStr">
        <is>
          <t>14 Nov same room, twin room, ~15 min walk</t>
        </is>
      </c>
      <c r="F11" s="116" t="inlineStr">
        <is>
          <t>Walk ~15 min, wake ~06:50</t>
        </is>
      </c>
      <c r="G11" s="121" t="inlineStr">
        <is>
          <t>BEST</t>
        </is>
      </c>
      <c r="H11" s="116" t="inlineStr">
        <is>
          <t>Identical to Sleep value before the contest. After it: K1568 + 4652 hard sleepers, jeep across the border at Erenhot, UBTZ 275 platskart, home 18 Nov 09:20. ₮2.37M per person – the cheapest Shenyang plan without an early start or a sleeper before the contest.</t>
        </is>
      </c>
    </row>
    <row r="12" ht="45" customHeight="1" s="56">
      <c r="A12" s="118" t="inlineStr">
        <is>
          <t>Shenyang – Overland out (seats)</t>
        </is>
      </c>
      <c r="B12" s="116" t="inlineStr">
        <is>
          <t>Sun 15 Nov / Sat 14 Nov</t>
        </is>
      </c>
      <c r="C12" s="116" t="inlineStr">
        <is>
          <t>12 Nov UBTZ 276 seat</t>
        </is>
      </c>
      <c r="D12" s="116" t="inlineStr">
        <is>
          <t>13 Nov T301 hard seat 19:30–10:16, then registration</t>
        </is>
      </c>
      <c r="E12" s="116" t="inlineStr">
        <is>
          <t>14 Nov Ji Hotel, twin room</t>
        </is>
      </c>
      <c r="F12" s="116" t="inlineStr">
        <is>
          <t>Walk ~15 min, wake ~06:50</t>
        </is>
      </c>
      <c r="G12" s="121" t="inlineStr">
        <is>
          <t>POOR</t>
        </is>
      </c>
      <c r="H12" s="116" t="inlineStr">
        <is>
          <t>Two seated train nights back to back before day 1. Leaving on 10 Nov instead adds two hotel nights (~₮0.16M pp) and turns this into OK. Berths: see 'Overland out, berths'.</t>
        </is>
      </c>
    </row>
    <row r="13" ht="45" customHeight="1" s="56">
      <c r="A13" s="118" t="inlineStr">
        <is>
          <t>Shenyang – Overland out, berths</t>
        </is>
      </c>
      <c r="B13" s="116" t="inlineStr">
        <is>
          <t>Sun 15 Nov / Sat 14 Nov</t>
        </is>
      </c>
      <c r="C13" s="116" t="inlineStr">
        <is>
          <t>12 Nov UBTZ 276 platskart berth</t>
        </is>
      </c>
      <c r="D13" s="116" t="inlineStr">
        <is>
          <t>13 Nov T301 hard sleeper, then registration</t>
        </is>
      </c>
      <c r="E13" s="116" t="inlineStr">
        <is>
          <t>14 Nov Ji Hotel, twin room</t>
        </is>
      </c>
      <c r="F13" s="116" t="inlineStr">
        <is>
          <t>Walk ~15 min, wake ~06:50</t>
        </is>
      </c>
      <c r="G13" s="121" t="inlineStr">
        <is>
          <t>POOR</t>
        </is>
      </c>
      <c r="H13" s="116" t="inlineStr">
        <is>
          <t>Lying down both nights, but still two train nights in a row before day 1. +₮0.09M pp over seats.</t>
        </is>
      </c>
    </row>
    <row r="14" ht="45" customHeight="1" s="56">
      <c r="A14" s="118" t="inlineStr">
        <is>
          <t>Shenyang – Manzhouli seats</t>
        </is>
      </c>
      <c r="B14" s="116" t="inlineStr">
        <is>
          <t>Sun 15 Nov / Sat 14 Nov</t>
        </is>
      </c>
      <c r="C14" s="116" t="inlineStr">
        <is>
          <t>12 Nov Ji Hotel (after a night sitting up on K7092; arrive 14:32)</t>
        </is>
      </c>
      <c r="D14" s="116" t="inlineStr">
        <is>
          <t>13 Nov Ji Hotel, free rest day</t>
        </is>
      </c>
      <c r="E14" s="116" t="inlineStr">
        <is>
          <t>14 Nov Ji Hotel, twin room</t>
        </is>
      </c>
      <c r="F14" s="116" t="inlineStr">
        <is>
          <t>Walk ~15 min, wake ~06:50</t>
        </is>
      </c>
      <c r="G14" s="121" t="inlineStr">
        <is>
          <t>OK</t>
        </is>
      </c>
      <c r="H14" s="116" t="inlineStr">
        <is>
          <t>The seated night is four nights before the contest and three hotel nights follow. Soft sleeper on K7092 (+¥205 pp) makes it BEST.</t>
        </is>
      </c>
    </row>
    <row r="15" ht="45" customHeight="1" s="56">
      <c r="A15" s="118" t="inlineStr">
        <is>
          <t>Shenyang – Hunnu Daxing + K341</t>
        </is>
      </c>
      <c r="B15" s="116" t="inlineStr">
        <is>
          <t>Sun 15 Nov / Sat 14 Nov</t>
        </is>
      </c>
      <c r="C15" s="116" t="inlineStr">
        <is>
          <t>12 Nov at home</t>
        </is>
      </c>
      <c r="D15" s="116" t="inlineStr">
        <is>
          <t>13 Nov K341 hard seat 23:00–08:47, then registration</t>
        </is>
      </c>
      <c r="E15" s="116" t="inlineStr">
        <is>
          <t>14 Nov Ji Hotel, twin room</t>
        </is>
      </c>
      <c r="F15" s="116" t="inlineStr">
        <is>
          <t>Walk ~15 min, wake ~06:50</t>
        </is>
      </c>
      <c r="G15" s="121" t="inlineStr">
        <is>
          <t>POOR</t>
        </is>
      </c>
      <c r="H15" s="116" t="inlineStr">
        <is>
          <t>Seated night right before day 1. K341 hard sleeper (+¥82 pp) or K53 22:35 soft sleeper (¥263) brings it to WATCH.</t>
        </is>
      </c>
    </row>
    <row r="16" ht="45" customHeight="1" s="56">
      <c r="A16" s="118" t="inlineStr">
        <is>
          <t>Shenyang – MIAT 13 Nov + K341</t>
        </is>
      </c>
      <c r="B16" s="116" t="inlineStr">
        <is>
          <t>Sun 15 Nov / Sat 14 Nov</t>
        </is>
      </c>
      <c r="C16" s="116" t="inlineStr">
        <is>
          <t>12 Nov at home</t>
        </is>
      </c>
      <c r="D16" s="116" t="inlineStr">
        <is>
          <t>13 Nov K341 hard seat 23:00–08:47, then registration</t>
        </is>
      </c>
      <c r="E16" s="116" t="inlineStr">
        <is>
          <t>14 Nov Ji Hotel, twin room</t>
        </is>
      </c>
      <c r="F16" s="116" t="inlineStr">
        <is>
          <t>Walk ~15 min, wake ~06:50</t>
        </is>
      </c>
      <c r="G16" s="121" t="inlineStr">
        <is>
          <t>POOR</t>
        </is>
      </c>
      <c r="H16" s="116" t="inlineStr">
        <is>
          <t>Same as Hunnu Daxing + K341. 'Shenyang – Budget' is this flight with the K53 soft sleeper (WATCH).</t>
        </is>
      </c>
    </row>
    <row r="17" ht="45" customHeight="1" s="56">
      <c r="A17" s="118" t="inlineStr">
        <is>
          <t>Shenyang – Hunnu Erenhot</t>
        </is>
      </c>
      <c r="B17" s="116" t="inlineStr">
        <is>
          <t>Sun 15 Nov / Sat 14 Nov</t>
        </is>
      </c>
      <c r="C17" s="116" t="inlineStr">
        <is>
          <t>12 Nov at home (wake ~05:30 on 13 Nov)</t>
        </is>
      </c>
      <c r="D17" s="116" t="inlineStr">
        <is>
          <t>13 Nov T301 hard seat, then registration</t>
        </is>
      </c>
      <c r="E17" s="116" t="inlineStr">
        <is>
          <t>14 Nov Ji Hotel, twin room</t>
        </is>
      </c>
      <c r="F17" s="116" t="inlineStr">
        <is>
          <t>Walk ~15 min, wake ~06:50</t>
        </is>
      </c>
      <c r="G17" s="121" t="inlineStr">
        <is>
          <t>POOR</t>
        </is>
      </c>
      <c r="H17" s="116" t="inlineStr">
        <is>
          <t>Early start plus a seated night before day 1. Flying on 11 Nov instead (same fare) adds two hotel nights and turns it OK.</t>
        </is>
      </c>
    </row>
    <row r="18" ht="45" customHeight="1" s="56">
      <c r="A18" s="118" t="inlineStr">
        <is>
          <t>Shenyang – Hohhot red-eye</t>
        </is>
      </c>
      <c r="B18" s="116" t="inlineStr">
        <is>
          <t>Sun 15 Nov / Sat 14 Nov</t>
        </is>
      </c>
      <c r="C18" s="116" t="inlineStr">
        <is>
          <t>12 Nov T304 hard seat (after a red-eye night, bed ~01:30)</t>
        </is>
      </c>
      <c r="D18" s="116" t="inlineStr">
        <is>
          <t>13 Nov Ji Hotel (arrive 10:16)</t>
        </is>
      </c>
      <c r="E18" s="116" t="inlineStr">
        <is>
          <t>14 Nov Ji Hotel</t>
        </is>
      </c>
      <c r="F18" s="116" t="inlineStr">
        <is>
          <t>Walk ~15 min, wake ~06:50</t>
        </is>
      </c>
      <c r="G18" s="121" t="inlineStr">
        <is>
          <t>WATCH</t>
        </is>
      </c>
      <c r="H18" s="116" t="inlineStr">
        <is>
          <t>Two short or seated nights (11 and 12 Nov) before two hotel nights. T304 hard sleeper (+¥123 pp) helps.</t>
        </is>
      </c>
    </row>
    <row r="19" ht="66" customHeight="1" s="56">
      <c r="A19" s="118" t="inlineStr">
        <is>
          <t>Shanghai – Sleeper</t>
        </is>
      </c>
      <c r="B19" s="116" t="inlineStr">
        <is>
          <t>Sun 6 Dec / Sat 5 Dec</t>
        </is>
      </c>
      <c r="C19" s="116" t="inlineStr">
        <is>
          <t>3 Dec Hi Inn (2 rooms) (after a 04:30 start for MIAT 07:30; arrive 17:35)</t>
        </is>
      </c>
      <c r="D19" s="116" t="inlineStr">
        <is>
          <t>4 Dec Hi Inn, free day</t>
        </is>
      </c>
      <c r="E19" s="116" t="inlineStr">
        <is>
          <t>5 Dec Hi Inn, 1.8 km</t>
        </is>
      </c>
      <c r="F19" s="116" t="inlineStr">
        <is>
          <t>Walk ~25 min or a ¥15 taxi, wake ~07:00</t>
        </is>
      </c>
      <c r="G19" s="119" t="inlineStr">
        <is>
          <t>BEST</t>
        </is>
      </c>
      <c r="H19" s="116" t="inlineStr">
        <is>
          <t>D8 is after the contest: now a 2nd-class seat (¥361, sleeper was ¥440). Two cheap rooms (Hi Inn) replace the apartment: total ₮7.15M.</t>
        </is>
      </c>
    </row>
    <row r="20" ht="66" customHeight="1" s="56">
      <c r="A20" s="118" t="inlineStr">
        <is>
          <t>Shanghai – Spring nonstop</t>
        </is>
      </c>
      <c r="B20" s="116" t="inlineStr">
        <is>
          <t>Sun 6 Dec / Sat 5 Dec</t>
        </is>
      </c>
      <c r="C20" s="116" t="inlineStr">
        <is>
          <t>2–3 Dec Jenny's</t>
        </is>
      </c>
      <c r="D20" s="116" t="inlineStr">
        <is>
          <t>4 Dec Jenny's</t>
        </is>
      </c>
      <c r="E20" s="116" t="inlineStr">
        <is>
          <t>5 Dec Jenny's</t>
        </is>
      </c>
      <c r="F20" s="116" t="inlineStr">
        <is>
          <t>Walk ~15 min</t>
        </is>
      </c>
      <c r="G20" s="119" t="inlineStr">
        <is>
          <t>BEST</t>
        </is>
      </c>
      <c r="H20" s="116" t="inlineStr">
        <is>
          <t>Five bed nights before the contest (more than needed). The 08:00 flight on 8 Dec is after the contest, so the 05:00 start does not matter.</t>
        </is>
      </c>
    </row>
    <row r="21" ht="70" customHeight="1" s="56">
      <c r="A21" s="118" t="inlineStr">
        <is>
          <t>Shanghai – Nonstop cheap rooms</t>
        </is>
      </c>
      <c r="B21" s="116" t="inlineStr">
        <is>
          <t>Sun 6 Dec / Sat 5 Dec</t>
        </is>
      </c>
      <c r="C21" s="116" t="inlineStr">
        <is>
          <t>1 Dec Hi Inn (arrive 17:00, bed ~22:00)</t>
        </is>
      </c>
      <c r="D21" s="116" t="inlineStr">
        <is>
          <t>2–4 Dec Hi Inn, free days</t>
        </is>
      </c>
      <c r="E21" s="116" t="inlineStr">
        <is>
          <t>5 Dec Hi Inn, 2 rooms, 1.8 km</t>
        </is>
      </c>
      <c r="F21" s="116" t="inlineStr">
        <is>
          <t>Walk ~25 min or a ¥15 taxi, wake ~06:45</t>
        </is>
      </c>
      <c r="G21" s="119" t="inlineStr">
        <is>
          <t>BEST</t>
        </is>
      </c>
      <c r="H21" s="116" t="inlineStr">
        <is>
          <t>Same five bed nights before the contest as 'Spring nonstop' for much less: two rooms with beds for everyone (8.9 from 423 reviews) instead of one apartment room for three. The 08:00 flight on 8 Dec is after the contest.</t>
        </is>
      </c>
    </row>
    <row r="22" ht="70" customHeight="1" s="56">
      <c r="A22" s="118" t="inlineStr">
        <is>
          <t>Shanghai – Fly out, train home</t>
        </is>
      </c>
      <c r="B22" s="116" t="inlineStr">
        <is>
          <t>Sun 6 Dec / Sat 5 Dec</t>
        </is>
      </c>
      <c r="C22" s="116" t="inlineStr">
        <is>
          <t>1 Dec Hi Inn (arrive 17:00)</t>
        </is>
      </c>
      <c r="D22" s="116" t="inlineStr">
        <is>
          <t>2–4 Dec Hi Inn</t>
        </is>
      </c>
      <c r="E22" s="116" t="inlineStr">
        <is>
          <t>5 Dec Hi Inn, 2 rooms, 1.8 km</t>
        </is>
      </c>
      <c r="F22" s="116" t="inlineStr">
        <is>
          <t>Walk ~25 min or a ¥15 taxi, wake ~06:45</t>
        </is>
      </c>
      <c r="G22" s="119" t="inlineStr">
        <is>
          <t>BEST</t>
        </is>
      </c>
      <c r="H22" s="116" t="inlineStr">
        <is>
          <t>Everything before the contest is identical to the cheap-rooms plan. The D10 seat (21:05) and the Beijing flight are after the awards, so only comfort is lost (~12 h seated, ~75 min to PEK at 09:24).</t>
        </is>
      </c>
    </row>
    <row r="23" ht="66" customHeight="1" s="56">
      <c r="A23" s="118" t="inlineStr">
        <is>
          <t>Shanghai – Train (no sleeper)</t>
        </is>
      </c>
      <c r="B23" s="116" t="inlineStr">
        <is>
          <t>Sun 6 Dec / Sat 5 Dec</t>
        </is>
      </c>
      <c r="C23" s="116" t="inlineStr">
        <is>
          <t>3 Dec Hi Inn</t>
        </is>
      </c>
      <c r="D23" s="116" t="inlineStr">
        <is>
          <t>4 Dec Hi Inn</t>
        </is>
      </c>
      <c r="E23" s="116" t="inlineStr">
        <is>
          <t>5 Dec Hi Inn</t>
        </is>
      </c>
      <c r="F23" s="116" t="inlineStr">
        <is>
          <t>Walk ~25 min or a ¥15 taxi</t>
        </is>
      </c>
      <c r="G23" s="119" t="inlineStr">
        <is>
          <t>BEST</t>
        </is>
      </c>
      <c r="H23" s="116" t="inlineStr">
        <is>
          <t>Identical before the contest; the Beijing hotel night after it costs +0.6M more for nothing – use the sleeper plan.</t>
        </is>
      </c>
    </row>
    <row r="24" ht="66" customHeight="1" s="56">
      <c r="A24" s="118" t="inlineStr">
        <is>
          <t>Nanchang – Sleeper</t>
        </is>
      </c>
      <c r="B24" s="116" t="inlineStr">
        <is>
          <t>Sun 20 Dec / Sat 19 Dec</t>
        </is>
      </c>
      <c r="C24" s="116" t="inlineStr">
        <is>
          <t>17 Dec Z111 hard sleeper 23:06–11:52 (~5–6 h, broken)</t>
        </is>
      </c>
      <c r="D24" s="116" t="inlineStr">
        <is>
          <t>18 Dec Orange Hotel, arrive 11:52 → nap</t>
        </is>
      </c>
      <c r="E24" s="116" t="inlineStr">
        <is>
          <t>19 Dec Orange Hotel, 0.7 km</t>
        </is>
      </c>
      <c r="F24" s="116" t="inlineStr">
        <is>
          <t>Walk ~10–15 min, wake ~07:00</t>
        </is>
      </c>
      <c r="G24" s="121" t="inlineStr">
        <is>
          <t>OK</t>
        </is>
      </c>
      <c r="H24" s="116" t="inlineStr">
        <is>
          <t>Two hotel nights sit between the sleeper and the contest. D136 home is after the contest: now a 2nd-class seat (¥271, sleeper was ¥382). Soft sleeper on Z111 (+¥168 pp, ~₮0.3M) is the upgrade. Total ₮6.3M.</t>
        </is>
      </c>
    </row>
    <row r="25" ht="66" customHeight="1" s="56">
      <c r="A25" s="118" t="inlineStr">
        <is>
          <t>Nanchang – Comfort</t>
        </is>
      </c>
      <c r="B25" s="116" t="inlineStr">
        <is>
          <t>Sun 20 Dec / Sat 19 Dec</t>
        </is>
      </c>
      <c r="C25" s="116" t="inlineStr">
        <is>
          <t>17 Dec Orange Hotel (after a 04:30 start; arrive 17:52)</t>
        </is>
      </c>
      <c r="D25" s="116" t="inlineStr">
        <is>
          <t>18 Dec Orange Hotel</t>
        </is>
      </c>
      <c r="E25" s="116" t="inlineStr">
        <is>
          <t>19 Dec Orange Hotel</t>
        </is>
      </c>
      <c r="F25" s="116" t="inlineStr">
        <is>
          <t>Walk ~10–15 min</t>
        </is>
      </c>
      <c r="G25" s="119" t="inlineStr">
        <is>
          <t>BEST</t>
        </is>
      </c>
      <c r="H25" s="116" t="inlineStr">
        <is>
          <t>Three bed nights; +1.6M vs the sleeper plan.</t>
        </is>
      </c>
    </row>
    <row r="26" ht="66" customHeight="1" s="56">
      <c r="A26" s="118" t="inlineStr">
        <is>
          <t>Nanchang – Fly in (Air China)</t>
        </is>
      </c>
      <c r="B26" s="116" t="inlineStr">
        <is>
          <t>Sun 20 Dec / Sat 19 Dec</t>
        </is>
      </c>
      <c r="C26" s="116" t="inlineStr">
        <is>
          <t>17 Dec Orange Hotel (lands 21:40, bed ~23:00)</t>
        </is>
      </c>
      <c r="D26" s="116" t="inlineStr">
        <is>
          <t>18 Dec Orange Hotel</t>
        </is>
      </c>
      <c r="E26" s="116" t="inlineStr">
        <is>
          <t>19 Dec Orange Hotel</t>
        </is>
      </c>
      <c r="F26" s="116" t="inlineStr">
        <is>
          <t>Walk ~10–15 min</t>
        </is>
      </c>
      <c r="G26" s="119" t="inlineStr">
        <is>
          <t>BEST</t>
        </is>
      </c>
      <c r="H26" s="116" t="inlineStr">
        <is>
          <t>No early start at all; +2.1M vs the sleeper plan.</t>
        </is>
      </c>
    </row>
    <row r="27" ht="66" customHeight="1" s="56">
      <c r="A27" s="118" t="inlineStr">
        <is>
          <t>Hong Kong – Budget</t>
        </is>
      </c>
      <c r="B27" s="116" t="inlineStr">
        <is>
          <t>Sun 10 Jan / Sat 9 Jan</t>
        </is>
      </c>
      <c r="C27" s="116" t="inlineStr">
        <is>
          <t>7 Jan at home (wake ~04:00 on 8 Jan for MIAT 07:15)</t>
        </is>
      </c>
      <c r="D27" s="116" t="inlineStr">
        <is>
          <t>8 Jan Chungking Mansion guesthouse, 3 in one small room</t>
        </is>
      </c>
      <c r="E27" s="116" t="inlineStr">
        <is>
          <t>9 Jan same room</t>
        </is>
      </c>
      <c r="F27" s="116" t="inlineStr">
        <is>
          <t>MTR ~35 min, wake ~06:15</t>
        </is>
      </c>
      <c r="G27" s="120" t="inlineStr">
        <is>
          <t>WATCH</t>
        </is>
      </c>
      <c r="H27" s="116" t="inlineStr">
        <is>
          <t>Cheapest, but small noisy rooms, three people in one room and a long commute are the worst pre-contest sleep of any plan. Use Value or Sleep first for the nights of 8 and 9 Jan.</t>
        </is>
      </c>
    </row>
    <row r="28" ht="66" customHeight="1" s="56">
      <c r="A28" s="118" t="inlineStr">
        <is>
          <t>Hong Kong – Comfort</t>
        </is>
      </c>
      <c r="B28" s="116" t="inlineStr">
        <is>
          <t>Sun 10 Jan / Sat 9 Jan</t>
        </is>
      </c>
      <c r="C28" s="116" t="inlineStr">
        <is>
          <t>7 Jan at home (04:00 start on 8 Jan)</t>
        </is>
      </c>
      <c r="D28" s="116" t="inlineStr">
        <is>
          <t>8 Jan Best Western Plus, Sai Ying Pun</t>
        </is>
      </c>
      <c r="E28" s="116" t="inlineStr">
        <is>
          <t>9 Jan same</t>
        </is>
      </c>
      <c r="F28" s="116" t="inlineStr">
        <is>
          <t>Walk / 1 MTR stop ~10–15 min</t>
        </is>
      </c>
      <c r="G28" s="121" t="inlineStr">
        <is>
          <t>OK</t>
        </is>
      </c>
      <c r="H28" s="116" t="inlineStr">
        <is>
          <t>Close to HKU but rated only 7.4 (4,583 reviews) – read the noise reviews before booking.</t>
        </is>
      </c>
    </row>
    <row r="29" ht="66" customHeight="1" s="56">
      <c r="A29" s="118" t="inlineStr">
        <is>
          <t>Hong Kong – Value</t>
        </is>
      </c>
      <c r="B29" s="116" t="inlineStr">
        <is>
          <t>Sun 10 Jan / Sat 9 Jan</t>
        </is>
      </c>
      <c r="C29" s="116" t="inlineStr">
        <is>
          <t>7 Jan at home (04:00 start)</t>
        </is>
      </c>
      <c r="D29" s="116" t="inlineStr">
        <is>
          <t>8 Jan Kusa Inn (9.6, 15 reviews), Kowloon</t>
        </is>
      </c>
      <c r="E29" s="116" t="inlineStr">
        <is>
          <t>9 Jan same</t>
        </is>
      </c>
      <c r="F29" s="116" t="inlineStr">
        <is>
          <t>MTR ~35 min, wake ~06:15</t>
        </is>
      </c>
      <c r="G29" s="121" t="inlineStr">
        <is>
          <t>OK</t>
        </is>
      </c>
      <c r="H29" s="116" t="inlineStr">
        <is>
          <t>Better-rated room for the same money, but few reviews and the same 35-min commute.</t>
        </is>
      </c>
    </row>
    <row r="30" ht="66" customHeight="1" s="56">
      <c r="A30" s="118" t="inlineStr">
        <is>
          <t>Hong Kong – Sleep first</t>
        </is>
      </c>
      <c r="B30" s="116" t="inlineStr">
        <is>
          <t>Sun 10 Jan / Sat 9 Jan</t>
        </is>
      </c>
      <c r="C30" s="116" t="inlineStr">
        <is>
          <t>7 Jan at home (04:00 start; arrive 11:50 and nap)</t>
        </is>
      </c>
      <c r="D30" s="116" t="inlineStr">
        <is>
          <t>8 Jan iclub AMTD Sheung Wan, 2 rooms</t>
        </is>
      </c>
      <c r="E30" s="116" t="inlineStr">
        <is>
          <t>9 Jan same, 2 MTR stops to HKU</t>
        </is>
      </c>
      <c r="F30" s="116" t="inlineStr">
        <is>
          <t>MTR ~10–15 min, wake ~07:00</t>
        </is>
      </c>
      <c r="G30" s="119" t="inlineStr">
        <is>
          <t>BEST</t>
        </is>
      </c>
      <c r="H30" s="116" t="inlineStr">
        <is>
          <t>Two rooms in an 8.6-rated hotel: ₮2.55M (3 ppl) / ₮2.33M (4 ppl) vs Budget (₮11.63M / ₮14.45M total). Over the ₮12M with the coach.</t>
        </is>
      </c>
    </row>
    <row r="31" ht="66" customHeight="1" s="56">
      <c r="A31" s="118" t="inlineStr">
        <is>
          <t>Hong Kong – Funded 12M (funded regional)</t>
        </is>
      </c>
      <c r="B31" s="116" t="inlineStr">
        <is>
          <t>Sun 10 Jan / Sat 9 Jan</t>
        </is>
      </c>
      <c r="C31" s="116" t="inlineStr">
        <is>
          <t>7 Jan at home (04:00 start; arrive 11:50, nap)</t>
        </is>
      </c>
      <c r="D31" s="116" t="inlineStr">
        <is>
          <t>8 Jan Best Western Plus, Sai Ying Pun, 2 rooms (2 beds each)</t>
        </is>
      </c>
      <c r="E31" s="116" t="inlineStr">
        <is>
          <t>9 Jan same, ~540 m to HKU</t>
        </is>
      </c>
      <c r="F31" s="116" t="inlineStr">
        <is>
          <t>Walk ~10 min, wake ~07:00</t>
        </is>
      </c>
      <c r="G31" s="121" t="inlineStr">
        <is>
          <t>OK</t>
        </is>
      </c>
      <c r="H31" s="116" t="inlineStr">
        <is>
          <t>Fits ₮12M only before the 10% contingency (~₮11.7M). Separate beds and no commute; the hotel is rated 7.4–8.2, so read noise reviews. Cheaper alternative with separate beds: Good Fortune Inn (8.6, 4 twin beds) but ~35 min MTR.</t>
        </is>
      </c>
    </row>
    <row r="32" ht="78" customHeight="1" s="56">
      <c r="A32" s="118" t="inlineStr">
        <is>
          <t>Hong Kong – Sleep priority (funded regional)</t>
        </is>
      </c>
      <c r="B32" s="116" t="inlineStr">
        <is>
          <t>Sun 10 Jan / Sat 9 Jan</t>
        </is>
      </c>
      <c r="C32" s="116" t="inlineStr">
        <is>
          <t>7 Jan at home (04:00 start; arrive 11:50, nap)</t>
        </is>
      </c>
      <c r="D32" s="116" t="inlineStr">
        <is>
          <t>8 Jan Good Fortune Inn: 2 rooms, 4 twin beds, private bathrooms</t>
        </is>
      </c>
      <c r="E32" s="116" t="inlineStr">
        <is>
          <t>9 Jan same</t>
        </is>
      </c>
      <c r="F32" s="116" t="inlineStr">
        <is>
          <t>MTR ~35–40 min, wake ~06:15 (lights out 22:30 = 7.75 h)</t>
        </is>
      </c>
      <c r="G32" s="121" t="inlineStr">
        <is>
          <t>OK</t>
        </is>
      </c>
      <c r="H32" s="116" t="inlineStr">
        <is>
          <t>Best bed arrangement under the ₮12M cap (everyone has their own bed and bathroom, 8.6 from 715 reviews) at ~₮11.3M before contingency; costs ~35 min of sleep a day in commute versus the BW Plus walk. Better still if the host campus turns out to be near Kowloon.</t>
        </is>
      </c>
    </row>
    <row r="33" ht="66" customHeight="1" s="56">
      <c r="A33" s="118" t="inlineStr">
        <is>
          <t>EC Final – Train</t>
        </is>
      </c>
      <c r="B33" s="116" t="inlineStr">
        <is>
          <t>Wed 27 Jan / Tue 26 Jan</t>
        </is>
      </c>
      <c r="C33" s="116" t="inlineStr">
        <is>
          <t>24 Jan at home</t>
        </is>
      </c>
      <c r="D33" s="116" t="inlineStr">
        <is>
          <t>25 Jan D17 2nd-class sleeper 19:10–09:15 (4-berth cabin, ~6 h) → arrive on day 1</t>
        </is>
      </c>
      <c r="E33" s="116" t="inlineStr">
        <is>
          <t>26 Jan HanTing, 1.6 km</t>
        </is>
      </c>
      <c r="F33" s="116" t="inlineStr">
        <is>
          <t>Walk ~20 min, wake ~07:00</t>
        </is>
      </c>
      <c r="G33" s="120" t="inlineStr">
        <is>
          <t>WATCH</t>
        </is>
      </c>
      <c r="H33" s="116" t="inlineStr">
        <is>
          <t>The sleeper is the night before the check-in / warm-up day (not the contest day), with a hotel night in between. Safer: leave Beijing 24 Jan (one more hotel night, ~₮0.35M) or take the afternoon G-train + hotel (old plan, ~+₮0.44M).</t>
        </is>
      </c>
    </row>
    <row r="34" ht="66" customHeight="1" s="56">
      <c r="A34" s="118" t="inlineStr">
        <is>
          <t>EC Final – Fly</t>
        </is>
      </c>
      <c r="B34" s="116" t="inlineStr">
        <is>
          <t>Wed 27 Jan / Tue 26 Jan</t>
        </is>
      </c>
      <c r="C34" s="116" t="inlineStr">
        <is>
          <t>24 Jan at home (wake ~03:30 on 25 Jan for Aero Mongolia 06:30)</t>
        </is>
      </c>
      <c r="D34" s="116" t="inlineStr">
        <is>
          <t>25 Jan Mehood Theater Hotel (arrive ~13:40; nap)</t>
        </is>
      </c>
      <c r="E34" s="116" t="inlineStr">
        <is>
          <t>26 Jan same, 1.7 km</t>
        </is>
      </c>
      <c r="F34" s="116" t="inlineStr">
        <is>
          <t>Walk ~20 min</t>
        </is>
      </c>
      <c r="G34" s="121" t="inlineStr">
        <is>
          <t>OK</t>
        </is>
      </c>
      <c r="H34" s="116" t="inlineStr">
        <is>
          <t>Early start two nights before; arrives early afternoon, then two hotel nights.</t>
        </is>
      </c>
    </row>
    <row r="35" ht="66" customHeight="1" s="56">
      <c r="A35" s="118" t="inlineStr">
        <is>
          <t>Nanjing + Shenyang (older workbook A / B)</t>
        </is>
      </c>
      <c r="B35" s="116" t="inlineStr">
        <is>
          <t>Nanjing Sun 8 Nov; Shenyang Sun 15 Nov</t>
        </is>
      </c>
      <c r="C35" s="116" t="inlineStr">
        <is>
          <t>6 Nov Beijing hotel after MIAT lands 19:30, wake ~06:00 for the G-train</t>
        </is>
      </c>
      <c r="D35" s="116" t="inlineStr">
        <is>
          <t>7 Nov Nanjing hotel (A 1 km, B 15 min metro)</t>
        </is>
      </c>
      <c r="E35" s="116" t="inlineStr">
        <is>
          <t>Shenyang: Z366 sleeper 12 Nov → hotels 13 and 14 Nov</t>
        </is>
      </c>
      <c r="F35" s="116" t="inlineStr">
        <is>
          <t>Nanjing walk / Shenyang walk</t>
        </is>
      </c>
      <c r="G35" s="121" t="inlineStr">
        <is>
          <t>OK</t>
        </is>
      </c>
      <c r="H35" s="116" t="inlineStr">
        <is>
          <t>K54 home after the Shenyang contest is now a hard sleeper (soft was ¥263). Plan C (home between) uses K53 soft sleeper on 13 Nov = night before day 1 (WATCH).</t>
        </is>
      </c>
    </row>
    <row r="36" s="56">
      <c r="A36" s="55"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37" s="56">
      <c r="A37" s="122" t="inlineStr">
        <is>
          <t>Where the money goes (use the headroom on sleep)</t>
        </is>
      </c>
    </row>
    <row r="38" ht="36" customHeight="1" s="56">
      <c r="A38" s="116" t="inlineStr">
        <is>
          <t>One regional is funded with ₮12M (coach travels, 4 people); the other is unfunded (3 contestants pay). The funded trip has little headroom (Hong Kong does not fit), and the unfunded trip pays for every hotel night, so protect sleep with timing and location first: arrive a day early only where it is cheap (Shenyang, Nanchang), pick the hotel closest to the venue, and take the cheap-but-bad options only after the contest.</t>
        </is>
      </c>
    </row>
    <row r="39" ht="36" customHeight="1" s="56">
      <c r="A39" s="116" t="inlineStr">
        <is>
          <t>Pre-contest upgrades applied: Shenyang Budget K53 hard → soft; Hong Kong Sleep first (2 rooms near HKU). Post-contest downgrades applied: Shenyang K54 soft → hard, Shanghai D8 sleeper → seat, Nanchang D136 sleeper → seat.</t>
        </is>
      </c>
    </row>
    <row r="40" ht="36" customHeight="1" s="56">
      <c r="A40" s="116" t="inlineStr">
        <is>
          <t>Cheapest post-contest options if you want to go further: Nanchang Z182 20:01 → 08:46 hard seat (¥173.5 vs ¥271); Shanghai G808 17:25 is too early after the awards, so the D8 seat stays.</t>
        </is>
      </c>
    </row>
    <row r="41" ht="36" customHeight="1" s="56">
      <c r="A41" s="116" t="inlineStr">
        <is>
          <t>Contest-day wake-up rule of thumb: bed by 22:30–23:00, up by 06:00–06:30 for a 09:00 start; avoid alcohol and late team dinners; no phone-based all-nighters on day 1.</t>
        </is>
      </c>
    </row>
  </sheetData>
  <mergeCells count="5">
    <mergeCell ref="A39:H39"/>
    <mergeCell ref="A38:H38"/>
    <mergeCell ref="A2:H2"/>
    <mergeCell ref="A41:H41"/>
    <mergeCell ref="A40:H40"/>
  </mergeCells>
  <pageMargins left="0.75" right="0.75" top="1" bottom="1" header="0.5" footer="0.5"/>
</worksheet>
</file>

<file path=xl/worksheets/sheet3.xml><?xml version="1.0" encoding="utf-8"?>
<worksheet xmlns="http://schemas.openxmlformats.org/spreadsheetml/2006/main">
  <sheetPr filterMode="0">
    <outlinePr summaryBelow="1" summaryRight="1"/>
    <pageSetUpPr fitToPage="0"/>
  </sheetPr>
  <dimension ref="A1:L69"/>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Budget</t>
        </is>
      </c>
    </row>
    <row r="2" ht="15" customHeight="1" s="56">
      <c r="A2" s="62" t="inlineStr">
        <is>
          <t>Overnight sleeper trains Beijing ⇄ Shenyang (no Beijing hotel nights), budget room, one night in Shenyang.</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17:15–19:30 $150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train K53 Beijing 22:35 → Shenyang North 07:00, soft sleeper (4-berth cabin; night before day 1)</t>
        </is>
      </c>
      <c r="C13" s="83" t="inlineStr">
        <is>
          <t>13 Nov (night)</t>
        </is>
      </c>
      <c r="D13" s="84" t="n">
        <v>0.3506944444444444</v>
      </c>
      <c r="E13" s="85" t="n">
        <v>263</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Ctrip 1 Oct / 12306 3 Oct: K53 soft sleeper ¥263 (hard ¥171). Soft on purpose: it is the night before the day-1 warm-up, so sleep matters. Replaces the Beijing night + morning G-train (¥339). MIAT lands 19:30, so ~1 h 20 min spare; if MIAT is late, use the one free change to a 14 Nov G-train. Sales open 30 Oct 10:00.</t>
        </is>
      </c>
    </row>
    <row r="14" ht="26.85" customHeight="1" s="56">
      <c r="A14" s="81" t="n"/>
      <c r="B14" s="82" t="inlineStr">
        <is>
          <t>Overnight train K54 Shenyang North 22:00 → Beijing 06:58, hard sleeper</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K54 hard sleeper ¥171, soft sleeper ¥263 (4-berth cabin). Leaves 22:00, so a late closing ceremony is fine; replaces the evening G-train (¥339) + a Beijing hotel night. Air China through ticket SHE 09:00 → UB 15:05 ($286) is the fallback. 12306 3 Oct: same official fares; sales open 1 Nov 09:00 (Shenyang North).</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n"/>
      <c r="C16" s="83" t="n"/>
      <c r="D16" s="81" t="n"/>
      <c r="E16" s="85" t="n"/>
      <c r="F16" s="86" t="n"/>
      <c r="G16" s="91" t="n"/>
      <c r="H16" s="88" t="n"/>
      <c r="I16" s="85" t="n"/>
      <c r="J16" s="91" t="n"/>
      <c r="K16" s="88" t="n"/>
      <c r="L16" s="90" t="n"/>
    </row>
    <row r="17" ht="26.85" customHeight="1" s="56">
      <c r="A17" s="81" t="n"/>
      <c r="B17" s="82"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90" t="inlineStr">
        <is>
          <t>Booking.com: 86/night (3 ppl, 1 room); 134 CNY for 2 rooms on 14 Nov.. Trip.com 1 Oct: rated 8.2 from 1,062 reviews (¥284 for 2 rooms × 2 nights) – the low price is real. Arrive 07:00 off the sleeper: leave bags until check-in</t>
        </is>
      </c>
    </row>
    <row r="18" ht="15" customHeight="1" s="56">
      <c r="A18" s="81" t="n"/>
      <c r="B18" s="82" t="n"/>
      <c r="C18" s="83" t="n"/>
      <c r="D18" s="81" t="n"/>
      <c r="E18" s="85" t="n"/>
      <c r="F18" s="86" t="n"/>
      <c r="G18" s="91" t="n"/>
      <c r="H18" s="88" t="n"/>
      <c r="I18" s="85" t="n"/>
      <c r="J18" s="91" t="n"/>
      <c r="K18" s="88" t="n"/>
      <c r="L18" s="90" t="n"/>
    </row>
    <row r="19" ht="15" customHeight="1" s="56">
      <c r="A19" s="79" t="inlineStr">
        <is>
          <t>Meals &amp; local transport</t>
        </is>
      </c>
      <c r="B19" s="80" t="n"/>
      <c r="C19" s="80" t="n"/>
      <c r="D19" s="80" t="n"/>
      <c r="E19" s="80" t="n"/>
      <c r="F19" s="80" t="n"/>
      <c r="G19" s="80" t="n"/>
      <c r="H19" s="80" t="n"/>
      <c r="I19" s="80" t="n"/>
      <c r="J19" s="80" t="n"/>
      <c r="K19" s="80" t="n"/>
      <c r="L19" s="80" t="n"/>
    </row>
    <row r="20" ht="22.35" customHeight="1" s="56">
      <c r="A20" s="81" t="n"/>
      <c r="B20" s="82" t="inlineStr">
        <is>
          <t>Meals</t>
        </is>
      </c>
      <c r="C20" s="83" t="inlineStr">
        <is>
          <t>in destination</t>
        </is>
      </c>
      <c r="D20" s="81" t="n"/>
      <c r="E20" s="92" t="n">
        <v>80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80 CNY/person/day; hosts usually provide some meals on contest days</t>
        </is>
      </c>
    </row>
    <row r="21" ht="15" customHeight="1" s="56">
      <c r="A21" s="81" t="n"/>
      <c r="B21" s="82" t="inlineStr">
        <is>
          <t>Local transport (metro, taxis)</t>
        </is>
      </c>
      <c r="C21" s="83" t="inlineStr">
        <is>
          <t>in destination</t>
        </is>
      </c>
      <c r="D21" s="81" t="n"/>
      <c r="E21" s="92" t="n">
        <v>30</v>
      </c>
      <c r="F21" s="86" t="inlineStr">
        <is>
          <t>CNY</t>
        </is>
      </c>
      <c r="G21" s="87">
        <f>Compare!$B$6*$B$4</f>
        <v/>
      </c>
      <c r="H21" s="88">
        <f>E21*G21*IF(F21="USD",Compare!$B$8,IF(F21="CNY",Compare!$B$9,IF(F21="HKD",Compare!$B$10,1)))</f>
        <v/>
      </c>
      <c r="I21" s="93">
        <f>E21</f>
        <v/>
      </c>
      <c r="J21" s="87">
        <f>Compare!$B$7*$B$4</f>
        <v/>
      </c>
      <c r="K21" s="88">
        <f>I21*J21*IF(F21="USD",Compare!$B$8,IF(F21="CNY",Compare!$B$9,IF(F21="HKD",Compare!$B$10,1)))</f>
        <v/>
      </c>
      <c r="L21" s="90" t="inlineStr">
        <is>
          <t>ASSUMPTION 30 CNY/person/day</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Shenyang regional registration fee (per team)</t>
        </is>
      </c>
      <c r="C24" s="83" t="inlineStr">
        <is>
          <t>pay by mid-Oct</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1,500 CNY/team like recent EC regionals; 2026 Shenyang invitation not yet out</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Asia Shenyang Regional, 14–15 Nov 2026 (provisional), Northeastern University – 2025 edition was on the Nanhu campus.</t>
        </is>
      </c>
    </row>
    <row r="43" ht="30" customHeight="1" s="56">
      <c r="A43" s="75" t="inlineStr">
        <is>
          <t>Why this route</t>
        </is>
      </c>
      <c r="B43" s="74" t="inlineStr">
        <is>
          <t>Cheapest way from UB: MIAT to Beijing ($150) + overnight sleeper trains (¥171 each way, no Beijing hotel), Air China home ($171). Flying UB→Shenyang direct means an overnight in Seoul (~$514 pp one way) or a 1-stop via Beijing/Hohhot ($219–233, 8–15 h).</t>
        </is>
      </c>
    </row>
    <row r="44" ht="15" customHeight="1" s="56">
      <c r="A44" s="75" t="inlineStr">
        <is>
          <t>Trade-off</t>
        </is>
      </c>
      <c r="B44" s="74" t="inlineStr">
        <is>
          <t>Two nights on sleeper trains (6-berth hard sleeper); very basic room; ~25 min metro to the venue.</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Fri 13 Nov</t>
        </is>
      </c>
      <c r="B48" s="74" t="inlineStr">
        <is>
          <t>Train</t>
        </is>
      </c>
      <c r="C48" s="74" t="inlineStr">
        <is>
          <t>Fly MIAT OM223 UB 17:15 → Beijing Capital 19:30. Airport Express + metro to Beijing station; K53 soft sleeper 22:35 → Shenyang North 07:00.</t>
        </is>
      </c>
    </row>
    <row r="49" ht="30" customHeight="1" s="56">
      <c r="A49" s="74" t="inlineStr">
        <is>
          <t>Sat 14 Nov</t>
        </is>
      </c>
      <c r="B49" s="74" t="inlineStr">
        <is>
          <t>Shenyang</t>
        </is>
      </c>
      <c r="C49" s="74" t="inlineStr">
        <is>
          <t>Arrive Shenyang North 07:00; leave bags at Bestay. Registration &amp; practice at Northeastern University Nanhu campus.</t>
        </is>
      </c>
    </row>
    <row r="50" ht="15" customHeight="1" s="56">
      <c r="A50" s="74" t="inlineStr">
        <is>
          <t>Sun 15 Nov</t>
        </is>
      </c>
      <c r="B50" s="74" t="inlineStr">
        <is>
          <t>Train</t>
        </is>
      </c>
      <c r="C50" s="74" t="inlineStr">
        <is>
          <t>SHENYANG REGIONAL contest day. K54 sleeper Shenyang North 22:00 → Beijing 06:58 (no rush after the closing ceremony).</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13 Nov</t>
        </is>
      </c>
      <c r="B55" s="105" t="inlineStr">
        <is>
          <t>Home → Chinggis Khaan airport</t>
        </is>
      </c>
      <c r="C55" s="82" t="inlineStr">
        <is>
          <t>Taxi (~50 km)</t>
        </is>
      </c>
      <c r="D55" s="104" t="n">
        <v>0.04166666666666666</v>
      </c>
      <c r="E55" s="106" t="inlineStr">
        <is>
          <t>Leave ~14:15</t>
        </is>
      </c>
      <c r="F55" s="107" t="n"/>
      <c r="G55" s="107" t="n"/>
      <c r="H55" s="107" t="n"/>
      <c r="I55" s="107" t="n"/>
      <c r="J55" s="107" t="n"/>
      <c r="K55" s="107" t="n"/>
      <c r="L55" s="107" t="n"/>
    </row>
    <row r="56" ht="26.85" customHeight="1" s="56">
      <c r="A56" s="105" t="inlineStr">
        <is>
          <t>13 Nov</t>
        </is>
      </c>
      <c r="B56" s="105" t="inlineStr">
        <is>
          <t>Ulaanbaatar → Beijing (PEK)</t>
        </is>
      </c>
      <c r="C56" s="82" t="inlineStr">
        <is>
          <t>MIAT OM223 17:15–19:30</t>
        </is>
      </c>
      <c r="D56" s="84" t="n">
        <v>0.09375</v>
      </c>
      <c r="E56" s="106" t="n"/>
      <c r="F56" s="107" t="n"/>
      <c r="G56" s="107" t="n"/>
      <c r="H56" s="107" t="n"/>
      <c r="I56" s="107" t="n"/>
      <c r="J56" s="107" t="n"/>
      <c r="K56" s="107" t="n"/>
      <c r="L56" s="107" t="n"/>
    </row>
    <row r="57" ht="15" customHeight="1" s="56">
      <c r="A57" s="105" t="inlineStr">
        <is>
          <t>13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26.85" customHeight="1" s="56">
      <c r="A58" s="105" t="inlineStr">
        <is>
          <t>13 Nov</t>
        </is>
      </c>
      <c r="B58" s="105" t="inlineStr">
        <is>
          <t>PEK → Beijing station</t>
        </is>
      </c>
      <c r="C58" s="82" t="inlineStr">
        <is>
          <t>Airport Express + metro line 2</t>
        </is>
      </c>
      <c r="D58" s="104" t="n">
        <v>0.04166666666666666</v>
      </c>
      <c r="E58" s="106" t="inlineStr">
        <is>
          <t>Aim to be there by ~21:30</t>
        </is>
      </c>
      <c r="F58" s="107" t="n"/>
      <c r="G58" s="107" t="n"/>
      <c r="H58" s="107" t="n"/>
      <c r="I58" s="107" t="n"/>
      <c r="J58" s="107" t="n"/>
      <c r="K58" s="107" t="n"/>
      <c r="L58" s="107" t="n"/>
    </row>
    <row r="59" ht="15" customHeight="1" s="56">
      <c r="A59" s="105" t="inlineStr">
        <is>
          <t>13–14 Nov</t>
        </is>
      </c>
      <c r="B59" s="105" t="inlineStr">
        <is>
          <t>Beijing → Shenyang North</t>
        </is>
      </c>
      <c r="C59" s="82" t="inlineStr">
        <is>
          <t>K53 soft sleeper 22:35–07:00</t>
        </is>
      </c>
      <c r="D59" s="104" t="n">
        <v>0.3506944444444444</v>
      </c>
      <c r="E59" s="106" t="inlineStr">
        <is>
          <t>Overnight</t>
        </is>
      </c>
      <c r="F59" s="107" t="n"/>
      <c r="G59" s="107" t="n"/>
      <c r="H59" s="107" t="n"/>
      <c r="I59" s="107" t="n"/>
      <c r="J59" s="107" t="n"/>
      <c r="K59" s="107" t="n"/>
      <c r="L59" s="107" t="n"/>
    </row>
    <row r="60" ht="15" customHeight="1" s="56">
      <c r="A60" s="105" t="inlineStr">
        <is>
          <t>14 Nov</t>
        </is>
      </c>
      <c r="B60" s="105" t="inlineStr">
        <is>
          <t>Shenyang North → Bestay hotel / NEU Nanhu</t>
        </is>
      </c>
      <c r="C60" s="82" t="inlineStr">
        <is>
          <t>Metro / taxi</t>
        </is>
      </c>
      <c r="D60" s="84" t="n">
        <v>0.01736111111111111</v>
      </c>
      <c r="E60" s="106" t="inlineStr">
        <is>
          <t>Estimate</t>
        </is>
      </c>
      <c r="F60" s="107" t="n"/>
      <c r="G60" s="107" t="n"/>
      <c r="H60" s="107" t="n"/>
      <c r="I60" s="107" t="n"/>
      <c r="J60" s="107" t="n"/>
      <c r="K60" s="107" t="n"/>
      <c r="L60" s="107" t="n"/>
    </row>
    <row r="61" ht="15" customHeight="1" s="56">
      <c r="A61" s="105" t="inlineStr">
        <is>
          <t>14–15 Nov</t>
        </is>
      </c>
      <c r="B61" s="105" t="inlineStr">
        <is>
          <t>Bestay hotel ↔ NEU Nanhu (each way)</t>
        </is>
      </c>
      <c r="C61" s="82" t="inlineStr">
        <is>
          <t>Metro</t>
        </is>
      </c>
      <c r="D61" s="104" t="inlineStr">
        <is>
          <t>daily</t>
        </is>
      </c>
      <c r="E61" s="106" t="inlineStr">
        <is>
          <t>~25 min</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10" t="n">
        <v>0.01736111111111111</v>
      </c>
      <c r="E62" s="106" t="inlineStr">
        <is>
          <t>Estimate</t>
        </is>
      </c>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10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8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15" customHeight="1"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ht="26.85" customHeight="1" s="56">
      <c r="A67" s="105" t="n"/>
      <c r="B67" s="105" t="n"/>
      <c r="C67" s="82" t="n"/>
      <c r="D67" s="84" t="n"/>
      <c r="E67" s="106" t="n"/>
      <c r="F67" s="107" t="n"/>
      <c r="G67" s="107" t="n"/>
      <c r="H67" s="107" t="n"/>
      <c r="I67" s="107" t="n"/>
      <c r="J67" s="107" t="n"/>
      <c r="K67" s="107" t="n"/>
      <c r="L67" s="107" t="n"/>
    </row>
    <row r="68" ht="14.15" customHeight="1" s="56">
      <c r="A68" s="105" t="n"/>
      <c r="B68" s="105" t="n"/>
      <c r="C68" s="82" t="n"/>
      <c r="D68" s="104" t="n"/>
      <c r="E68" s="106" t="n"/>
      <c r="F68" s="107" t="n"/>
      <c r="G68" s="107" t="n"/>
      <c r="H68" s="107" t="n"/>
      <c r="I68" s="107" t="n"/>
      <c r="J68" s="107" t="n"/>
      <c r="K68" s="107" t="n"/>
      <c r="L68" s="107" t="n"/>
    </row>
    <row r="69" ht="15" customHeight="1" s="56">
      <c r="C69" s="59" t="inlineStr">
        <is>
          <t>Total door-to-door</t>
        </is>
      </c>
      <c r="D69" s="109">
        <f>SUM(D55:D68)</f>
        <v/>
      </c>
    </row>
  </sheetData>
  <mergeCells count="23">
    <mergeCell ref="E56:L56"/>
    <mergeCell ref="E58:L58"/>
    <mergeCell ref="E68:L68"/>
    <mergeCell ref="C48:L48"/>
    <mergeCell ref="E55:L55"/>
    <mergeCell ref="E62:L62"/>
    <mergeCell ref="E67:L67"/>
    <mergeCell ref="B43:L43"/>
    <mergeCell ref="E64:L64"/>
    <mergeCell ref="C49:L49"/>
    <mergeCell ref="E63:L63"/>
    <mergeCell ref="B42:L42"/>
    <mergeCell ref="E60:L60"/>
    <mergeCell ref="E65:L65"/>
    <mergeCell ref="B44:L44"/>
    <mergeCell ref="E59:L59"/>
    <mergeCell ref="C47:L47"/>
    <mergeCell ref="C50:L50"/>
    <mergeCell ref="E61:L61"/>
    <mergeCell ref="E57:L57"/>
    <mergeCell ref="E54:L54"/>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68"/>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Shenyang – Comfort</t>
        </is>
      </c>
    </row>
    <row r="2" ht="15" customHeight="1" s="56">
      <c r="A2" s="62" t="inlineStr">
        <is>
          <t>Arrive a day early for rest, family room near the venue, MIAT + fast train out, overnight soft sleeper back to Beijing.</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30 Sep: MIAT 07:30–09:45 $151 pp (SlickTrip 30 Sep: $154)</t>
        </is>
      </c>
    </row>
    <row r="11" ht="26.85" customHeight="1" s="56">
      <c r="A11" s="81" t="n"/>
      <c r="B11" s="82"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High-speed rail Beijing Chaoyang → Shenyang North, 2nd class</t>
        </is>
      </c>
      <c r="C13" s="83" t="inlineStr">
        <is>
          <t>12 Nov (midday)</t>
        </is>
      </c>
      <c r="D13" s="84" t="n">
        <v>0.1138888888888889</v>
      </c>
      <c r="E13" s="85" t="n">
        <v>339</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339 CNY; fastest 2 h 44 min</t>
        </is>
      </c>
    </row>
    <row r="14" ht="26.85" customHeight="1" s="56">
      <c r="A14" s="81" t="n"/>
      <c r="B14" s="82" t="inlineStr">
        <is>
          <t>Overnight train K54 Shenyang North 22:00 → Beijing 06:58, hard sleeper (after the contest)</t>
        </is>
      </c>
      <c r="C14" s="83" t="inlineStr">
        <is>
          <t>15 Nov (night)</t>
        </is>
      </c>
      <c r="D14" s="84" t="n">
        <v>0.3736111111111111</v>
      </c>
      <c r="E14" s="85" t="n">
        <v>171</v>
      </c>
      <c r="F14" s="86" t="inlineStr">
        <is>
          <t>CNY</t>
        </is>
      </c>
      <c r="G14" s="87">
        <f>Compare!$B$6</f>
        <v/>
      </c>
      <c r="H14" s="88">
        <f>E14*G14*IF(F14="USD",Compare!$B$8,IF(F14="CNY",Compare!$B$9,IF(F14="HKD",Compare!$B$10,1)))</f>
        <v/>
      </c>
      <c r="I14" s="89">
        <f>E14</f>
        <v/>
      </c>
      <c r="J14" s="87">
        <f>Compare!$B$7</f>
        <v/>
      </c>
      <c r="K14" s="88">
        <f>I14*J14*IF(F14="USD",Compare!$B$8,IF(F14="CNY",Compare!$B$9,IF(F14="HKD",Compare!$B$10,1)))</f>
        <v/>
      </c>
      <c r="L14" s="90" t="inlineStr">
        <is>
          <t>Ctrip 1 Oct / 12306 3 Oct: K54 hard sleeper ¥171 (soft ¥263). Hard on purpose: it is after the contest, so sleep no longer matters (saves ¥92 pp). Leaves 22:00, so a late closing ceremony is fine; replaces the evening G-train (¥339) + a Beijing hotel night. Air China through ticket SHE 09:00 → UB 15:05 ($286) is the fallback. Sales open 1 Nov 09:00.</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Shenyang RiCH Hotel, Sanhao St (~1.3 km to NEU Nanhu; Family Room sleeps 4, so one room for 3 or 4 ppl)</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90" t="inlineStr">
        <is>
          <t>Trip.com 1 Oct: Family Room ¥976 for 3 nights, same price for 3 or 4 adults; rated 9.6 (1,802 reviews). Was Atour ¥527/night (3 ppl) / Mehood Lestie ¥718 (4 ppl, 2 rooms) on Booking.com</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22.35" customHeight="1" s="56">
      <c r="A19" s="81" t="n"/>
      <c r="B19" s="82" t="inlineStr">
        <is>
          <t>Meals</t>
        </is>
      </c>
      <c r="C19" s="83" t="inlineStr">
        <is>
          <t>in destination</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hosts usually provide some meals on contest days</t>
        </is>
      </c>
    </row>
    <row r="20" ht="15" customHeight="1" s="56">
      <c r="A20" s="81" t="n"/>
      <c r="B20" s="82" t="inlineStr">
        <is>
          <t>Local transport (metro, taxis)</t>
        </is>
      </c>
      <c r="C20" s="83" t="inlineStr">
        <is>
          <t>in destination</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22.35" customHeight="1" s="56">
      <c r="A23" s="81" t="n"/>
      <c r="B23" s="82" t="inlineStr">
        <is>
          <t>Shenyang regional registration fee (per team)</t>
        </is>
      </c>
      <c r="C23" s="83" t="inlineStr">
        <is>
          <t>pay by mid-Oct</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1,500 CNY/team like recent EC regionals; 2026 Shenyang invitation not yet out</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SUM(D10:D11)+SUM(D13:D14)</f>
        <v/>
      </c>
      <c r="K38" s="104">
        <f>SUM(D10:D11)+SUM(D13:D14)</f>
        <v/>
      </c>
    </row>
    <row r="40" ht="15" customHeight="1" s="56">
      <c r="A40" s="72" t="inlineStr">
        <is>
          <t>Key facts</t>
        </is>
      </c>
    </row>
    <row r="41" ht="15" customHeight="1" s="56">
      <c r="A41" s="75" t="inlineStr">
        <is>
          <t>Contest</t>
        </is>
      </c>
      <c r="B41" s="74" t="inlineStr">
        <is>
          <t>Asia Shenyang Regional, 14–15 Nov 2026 (provisional), Northeastern University Nanhu campus (2025 venue).</t>
        </is>
      </c>
    </row>
    <row r="42" ht="15" customHeight="1" s="56">
      <c r="A42" s="75" t="inlineStr">
        <is>
          <t>Why this plan</t>
        </is>
      </c>
      <c r="B42" s="74" t="inlineStr">
        <is>
          <t>A full rest day before registration, hotel close to the venue, same cheap MIAT + rail route.</t>
        </is>
      </c>
    </row>
    <row r="43" ht="15" customHeight="1" s="56">
      <c r="A43" s="75" t="inlineStr">
        <is>
          <t>Trade-off</t>
        </is>
      </c>
      <c r="B43" s="74" t="inlineStr">
        <is>
          <t>Two extra hotel nights and meals; very early flight from UB on 12 Nov; one night on the train back.</t>
        </is>
      </c>
    </row>
    <row r="45" ht="15" customHeight="1" s="56">
      <c r="A45" s="72" t="inlineStr">
        <is>
          <t>Day-by-day plan</t>
        </is>
      </c>
    </row>
    <row r="46" ht="15" customHeight="1" s="56">
      <c r="A46" s="96" t="inlineStr">
        <is>
          <t>Date</t>
        </is>
      </c>
      <c r="B46" s="96" t="inlineStr">
        <is>
          <t>Sleep in</t>
        </is>
      </c>
      <c r="C46" s="96" t="inlineStr">
        <is>
          <t>What happens</t>
        </is>
      </c>
    </row>
    <row r="47" ht="15" customHeight="1" s="56">
      <c r="A47" s="74" t="inlineStr">
        <is>
          <t>Thu 12 Nov</t>
        </is>
      </c>
      <c r="B47" s="74" t="inlineStr">
        <is>
          <t>Shenyang</t>
        </is>
      </c>
      <c r="C47" s="74" t="inlineStr">
        <is>
          <t>MIAT OM223 UB 07:30 → Beijing 09:45; G-train Beijing Chaoyang → Shenyang North (~12:30 → ~15:15). RiCH Hotel near NEU.</t>
        </is>
      </c>
    </row>
    <row r="48" ht="15" customHeight="1" s="56">
      <c r="A48" s="74" t="inlineStr">
        <is>
          <t>Fri 13 Nov</t>
        </is>
      </c>
      <c r="B48" s="74" t="inlineStr">
        <is>
          <t>Shenyang</t>
        </is>
      </c>
      <c r="C48" s="74" t="inlineStr">
        <is>
          <t>Rest / practice day in Shenyang.</t>
        </is>
      </c>
    </row>
    <row r="49" ht="15" customHeight="1" s="56">
      <c r="A49" s="74" t="inlineStr">
        <is>
          <t>Sat 14 Nov</t>
        </is>
      </c>
      <c r="B49" s="74" t="inlineStr">
        <is>
          <t>Shenyang</t>
        </is>
      </c>
      <c r="C49" s="74" t="inlineStr">
        <is>
          <t>Registration &amp; practice at NEU Nanhu (walkable from hotel).</t>
        </is>
      </c>
    </row>
    <row r="50" ht="15" customHeight="1" s="56">
      <c r="A50" s="74" t="inlineStr">
        <is>
          <t>Sun 15 Nov</t>
        </is>
      </c>
      <c r="B50" s="74" t="inlineStr">
        <is>
          <t>Train</t>
        </is>
      </c>
      <c r="C50" s="74" t="inlineStr">
        <is>
          <t>SHENYANG REGIONAL contest day. K54 hard sleeper Shenyang North 22:00 → Beijing 06:58.</t>
        </is>
      </c>
    </row>
    <row r="51" ht="15" customHeight="1" s="56">
      <c r="A51" s="74" t="inlineStr">
        <is>
          <t>Mon 16 Nov</t>
        </is>
      </c>
      <c r="B51" s="74" t="inlineStr">
        <is>
          <t>Home</t>
        </is>
      </c>
      <c r="C51" s="74" t="inlineStr">
        <is>
          <t>Beijing station → PEK by metro + Airport Express. Air China Beijing Capital 12:55 → UB 15:05 (nonstop).</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12 Nov</t>
        </is>
      </c>
      <c r="B55" s="105" t="inlineStr">
        <is>
          <t>Home → Chinggis Khaan airport</t>
        </is>
      </c>
      <c r="C55" s="82" t="inlineStr">
        <is>
          <t>Taxi (~50 km)</t>
        </is>
      </c>
      <c r="D55" s="104" t="n">
        <v>0.04166666666666666</v>
      </c>
      <c r="E55" s="106" t="inlineStr">
        <is>
          <t>Leave ~04:30 for 07:30 flight</t>
        </is>
      </c>
      <c r="F55" s="107" t="n"/>
      <c r="G55" s="107" t="n"/>
      <c r="H55" s="107" t="n"/>
      <c r="I55" s="107" t="n"/>
      <c r="J55" s="107" t="n"/>
      <c r="K55" s="107" t="n"/>
      <c r="L55" s="107" t="n"/>
    </row>
    <row r="56" ht="26.85" customHeight="1" s="56">
      <c r="A56" s="105" t="inlineStr">
        <is>
          <t>12 Nov</t>
        </is>
      </c>
      <c r="B56" s="105" t="inlineStr">
        <is>
          <t>Ulaanbaatar → Beijing (PEK)</t>
        </is>
      </c>
      <c r="C56" s="82" t="inlineStr">
        <is>
          <t>MIAT OM223 07:30–09:45</t>
        </is>
      </c>
      <c r="D56" s="84" t="n">
        <v>0.09375</v>
      </c>
      <c r="E56" s="106" t="n"/>
      <c r="F56" s="107" t="n"/>
      <c r="G56" s="107" t="n"/>
      <c r="H56" s="107" t="n"/>
      <c r="I56" s="107" t="n"/>
      <c r="J56" s="107" t="n"/>
      <c r="K56" s="107" t="n"/>
      <c r="L56" s="107" t="n"/>
    </row>
    <row r="57" ht="15" customHeight="1" s="56">
      <c r="A57" s="105" t="inlineStr">
        <is>
          <t>12 Nov</t>
        </is>
      </c>
      <c r="B57" s="105" t="inlineStr">
        <is>
          <t>PEK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12 Nov</t>
        </is>
      </c>
      <c r="B58" s="105" t="inlineStr">
        <is>
          <t>PEK → Beijing Chaoyang station</t>
        </is>
      </c>
      <c r="C58" s="82" t="inlineStr">
        <is>
          <t>Taxi (~20 km)</t>
        </is>
      </c>
      <c r="D58" s="104" t="n">
        <v>0.02777777777777778</v>
      </c>
      <c r="E58" s="106" t="inlineStr">
        <is>
          <t>Estimate</t>
        </is>
      </c>
      <c r="F58" s="107" t="n"/>
      <c r="G58" s="107" t="n"/>
      <c r="H58" s="107" t="n"/>
      <c r="I58" s="107" t="n"/>
      <c r="J58" s="107" t="n"/>
      <c r="K58" s="107" t="n"/>
      <c r="L58" s="107" t="n"/>
    </row>
    <row r="59" ht="15" customHeight="1" s="56">
      <c r="A59" s="105" t="inlineStr">
        <is>
          <t>12 Nov</t>
        </is>
      </c>
      <c r="B59" s="105" t="inlineStr">
        <is>
          <t>Beijing Chaoyang → Shenyang North</t>
        </is>
      </c>
      <c r="C59" s="82" t="inlineStr">
        <is>
          <t>G-train 2nd class</t>
        </is>
      </c>
      <c r="D59" s="84" t="n">
        <v>0.1138888888888889</v>
      </c>
      <c r="E59" s="106" t="n"/>
      <c r="F59" s="107" t="n"/>
      <c r="G59" s="107" t="n"/>
      <c r="H59" s="107" t="n"/>
      <c r="I59" s="107" t="n"/>
      <c r="J59" s="107" t="n"/>
      <c r="K59" s="107" t="n"/>
      <c r="L59" s="107" t="n"/>
    </row>
    <row r="60" ht="15" customHeight="1" s="56">
      <c r="A60" s="105" t="inlineStr">
        <is>
          <t>12 Nov</t>
        </is>
      </c>
      <c r="B60" s="105" t="inlineStr">
        <is>
          <t>Shenyang North → hotel near NEU</t>
        </is>
      </c>
      <c r="C60" s="82" t="inlineStr">
        <is>
          <t>Taxi</t>
        </is>
      </c>
      <c r="D60" s="104" t="n">
        <v>0.01736111111111111</v>
      </c>
      <c r="E60" s="106" t="inlineStr">
        <is>
          <t>Estimate</t>
        </is>
      </c>
      <c r="F60" s="107" t="n"/>
      <c r="G60" s="107" t="n"/>
      <c r="H60" s="107" t="n"/>
      <c r="I60" s="107" t="n"/>
      <c r="J60" s="107" t="n"/>
      <c r="K60" s="107" t="n"/>
      <c r="L60" s="107" t="n"/>
    </row>
    <row r="61" ht="15" customHeight="1" s="56">
      <c r="A61" s="105" t="inlineStr">
        <is>
          <t>13–15 Nov</t>
        </is>
      </c>
      <c r="B61" s="105" t="inlineStr">
        <is>
          <t>Hotel ↔ NEU Nanhu (each way)</t>
        </is>
      </c>
      <c r="C61" s="82" t="inlineStr">
        <is>
          <t>Walk</t>
        </is>
      </c>
      <c r="D61" s="108" t="inlineStr">
        <is>
          <t>daily</t>
        </is>
      </c>
      <c r="E61" s="106" t="inlineStr">
        <is>
          <t>~18 min walk (RiCH Hotel, 1.3 km)</t>
        </is>
      </c>
      <c r="F61" s="107" t="n"/>
      <c r="G61" s="107" t="n"/>
      <c r="H61" s="107" t="n"/>
      <c r="I61" s="107" t="n"/>
      <c r="J61" s="107" t="n"/>
      <c r="K61" s="107" t="n"/>
      <c r="L61" s="107" t="n"/>
    </row>
    <row r="62" ht="15" customHeight="1" s="56">
      <c r="A62" s="105" t="inlineStr">
        <is>
          <t>15 Nov</t>
        </is>
      </c>
      <c r="B62" s="105" t="inlineStr">
        <is>
          <t>NEU Nanhu → Shenyang North</t>
        </is>
      </c>
      <c r="C62" s="82" t="inlineStr">
        <is>
          <t>Taxi</t>
        </is>
      </c>
      <c r="D62" s="104" t="n">
        <v>0.01736111111111111</v>
      </c>
      <c r="E62" s="106" t="n"/>
      <c r="F62" s="107" t="n"/>
      <c r="G62" s="107" t="n"/>
      <c r="H62" s="107" t="n"/>
      <c r="I62" s="107" t="n"/>
      <c r="J62" s="107" t="n"/>
      <c r="K62" s="107" t="n"/>
      <c r="L62" s="107" t="n"/>
    </row>
    <row r="63" ht="15" customHeight="1" s="56">
      <c r="A63" s="105" t="inlineStr">
        <is>
          <t>15–16 Nov</t>
        </is>
      </c>
      <c r="B63" s="105" t="inlineStr">
        <is>
          <t>Shenyang North → Beijing</t>
        </is>
      </c>
      <c r="C63" s="82" t="inlineStr">
        <is>
          <t>K54 hard sleeper 22:00–06:58</t>
        </is>
      </c>
      <c r="D63" s="84" t="n">
        <v>0.3736111111111111</v>
      </c>
      <c r="E63" s="106" t="inlineStr">
        <is>
          <t>Overnight</t>
        </is>
      </c>
      <c r="F63" s="107" t="n"/>
      <c r="G63" s="107" t="n"/>
      <c r="H63" s="107" t="n"/>
      <c r="I63" s="107" t="n"/>
      <c r="J63" s="107" t="n"/>
      <c r="K63" s="107" t="n"/>
      <c r="L63" s="107" t="n"/>
    </row>
    <row r="64" ht="15" customHeight="1"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ht="15" customHeight="1"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ht="26.85" customHeight="1" s="56">
      <c r="A66" s="105" t="inlineStr">
        <is>
          <t>16 Nov</t>
        </is>
      </c>
      <c r="B66" s="105" t="inlineStr">
        <is>
          <t>Chinggis Khaan airport → home</t>
        </is>
      </c>
      <c r="C66" s="82" t="inlineStr">
        <is>
          <t>Taxi</t>
        </is>
      </c>
      <c r="D66" s="84" t="n">
        <v>0.04166666666666666</v>
      </c>
      <c r="E66" s="106" t="n"/>
      <c r="F66" s="107" t="n"/>
      <c r="G66" s="107" t="n"/>
      <c r="H66" s="107" t="n"/>
      <c r="I66" s="107" t="n"/>
      <c r="J66" s="107" t="n"/>
      <c r="K66" s="107" t="n"/>
      <c r="L66" s="107" t="n"/>
    </row>
    <row r="67" ht="14.15" customHeight="1" s="56">
      <c r="A67" s="105" t="n"/>
      <c r="B67" s="105" t="n"/>
      <c r="C67" s="82" t="n"/>
      <c r="D67" s="104" t="n"/>
      <c r="E67" s="106" t="n"/>
      <c r="F67" s="107" t="n"/>
      <c r="G67" s="107" t="n"/>
      <c r="H67" s="107" t="n"/>
      <c r="I67" s="107" t="n"/>
      <c r="J67" s="107" t="n"/>
      <c r="K67" s="107" t="n"/>
      <c r="L67" s="107" t="n"/>
    </row>
    <row r="68" ht="15" customHeight="1" s="56">
      <c r="C68" s="59" t="inlineStr">
        <is>
          <t>Total door-to-door</t>
        </is>
      </c>
      <c r="D68" s="109">
        <f>SUM(D55:D67)</f>
        <v/>
      </c>
    </row>
  </sheetData>
  <mergeCells count="23">
    <mergeCell ref="E56:L56"/>
    <mergeCell ref="E58:L58"/>
    <mergeCell ref="C48:L48"/>
    <mergeCell ref="E55:L55"/>
    <mergeCell ref="E62:L62"/>
    <mergeCell ref="E67:L67"/>
    <mergeCell ref="B43:L43"/>
    <mergeCell ref="E64:L64"/>
    <mergeCell ref="C49:L49"/>
    <mergeCell ref="E63:L63"/>
    <mergeCell ref="B42:L42"/>
    <mergeCell ref="E60:L60"/>
    <mergeCell ref="E65:L65"/>
    <mergeCell ref="E59:L59"/>
    <mergeCell ref="C47:L47"/>
    <mergeCell ref="C50:L50"/>
    <mergeCell ref="E61:L61"/>
    <mergeCell ref="E57:L57"/>
    <mergeCell ref="E54:L54"/>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Budget (G-train)</t>
        </is>
      </c>
    </row>
    <row r="2" ht="15" customHeight="1" s="56">
      <c r="A2" s="62" t="inlineStr">
        <is>
          <t>No sleeper trains: MIAT in the evening, Beijing hotel night, morning G-train, cheap budget hotel, evening G-train back and another Beijing night.</t>
        </is>
      </c>
    </row>
    <row r="4" ht="15" customHeight="1" s="56">
      <c r="A4" s="60" t="inlineStr">
        <is>
          <t>Days in destination (meals &amp; local transport)</t>
        </is>
      </c>
      <c r="B4" s="76" t="n">
        <v>3</v>
      </c>
      <c r="C4" s="62" t="inlineStr">
        <is>
          <t>Evening 13 Nov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17:15–19:30</t>
        </is>
      </c>
      <c r="C10" s="83" t="inlineStr">
        <is>
          <t>13 Nov</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 Oct: MIAT 17:15–19:30 $150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30" customHeight="1" s="56">
      <c r="A13" s="81" t="n"/>
      <c r="B13" s="111" t="inlineStr">
        <is>
          <t>High-speed rail Beijing Chaoyang 08:00 → Shenyang North 10:29 (G101), 2nd class</t>
        </is>
      </c>
      <c r="C13" s="83" t="inlineStr">
        <is>
          <t>14 Nov (morning)</t>
        </is>
      </c>
      <c r="D13" s="84" t="n">
        <v>0.1034722222222222</v>
      </c>
      <c r="E13" s="85" t="n">
        <v>355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G101 / G103 08:05 / G105 08:55 ¥355; slower G3503 08:25 → 11:56 ¥296</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Dequan Railway Station Hotel, Beijing (~1 km from Beijing Chaoyang station; 3 ppl 1 room; 4 ppl 2 rooms)</t>
        </is>
      </c>
      <c r="C16" s="83" t="inlineStr">
        <is>
          <t>13 &amp; 15 Nov (2 nights)</t>
        </is>
      </c>
      <c r="D16" s="81" t="n"/>
      <c r="E16" s="85" t="n">
        <v>304</v>
      </c>
      <c r="F16" s="86" t="inlineStr">
        <is>
          <t>CNY</t>
        </is>
      </c>
      <c r="G16" s="91" t="n">
        <v>2</v>
      </c>
      <c r="H16" s="88">
        <f>E16*G16*IF(F16="USD",Compare!$B$8,IF(F16="CNY",Compare!$B$9,IF(F16="HKD",Compare!$B$10,1)))</f>
        <v/>
      </c>
      <c r="I16" s="113" t="n">
        <v>608</v>
      </c>
      <c r="J16" s="91" t="n">
        <v>2</v>
      </c>
      <c r="K16" s="88">
        <f>I16*J16*IF(F16="USD",Compare!$B$8,IF(F16="CNY",Compare!$B$9,IF(F16="HKD",Compare!$B$10,1)))</f>
        <v/>
      </c>
      <c r="L16" s="112" t="inlineStr">
        <is>
          <t>Booking.com 9 Oct: ¥304 for 3 adults, 1 room per night; rated 8.7 (65 reviews). 4 ppl: ASSUMPTION 2 × ¥304 (rooms not searched)</t>
        </is>
      </c>
    </row>
    <row r="17" ht="45" customHeight="1" s="56">
      <c r="A17" s="81" t="n"/>
      <c r="B17" s="111" t="inlineStr">
        <is>
          <t>Bestay Hotel Express Shenyang (Huaiyuanmen; ~25 min metro to NEU Nanhu)</t>
        </is>
      </c>
      <c r="C17" s="83" t="inlineStr">
        <is>
          <t>14 Nov (1 night)</t>
        </is>
      </c>
      <c r="D17" s="81" t="n"/>
      <c r="E17" s="85" t="n">
        <v>86</v>
      </c>
      <c r="F17" s="86" t="inlineStr">
        <is>
          <t>CNY</t>
        </is>
      </c>
      <c r="G17" s="91" t="n">
        <v>1</v>
      </c>
      <c r="H17" s="88">
        <f>E17*G17*IF(F17="USD",Compare!$B$8,IF(F17="CNY",Compare!$B$9,IF(F17="HKD",Compare!$B$10,1)))</f>
        <v/>
      </c>
      <c r="I17" s="85" t="n">
        <v>134</v>
      </c>
      <c r="J17" s="91" t="n">
        <v>1</v>
      </c>
      <c r="K17" s="88">
        <f>I17*J17*IF(F17="USD",Compare!$B$8,IF(F17="CNY",Compare!$B$9,IF(F17="HKD",Compare!$B$10,1)))</f>
        <v/>
      </c>
      <c r="L17" s="112" t="inlineStr">
        <is>
          <t>Booking.com: 86/night (3 ppl, 1 room); 134 CNY for 2 rooms on 14 Nov. Trip.com 1 Oct confirms the price (rated 8.2, 1,062 reviews)</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area (Dequan hotel)</t>
        </is>
      </c>
      <c r="C21" s="83" t="inlineStr">
        <is>
          <t>13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~35 km at night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Cheapest plan without overnight trains: two nights at Dequan (¥304 each), one at Bestay (¥86), MIAT evening flight, G101 at 08:00 reaches Shenyang before the registration desk opens.</t>
        </is>
      </c>
    </row>
    <row r="45" ht="15" customHeight="1" s="56">
      <c r="A45" s="75" t="inlineStr">
        <is>
          <t>Trade-off</t>
        </is>
      </c>
      <c r="B45" s="74" t="inlineStr">
        <is>
          <t>Two Beijing night stops and a metro commute to NEU on contest day; ~25 min metro each way. About ₮0.84M more than the sleeper-train budget plan (3 ppl).</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Fri 13 Nov</t>
        </is>
      </c>
      <c r="B49" s="74" t="inlineStr">
        <is>
          <t>Beijing</t>
        </is>
      </c>
      <c r="C49" s="74" t="inlineStr">
        <is>
          <t>MIAT OM223 UB 17:15 → Beijing 19:30. Taxi to Dequan Railway Station Hotel near Beijing Chaoyang.</t>
        </is>
      </c>
    </row>
    <row r="50" ht="15" customHeight="1" s="56">
      <c r="A50" s="74" t="inlineStr">
        <is>
          <t>Sat 14 Nov</t>
        </is>
      </c>
      <c r="B50" s="74" t="inlineStr">
        <is>
          <t>Shenyang</t>
        </is>
      </c>
      <c r="C50" s="74" t="inlineStr">
        <is>
          <t>G101 Beijing Chaoyang 08:00 → Shenyang North 10:29; Bestay Hotel; registration &amp; practice at NEU Nanhu (metro).</t>
        </is>
      </c>
    </row>
    <row r="51" ht="15" customHeight="1" s="56">
      <c r="A51" s="74" t="inlineStr">
        <is>
          <t>Sun 15 Nov</t>
        </is>
      </c>
      <c r="B51" s="74" t="inlineStr">
        <is>
          <t>Beijing</t>
        </is>
      </c>
      <c r="C51" s="74" t="inlineStr">
        <is>
          <t>SHENYANG REGIONAL contest day. G142 19:51 → Beijing Chaoyang 22:30; Dequan hotel.</t>
        </is>
      </c>
    </row>
    <row r="52" ht="15" customHeight="1" s="56">
      <c r="A52" s="74" t="inlineStr">
        <is>
          <t>Mon 16 Nov</t>
        </is>
      </c>
      <c r="B52" s="74" t="inlineStr">
        <is>
          <t>Home</t>
        </is>
      </c>
      <c r="C52" s="74" t="inlineStr">
        <is>
          <t>Taxi to PEK. Air China Beijing Capital 12:55 → UB 15:05 (nonstop).</t>
        </is>
      </c>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13 Nov</t>
        </is>
      </c>
      <c r="B56" s="105" t="inlineStr">
        <is>
          <t>Home → Chinggis Khaan airport</t>
        </is>
      </c>
      <c r="C56" s="82" t="inlineStr">
        <is>
          <t>Taxi (~50 km)</t>
        </is>
      </c>
      <c r="D56" s="104" t="n">
        <v>0.04166666666666666</v>
      </c>
      <c r="E56" s="106" t="inlineStr">
        <is>
          <t>Leave ~14:15 for 17:15 flight</t>
        </is>
      </c>
      <c r="F56" s="107" t="n"/>
      <c r="G56" s="107" t="n"/>
      <c r="H56" s="107" t="n"/>
      <c r="I56" s="107" t="n"/>
      <c r="J56" s="107" t="n"/>
      <c r="K56" s="107" t="n"/>
      <c r="L56" s="107" t="n"/>
    </row>
    <row r="57" ht="15" customHeight="1" s="56">
      <c r="A57" s="105" t="inlineStr">
        <is>
          <t>13 Nov</t>
        </is>
      </c>
      <c r="B57" s="105" t="inlineStr">
        <is>
          <t>Ulaanbaatar → Beijing (PEK)</t>
        </is>
      </c>
      <c r="C57" s="82" t="inlineStr">
        <is>
          <t>MIAT OM223 17:15–19:30</t>
        </is>
      </c>
      <c r="D57" s="104" t="n">
        <v>0.09375</v>
      </c>
      <c r="E57" s="106" t="inlineStr"/>
      <c r="F57" s="107" t="n"/>
      <c r="G57" s="107" t="n"/>
      <c r="H57" s="107" t="n"/>
      <c r="I57" s="107" t="n"/>
      <c r="J57" s="107" t="n"/>
      <c r="K57" s="107" t="n"/>
      <c r="L57" s="107" t="n"/>
    </row>
    <row r="58" ht="15" customHeight="1"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ht="15" customHeight="1" s="56">
      <c r="A59" s="105" t="inlineStr">
        <is>
          <t>13 Nov</t>
        </is>
      </c>
      <c r="B59" s="105" t="inlineStr">
        <is>
          <t>PEK → Dequan hotel (Chaoyang station)</t>
        </is>
      </c>
      <c r="C59" s="82" t="inlineStr">
        <is>
          <t>Taxi (~35 km)</t>
        </is>
      </c>
      <c r="D59" s="104" t="n">
        <v>0.03472222222222222</v>
      </c>
      <c r="E59" s="106" t="inlineStr">
        <is>
          <t>Estimate</t>
        </is>
      </c>
      <c r="F59" s="107" t="n"/>
      <c r="G59" s="107" t="n"/>
      <c r="H59" s="107" t="n"/>
      <c r="I59" s="107" t="n"/>
      <c r="J59" s="107" t="n"/>
      <c r="K59" s="107" t="n"/>
      <c r="L59" s="107" t="n"/>
    </row>
    <row r="60" ht="15" customHeight="1" s="56">
      <c r="A60" s="105" t="inlineStr">
        <is>
          <t>14 Nov</t>
        </is>
      </c>
      <c r="B60" s="105" t="inlineStr">
        <is>
          <t>Beijing Chaoyang → Shenyang North</t>
        </is>
      </c>
      <c r="C60" s="82" t="inlineStr">
        <is>
          <t>G101 08:00–10:29</t>
        </is>
      </c>
      <c r="D60" s="104" t="n">
        <v>0.1034722222222222</v>
      </c>
      <c r="E60" s="106" t="inlineStr"/>
      <c r="F60" s="107" t="n"/>
      <c r="G60" s="107" t="n"/>
      <c r="H60" s="107" t="n"/>
      <c r="I60" s="107" t="n"/>
      <c r="J60" s="107" t="n"/>
      <c r="K60" s="107" t="n"/>
      <c r="L60" s="107" t="n"/>
    </row>
    <row r="61" ht="15" customHeight="1" s="56">
      <c r="A61" s="105" t="inlineStr">
        <is>
          <t>14 Nov</t>
        </is>
      </c>
      <c r="B61" s="105" t="inlineStr">
        <is>
          <t>Shenyang North → Bestay hotel</t>
        </is>
      </c>
      <c r="C61" s="82" t="inlineStr">
        <is>
          <t>Metro</t>
        </is>
      </c>
      <c r="D61" s="104" t="n">
        <v>0.02083333333333333</v>
      </c>
      <c r="E61" s="106" t="inlineStr">
        <is>
          <t>Estimate</t>
        </is>
      </c>
      <c r="F61" s="107" t="n"/>
      <c r="G61" s="107" t="n"/>
      <c r="H61" s="107" t="n"/>
      <c r="I61" s="107" t="n"/>
      <c r="J61" s="107" t="n"/>
      <c r="K61" s="107" t="n"/>
      <c r="L61" s="107" t="n"/>
    </row>
    <row r="62" ht="15" customHeight="1" s="56">
      <c r="A62" s="105" t="inlineStr">
        <is>
          <t>14–15 Nov</t>
        </is>
      </c>
      <c r="B62" s="105" t="inlineStr">
        <is>
          <t>Hotel ↔ NEU Nanhu (each way)</t>
        </is>
      </c>
      <c r="C62" s="82" t="inlineStr">
        <is>
          <t>Metro</t>
        </is>
      </c>
      <c r="D62" s="104" t="inlineStr">
        <is>
          <t>daily</t>
        </is>
      </c>
      <c r="E62" s="106" t="inlineStr">
        <is>
          <t>~25 min metro</t>
        </is>
      </c>
      <c r="F62" s="107" t="n"/>
      <c r="G62" s="107" t="n"/>
      <c r="H62" s="107" t="n"/>
      <c r="I62" s="107" t="n"/>
      <c r="J62" s="107" t="n"/>
      <c r="K62" s="107" t="n"/>
      <c r="L62" s="107" t="n"/>
    </row>
    <row r="63" ht="15" customHeight="1" s="56">
      <c r="A63" s="105" t="inlineStr">
        <is>
          <t>15 Nov</t>
        </is>
      </c>
      <c r="B63" s="105" t="inlineStr">
        <is>
          <t>NEU Nanhu → Shenyang North</t>
        </is>
      </c>
      <c r="C63" s="82" t="inlineStr">
        <is>
          <t>Taxi</t>
        </is>
      </c>
      <c r="D63" s="104" t="n">
        <v>0.01736111111111111</v>
      </c>
      <c r="E63" s="106" t="inlineStr"/>
      <c r="F63" s="107" t="n"/>
      <c r="G63" s="107" t="n"/>
      <c r="H63" s="107" t="n"/>
      <c r="I63" s="107" t="n"/>
      <c r="J63" s="107" t="n"/>
      <c r="K63" s="107" t="n"/>
      <c r="L63" s="107" t="n"/>
    </row>
    <row r="64" ht="15" customHeight="1" s="56">
      <c r="A64" s="105" t="inlineStr">
        <is>
          <t>15 Nov</t>
        </is>
      </c>
      <c r="B64" s="105" t="inlineStr">
        <is>
          <t>Shenyang North → Beijing Chaoyang</t>
        </is>
      </c>
      <c r="C64" s="82" t="inlineStr">
        <is>
          <t>G142 19:51–22:30</t>
        </is>
      </c>
      <c r="D64" s="104" t="n">
        <v>0.1104166666666667</v>
      </c>
      <c r="E64" s="106" t="inlineStr"/>
      <c r="F64" s="107" t="n"/>
      <c r="G64" s="107" t="n"/>
      <c r="H64" s="107" t="n"/>
      <c r="I64" s="107" t="n"/>
      <c r="J64" s="107" t="n"/>
      <c r="K64" s="107" t="n"/>
      <c r="L64" s="107" t="n"/>
    </row>
    <row r="65" ht="15" customHeight="1" s="56">
      <c r="A65" s="105" t="inlineStr">
        <is>
          <t>15 Nov</t>
        </is>
      </c>
      <c r="B65" s="105" t="inlineStr">
        <is>
          <t>Beijing Chaoyang station → Dequan hotel</t>
        </is>
      </c>
      <c r="C65" s="82" t="inlineStr">
        <is>
          <t>Walk / taxi (~1 km)</t>
        </is>
      </c>
      <c r="D65" s="104" t="n">
        <v>0.01041666666666667</v>
      </c>
      <c r="E65" s="106" t="inlineStr">
        <is>
          <t>Estimate</t>
        </is>
      </c>
      <c r="F65" s="107" t="n"/>
      <c r="G65" s="107" t="n"/>
      <c r="H65" s="107" t="n"/>
      <c r="I65" s="107" t="n"/>
      <c r="J65" s="107" t="n"/>
      <c r="K65" s="107" t="n"/>
      <c r="L65" s="107" t="n"/>
    </row>
    <row r="66" ht="15" customHeight="1" s="56">
      <c r="A66" s="105" t="inlineStr">
        <is>
          <t>16 Nov</t>
        </is>
      </c>
      <c r="B66" s="105" t="inlineStr">
        <is>
          <t>Hotel → PEK</t>
        </is>
      </c>
      <c r="C66" s="82" t="inlineStr">
        <is>
          <t>Taxi</t>
        </is>
      </c>
      <c r="D66" s="104" t="n">
        <v>0.03472222222222222</v>
      </c>
      <c r="E66" s="106" t="inlineStr">
        <is>
          <t>Be at PEK by ~10:55</t>
        </is>
      </c>
      <c r="F66" s="107" t="n"/>
      <c r="G66" s="107" t="n"/>
      <c r="H66" s="107" t="n"/>
      <c r="I66" s="107" t="n"/>
      <c r="J66" s="107" t="n"/>
      <c r="K66" s="107" t="n"/>
      <c r="L66" s="107" t="n"/>
    </row>
    <row r="67" ht="15" customHeight="1" s="56">
      <c r="A67" s="105" t="inlineStr">
        <is>
          <t>16 Nov</t>
        </is>
      </c>
      <c r="B67" s="105" t="inlineStr">
        <is>
          <t>Beijing (PEK) → Ulaanbaatar</t>
        </is>
      </c>
      <c r="C67" s="82" t="inlineStr">
        <is>
          <t>Air China 12:55–15:05</t>
        </is>
      </c>
      <c r="D67" s="104" t="n">
        <v>0.09027777777777778</v>
      </c>
      <c r="E67" s="106" t="inlineStr"/>
      <c r="F67" s="107" t="n"/>
      <c r="G67" s="107" t="n"/>
      <c r="H67" s="107" t="n"/>
      <c r="I67" s="107" t="n"/>
      <c r="J67" s="107" t="n"/>
      <c r="K67" s="107" t="n"/>
      <c r="L67" s="107" t="n"/>
    </row>
    <row r="68" ht="15" customHeight="1" s="56">
      <c r="A68" s="105" t="inlineStr">
        <is>
          <t>16 Nov</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SUM(D56:D68)</f>
        <v/>
      </c>
    </row>
  </sheetData>
  <mergeCells count="20">
    <mergeCell ref="E56:L56"/>
    <mergeCell ref="E58:L58"/>
    <mergeCell ref="C52:L52"/>
    <mergeCell ref="E68:L68"/>
    <mergeCell ref="E62:L62"/>
    <mergeCell ref="E67:L67"/>
    <mergeCell ref="B43:L43"/>
    <mergeCell ref="E64:L64"/>
    <mergeCell ref="C49:L49"/>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Comfort (G-train)</t>
        </is>
      </c>
    </row>
    <row r="2" ht="15" customHeight="1" s="56">
      <c r="A2" s="62" t="inlineStr">
        <is>
          <t>No sleeper trains: MIAT + high-speed rail out, evening G-train back to Beijing and a hotel night near Chaoyang station; rest day and family room near the venue.</t>
        </is>
      </c>
    </row>
    <row r="4" ht="15" customHeight="1" s="56">
      <c r="A4" s="60" t="inlineStr">
        <is>
          <t>Days in destination (meals &amp; local transport)</t>
        </is>
      </c>
      <c r="B4" s="76" t="n">
        <v>4.5</v>
      </c>
      <c r="C4" s="62" t="inlineStr">
        <is>
          <t>12 Nov morning → midday 16 Nov</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12 Nov</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30 Sep: MIAT 07:30–09:45 $151 pp (SlickTrip 30 Sep: $154)</t>
        </is>
      </c>
    </row>
    <row r="11" ht="30" customHeight="1" s="56">
      <c r="A11" s="81" t="n"/>
      <c r="B11" s="111" t="inlineStr">
        <is>
          <t>Air China Beijing (PEK) → Ulaanbaatar, nonstop 12:55–15:05</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30 Sep: Air China nonstop $171 pp (MIAT OM224 11:30 was $194 on Trip.com, $196.33 on SlickTrip)</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High-speed rail Beijing Chaoyang 12:19 → Shenyang North 14:48 (G149), 2nd class</t>
        </is>
      </c>
      <c r="C13" s="83" t="inlineStr">
        <is>
          <t>12 Nov (midday)</t>
        </is>
      </c>
      <c r="D13" s="84" t="n">
        <v>0.1034722222222222</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G149 ¥369; G3539 11:43 → 15:34 ¥355; slower 3 h 15–3 h 35 trains ¥296–317. MIAT lands 09:45, so a ~12:00 train is realistic (the old ¥339 in Shenyang – Comfort is not on the 12306 list)</t>
        </is>
      </c>
    </row>
    <row r="14" ht="60" customHeight="1" s="56">
      <c r="A14" s="81" t="n"/>
      <c r="B14" s="111" t="inlineStr">
        <is>
          <t>High-speed rail Shenyang North 19:51 → Beijing Chaoyang 22:30 (G142), 2nd class</t>
        </is>
      </c>
      <c r="C14" s="83" t="inlineStr">
        <is>
          <t>15 Nov (evening)</t>
        </is>
      </c>
      <c r="D14" s="84" t="n">
        <v>0.1104166666666667</v>
      </c>
      <c r="E14" s="85" t="n">
        <v>268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fares fixed): G142 / G156 (Shenyang stn 19:05) / G3522 19:21 → 22:36 ¥268; G122 / G126 ¥344. Awards end ~17:00, so 19:51 leaves a safe margin</t>
        </is>
      </c>
    </row>
    <row r="15" ht="15" customHeight="1" s="56">
      <c r="A15" s="79" t="inlineStr">
        <is>
          <t>Accommodation</t>
        </is>
      </c>
      <c r="B15" s="80" t="n"/>
      <c r="C15" s="80" t="n"/>
      <c r="D15" s="80" t="n"/>
      <c r="E15" s="80" t="n"/>
      <c r="F15" s="80" t="n"/>
      <c r="G15" s="80" t="n"/>
      <c r="H15" s="80" t="n"/>
      <c r="I15" s="80" t="n"/>
      <c r="J15" s="80" t="n"/>
      <c r="K15" s="80" t="n"/>
      <c r="L15" s="80" t="n"/>
    </row>
    <row r="16" ht="30" customHeight="1" s="56">
      <c r="A16" s="81" t="n"/>
      <c r="B16" s="111" t="inlineStr">
        <is>
          <t>Shenyang RiCH Hotel, Sanhao St (~1.3 km to NEU Nanhu; Family Room sleeps 4, so one room for 3 or 4)</t>
        </is>
      </c>
      <c r="C16" s="83" t="inlineStr">
        <is>
          <t>12–15 Nov (3 nights)</t>
        </is>
      </c>
      <c r="D16" s="81" t="n"/>
      <c r="E16" s="85" t="n">
        <v>325.33</v>
      </c>
      <c r="F16" s="86" t="inlineStr">
        <is>
          <t>CNY</t>
        </is>
      </c>
      <c r="G16" s="91" t="n">
        <v>3</v>
      </c>
      <c r="H16" s="88">
        <f>E16*G16*IF(F16="USD",Compare!$B$8,IF(F16="CNY",Compare!$B$9,IF(F16="HKD",Compare!$B$10,1)))</f>
        <v/>
      </c>
      <c r="I16" s="85" t="n">
        <v>325.33</v>
      </c>
      <c r="J16" s="91" t="n">
        <v>3</v>
      </c>
      <c r="K16" s="88">
        <f>I16*J16*IF(F16="USD",Compare!$B$8,IF(F16="CNY",Compare!$B$9,IF(F16="HKD",Compare!$B$10,1)))</f>
        <v/>
      </c>
      <c r="L16" s="112" t="inlineStr">
        <is>
          <t>Trip.com 1 Oct: Family Room ¥976 for 3 nights, same price for 3 or 4 adults; rated 9.6 (1,802 reviews)</t>
        </is>
      </c>
    </row>
    <row r="17" ht="45" customHeight="1" s="56">
      <c r="A17" s="81" t="n"/>
      <c r="B17" s="111" t="inlineStr">
        <is>
          <t>Dequan Railway Station Hotel, Beijing (~1 km from Beijing Chaoyang station; 3 ppl 1 room; 4 ppl 2 rooms)</t>
        </is>
      </c>
      <c r="C17" s="83" t="inlineStr">
        <is>
          <t>15 Nov (1 night)</t>
        </is>
      </c>
      <c r="D17" s="81" t="n"/>
      <c r="E17" s="85" t="n">
        <v>304</v>
      </c>
      <c r="F17" s="86" t="inlineStr">
        <is>
          <t>CNY</t>
        </is>
      </c>
      <c r="G17" s="91" t="n">
        <v>1</v>
      </c>
      <c r="H17" s="88">
        <f>E17*G17*IF(F17="USD",Compare!$B$8,IF(F17="CNY",Compare!$B$9,IF(F17="HKD",Compare!$B$10,1)))</f>
        <v/>
      </c>
      <c r="I17" s="113" t="n">
        <v>608</v>
      </c>
      <c r="J17" s="91" t="n">
        <v>1</v>
      </c>
      <c r="K17" s="88">
        <f>I17*J17*IF(F17="USD",Compare!$B$8,IF(F17="CNY",Compare!$B$9,IF(F17="HKD",Compare!$B$10,1)))</f>
        <v/>
      </c>
      <c r="L17" s="112" t="inlineStr">
        <is>
          <t>Booking.com 9 Oct: ¥304 for 3 adults, 1 room per night; rated 8.7 (65 reviews). 4 ppl: ASSUMPTION 2 × ¥304 (rooms not searched)</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A21" s="81" t="n"/>
      <c r="B21" s="111" t="inlineStr">
        <is>
          <t>Taxi PEK → Beijing Chaoyang station</t>
        </is>
      </c>
      <c r="C21" s="83" t="inlineStr">
        <is>
          <t>12 Nov</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~40 km (4 ppl may need an XL car)</t>
        </is>
      </c>
    </row>
    <row r="22" ht="15" customHeight="1" s="56">
      <c r="A22" s="81" t="n"/>
      <c r="B22" s="111" t="inlineStr">
        <is>
          <t>Taxi Dequan hotel → PEK</t>
        </is>
      </c>
      <c r="C22" s="83" t="inlineStr">
        <is>
          <t>16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~35 km, leave ~09:00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Shenyang regional registration fee (per team)</t>
        </is>
      </c>
      <c r="C25" s="83" t="inlineStr">
        <is>
          <t>pay by mid-Oct</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ASSUMPTION: 1,500 CNY/team like recent EC regionals; 2026 Shenyang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15" customHeight="1" s="56">
      <c r="A43" s="75" t="inlineStr">
        <is>
          <t>Contest</t>
        </is>
      </c>
      <c r="B43" s="74" t="inlineStr">
        <is>
          <t>Asia Shenyang Regional, 14–15 Nov 2026 (provisional), Northeastern University Nanhu campus</t>
        </is>
      </c>
    </row>
    <row r="44" ht="30" customHeight="1" s="56">
      <c r="A44" s="75" t="inlineStr">
        <is>
          <t>Why this plan</t>
        </is>
      </c>
      <c r="B44" s="74" t="inlineStr">
        <is>
          <t>Same rest day and hotel as Shenyang – Comfort, but no overnight train: you sleep in a bed both nights and the evening G-train is cheap (¥268). Fits a late closing ceremony (train 19:51).</t>
        </is>
      </c>
    </row>
    <row r="45" ht="15" customHeight="1" s="56">
      <c r="A45" s="75" t="inlineStr">
        <is>
          <t>Trade-off</t>
        </is>
      </c>
      <c r="B45" s="74" t="inlineStr">
        <is>
          <t>Costs a Beijing hotel night and about ₮0.54M more than the hard-sleeper plan (3 ppl); ~9 h 30 min in planes and trains (sleeper plan: 16 h).</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12 Nov</t>
        </is>
      </c>
      <c r="B49" s="74" t="inlineStr">
        <is>
          <t>Shenyang</t>
        </is>
      </c>
      <c r="C49" s="74" t="inlineStr">
        <is>
          <t>MIAT OM223 UB 07:30 → Beijing 09:45; taxi PEK → Beijing Chaoyang; G149 12:19 → Shenyang North 14:48; taxi to RiCH Hotel.</t>
        </is>
      </c>
    </row>
    <row r="50" ht="15" customHeight="1" s="56">
      <c r="A50" s="74" t="inlineStr">
        <is>
          <t>Fri 13 Nov</t>
        </is>
      </c>
      <c r="B50" s="74" t="inlineStr">
        <is>
          <t>Shenyang</t>
        </is>
      </c>
      <c r="C50" s="74" t="inlineStr">
        <is>
          <t>Rest / practice day in Shenyang.</t>
        </is>
      </c>
    </row>
    <row r="51" ht="15" customHeight="1" s="56">
      <c r="A51" s="74" t="inlineStr">
        <is>
          <t>Sat 14 Nov</t>
        </is>
      </c>
      <c r="B51" s="74" t="inlineStr">
        <is>
          <t>Shenyang</t>
        </is>
      </c>
      <c r="C51" s="74" t="inlineStr">
        <is>
          <t>Registration &amp; practice at NEU Nanhu (walkable from hotel).</t>
        </is>
      </c>
    </row>
    <row r="52" ht="15" customHeight="1" s="56">
      <c r="A52" s="74" t="inlineStr">
        <is>
          <t>Sun 15 Nov</t>
        </is>
      </c>
      <c r="B52" s="74" t="inlineStr">
        <is>
          <t>Beijing</t>
        </is>
      </c>
      <c r="C52" s="74" t="inlineStr">
        <is>
          <t>SHENYANG REGIONAL contest day. Taxi to Shenyang North; G142 19:51 → Beijing Chaoyang 22:30; walk/taxi to Dequan hotel.</t>
        </is>
      </c>
    </row>
    <row r="53" ht="15" customHeight="1" s="56">
      <c r="A53" s="74" t="inlineStr">
        <is>
          <t>Mon 16 Nov</t>
        </is>
      </c>
      <c r="B53" s="74" t="inlineStr">
        <is>
          <t>Home</t>
        </is>
      </c>
      <c r="C53" s="74" t="inlineStr">
        <is>
          <t>Taxi Chaoyang → PEK. Air China Beijing Capital 12:55 → UB 15:05 (nonstop).</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12 Nov</t>
        </is>
      </c>
      <c r="B57" s="105" t="inlineStr">
        <is>
          <t>Home → Chinggis Khaan airport</t>
        </is>
      </c>
      <c r="C57" s="82" t="inlineStr">
        <is>
          <t>Taxi (~50 km)</t>
        </is>
      </c>
      <c r="D57" s="104" t="n">
        <v>0.04166666666666666</v>
      </c>
      <c r="E57" s="106" t="inlineStr">
        <is>
          <t>Leave ~04:30 for 07:30 flight</t>
        </is>
      </c>
      <c r="F57" s="107" t="n"/>
      <c r="G57" s="107" t="n"/>
      <c r="H57" s="107" t="n"/>
      <c r="I57" s="107" t="n"/>
      <c r="J57" s="107" t="n"/>
      <c r="K57" s="107" t="n"/>
      <c r="L57" s="107" t="n"/>
    </row>
    <row r="58" ht="15" customHeight="1" s="56">
      <c r="A58" s="105" t="inlineStr">
        <is>
          <t>12 Nov</t>
        </is>
      </c>
      <c r="B58" s="105" t="inlineStr">
        <is>
          <t>Ulaanbaatar → Beijing (PEK)</t>
        </is>
      </c>
      <c r="C58" s="82" t="inlineStr">
        <is>
          <t>MIAT OM223 07:30–09:45</t>
        </is>
      </c>
      <c r="D58" s="104" t="n">
        <v>0.09375</v>
      </c>
      <c r="E58" s="106" t="inlineStr"/>
      <c r="F58" s="107" t="n"/>
      <c r="G58" s="107" t="n"/>
      <c r="H58" s="107" t="n"/>
      <c r="I58" s="107" t="n"/>
      <c r="J58" s="107" t="n"/>
      <c r="K58" s="107" t="n"/>
      <c r="L58" s="107" t="n"/>
    </row>
    <row r="59" ht="15" customHeight="1"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12 Nov</t>
        </is>
      </c>
      <c r="B60" s="105" t="inlineStr">
        <is>
          <t>PEK → Beijing Chaoyang station</t>
        </is>
      </c>
      <c r="C60" s="82" t="inlineStr">
        <is>
          <t>Taxi (~40 km)</t>
        </is>
      </c>
      <c r="D60" s="104" t="n">
        <v>0.03472222222222222</v>
      </c>
      <c r="E60" s="106" t="inlineStr">
        <is>
          <t>Estimate; arrive ~11:15 for the 12:19 train</t>
        </is>
      </c>
      <c r="F60" s="107" t="n"/>
      <c r="G60" s="107" t="n"/>
      <c r="H60" s="107" t="n"/>
      <c r="I60" s="107" t="n"/>
      <c r="J60" s="107" t="n"/>
      <c r="K60" s="107" t="n"/>
      <c r="L60" s="107" t="n"/>
    </row>
    <row r="61" ht="15" customHeight="1" s="56">
      <c r="A61" s="105" t="inlineStr">
        <is>
          <t>12 Nov</t>
        </is>
      </c>
      <c r="B61" s="105" t="inlineStr">
        <is>
          <t>Beijing Chaoyang → Shenyang North</t>
        </is>
      </c>
      <c r="C61" s="82" t="inlineStr">
        <is>
          <t>G149 2nd class</t>
        </is>
      </c>
      <c r="D61" s="104" t="n">
        <v>0.1034722222222222</v>
      </c>
      <c r="E61" s="106" t="inlineStr"/>
      <c r="F61" s="107" t="n"/>
      <c r="G61" s="107" t="n"/>
      <c r="H61" s="107" t="n"/>
      <c r="I61" s="107" t="n"/>
      <c r="J61" s="107" t="n"/>
      <c r="K61" s="107" t="n"/>
      <c r="L61" s="107" t="n"/>
    </row>
    <row r="62" ht="15" customHeight="1" s="56">
      <c r="A62" s="105" t="inlineStr">
        <is>
          <t>12 Nov</t>
        </is>
      </c>
      <c r="B62" s="105" t="inlineStr">
        <is>
          <t>Shenyang North → hotel near NEU</t>
        </is>
      </c>
      <c r="C62" s="82" t="inlineStr">
        <is>
          <t>Taxi</t>
        </is>
      </c>
      <c r="D62" s="104" t="n">
        <v>0.01736111111111111</v>
      </c>
      <c r="E62" s="106" t="inlineStr">
        <is>
          <t>Estimate</t>
        </is>
      </c>
      <c r="F62" s="107" t="n"/>
      <c r="G62" s="107" t="n"/>
      <c r="H62" s="107" t="n"/>
      <c r="I62" s="107" t="n"/>
      <c r="J62" s="107" t="n"/>
      <c r="K62" s="107" t="n"/>
      <c r="L62" s="107" t="n"/>
    </row>
    <row r="63" ht="15" customHeight="1" s="56">
      <c r="A63" s="105" t="inlineStr">
        <is>
          <t>13–15 Nov</t>
        </is>
      </c>
      <c r="B63" s="105" t="inlineStr">
        <is>
          <t>Hotel ↔ NEU Nanhu (each way)</t>
        </is>
      </c>
      <c r="C63" s="82" t="inlineStr">
        <is>
          <t>Walk</t>
        </is>
      </c>
      <c r="D63" s="104" t="inlineStr">
        <is>
          <t>daily</t>
        </is>
      </c>
      <c r="E63" s="106" t="inlineStr">
        <is>
          <t>~18 min walk (RiCH Hotel, 1.3 km)</t>
        </is>
      </c>
      <c r="F63" s="107" t="n"/>
      <c r="G63" s="107" t="n"/>
      <c r="H63" s="107" t="n"/>
      <c r="I63" s="107" t="n"/>
      <c r="J63" s="107" t="n"/>
      <c r="K63" s="107" t="n"/>
      <c r="L63" s="107" t="n"/>
    </row>
    <row r="64" ht="15" customHeight="1" s="56">
      <c r="A64" s="105" t="inlineStr">
        <is>
          <t>15 Nov</t>
        </is>
      </c>
      <c r="B64" s="105" t="inlineStr">
        <is>
          <t>NEU Nanhu → Shenyang North</t>
        </is>
      </c>
      <c r="C64" s="82" t="inlineStr">
        <is>
          <t>Taxi</t>
        </is>
      </c>
      <c r="D64" s="104" t="n">
        <v>0.01736111111111111</v>
      </c>
      <c r="E64" s="106" t="inlineStr"/>
      <c r="F64" s="107" t="n"/>
      <c r="G64" s="107" t="n"/>
      <c r="H64" s="107" t="n"/>
      <c r="I64" s="107" t="n"/>
      <c r="J64" s="107" t="n"/>
      <c r="K64" s="107" t="n"/>
      <c r="L64" s="107" t="n"/>
    </row>
    <row r="65" ht="15" customHeight="1" s="56">
      <c r="A65" s="105" t="inlineStr">
        <is>
          <t>15 Nov</t>
        </is>
      </c>
      <c r="B65" s="105" t="inlineStr">
        <is>
          <t>Shenyang North → Beijing Chaoyang</t>
        </is>
      </c>
      <c r="C65" s="82" t="inlineStr">
        <is>
          <t>G142 19:51–22:30</t>
        </is>
      </c>
      <c r="D65" s="104" t="n">
        <v>0.1104166666666667</v>
      </c>
      <c r="E65" s="106" t="inlineStr"/>
      <c r="F65" s="107" t="n"/>
      <c r="G65" s="107" t="n"/>
      <c r="H65" s="107" t="n"/>
      <c r="I65" s="107" t="n"/>
      <c r="J65" s="107" t="n"/>
      <c r="K65" s="107" t="n"/>
      <c r="L65" s="107" t="n"/>
    </row>
    <row r="66" ht="15" customHeight="1" s="56">
      <c r="A66" s="105" t="inlineStr">
        <is>
          <t>15 Nov</t>
        </is>
      </c>
      <c r="B66" s="105" t="inlineStr">
        <is>
          <t>Beijing Chaoyang station → Dequan hotel</t>
        </is>
      </c>
      <c r="C66" s="82" t="inlineStr">
        <is>
          <t>Walk / taxi (~1 km)</t>
        </is>
      </c>
      <c r="D66" s="104" t="n">
        <v>0.01041666666666667</v>
      </c>
      <c r="E66" s="106" t="inlineStr">
        <is>
          <t>Estimate</t>
        </is>
      </c>
      <c r="F66" s="107" t="n"/>
      <c r="G66" s="107" t="n"/>
      <c r="H66" s="107" t="n"/>
      <c r="I66" s="107" t="n"/>
      <c r="J66" s="107" t="n"/>
      <c r="K66" s="107" t="n"/>
      <c r="L66" s="107" t="n"/>
    </row>
    <row r="67" ht="15" customHeight="1" s="56">
      <c r="A67" s="105" t="inlineStr">
        <is>
          <t>16 Nov</t>
        </is>
      </c>
      <c r="B67" s="105" t="inlineStr">
        <is>
          <t>Hotel → PEK</t>
        </is>
      </c>
      <c r="C67" s="82" t="inlineStr">
        <is>
          <t>Taxi</t>
        </is>
      </c>
      <c r="D67" s="104" t="n">
        <v>0.03472222222222222</v>
      </c>
      <c r="E67" s="106" t="inlineStr">
        <is>
          <t>Be at PEK by ~10:55</t>
        </is>
      </c>
      <c r="F67" s="107" t="n"/>
      <c r="G67" s="107" t="n"/>
      <c r="H67" s="107" t="n"/>
      <c r="I67" s="107" t="n"/>
      <c r="J67" s="107" t="n"/>
      <c r="K67" s="107" t="n"/>
      <c r="L67" s="107" t="n"/>
    </row>
    <row r="68" ht="15" customHeight="1" s="56">
      <c r="A68" s="105" t="inlineStr">
        <is>
          <t>16 Nov</t>
        </is>
      </c>
      <c r="B68" s="105" t="inlineStr">
        <is>
          <t>Beijing (PEK) → Ulaanbaatar</t>
        </is>
      </c>
      <c r="C68" s="82" t="inlineStr">
        <is>
          <t>Air China 12:55–15:05</t>
        </is>
      </c>
      <c r="D68" s="104" t="n">
        <v>0.09027777777777778</v>
      </c>
      <c r="E68" s="106" t="inlineStr"/>
      <c r="F68" s="107" t="n"/>
      <c r="G68" s="107" t="n"/>
      <c r="H68" s="107" t="n"/>
      <c r="I68" s="107" t="n"/>
      <c r="J68" s="107" t="n"/>
      <c r="K68" s="107" t="n"/>
      <c r="L68" s="107" t="n"/>
    </row>
    <row r="69" ht="15" customHeight="1" s="56">
      <c r="A69" s="105" t="inlineStr">
        <is>
          <t>16 Nov</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SUM(D57:D69)</f>
        <v/>
      </c>
    </row>
  </sheetData>
  <mergeCells count="21">
    <mergeCell ref="E58:L58"/>
    <mergeCell ref="C52:L52"/>
    <mergeCell ref="E68:L68"/>
    <mergeCell ref="E62:L62"/>
    <mergeCell ref="E67:L67"/>
    <mergeCell ref="B43:L43"/>
    <mergeCell ref="C53:L53"/>
    <mergeCell ref="E64:L64"/>
    <mergeCell ref="C49:L49"/>
    <mergeCell ref="E63:L63"/>
    <mergeCell ref="E60:L60"/>
    <mergeCell ref="E69:L69"/>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Sleep first</t>
        </is>
      </c>
    </row>
    <row r="2" ht="15" customHeight="1" s="56">
      <c r="A2" s="62" t="inlineStr">
        <is>
          <t>Sleep first before the contest, cheapest after: no early alarm (Air China 11:50), three nights in the same quiet hotel next to the venue with a bed each; hard-seat night train + cheapest flight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75" customHeight="1" s="56">
      <c r="B13" s="111" t="inlineStr">
        <is>
          <t>High-speed rail G153 Beijing Chaoyang 17:27 → Shenyang 20:04, 2nd class</t>
        </is>
      </c>
      <c r="C13" s="83" t="inlineStr">
        <is>
          <t>12 Nov (evening)</t>
        </is>
      </c>
      <c r="D13" s="84" t="n">
        <v>0.1090277777777778</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51" customHeight="1" s="56">
      <c r="B16" s="111" t="inlineStr">
        <is>
          <t>NEU International Hotel, 80 Wenti West Rd (~580 m to NEU Nanhu): 2 Superior Twin rooms, 38 m², floors 5–10 – a bed each</t>
        </is>
      </c>
      <c r="C16" s="83" t="inlineStr">
        <is>
          <t>12–15 Nov (3 nights)</t>
        </is>
      </c>
      <c r="D16" s="84" t="n"/>
      <c r="E16" s="85" t="n">
        <v>796</v>
      </c>
      <c r="F16" s="86" t="inlineStr">
        <is>
          <t>CNY</t>
        </is>
      </c>
      <c r="G16" s="91" t="n">
        <v>3</v>
      </c>
      <c r="H16" s="88">
        <f>E16*G16*IF(F16="USD",Compare!$B$8,IF(F16="CNY",Compare!$B$9,IF(F16="HKD",Compare!$B$10,1)))</f>
        <v/>
      </c>
      <c r="I16" s="85" t="n">
        <v>796</v>
      </c>
      <c r="J16" s="91" t="n">
        <v>3</v>
      </c>
      <c r="K16" s="88">
        <f>I16*J16*IF(F16="USD",Compare!$B$8,IF(F16="CNY",Compare!$B$9,IF(F16="HKD",Compare!$B$10,1)))</f>
        <v/>
      </c>
      <c r="L16" s="112" t="inlineStr">
        <is>
          <t>Trip.com 22 Oct: ¥2,388 for 2 rooms × 3 nights incl. taxes, free cancellation, pay at hotel; same price for 3 or 4 adults. 9.7 from 1,998 reviews (no negative review in 2 years; campus/river views). Shown as a 30% 'Surprise Savings' rate (list ¥547 per room-night = ¥3,282) – book soon.</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Taxi PEK → Beijing Chaoyang station</t>
        </is>
      </c>
      <c r="C20" s="83" t="inlineStr">
        <is>
          <t>12 Nov</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~40 km (4 ppl may need an XL car)</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45" customHeight="1" s="56">
      <c r="A43" s="75" t="inlineStr">
        <is>
          <t>Why this plan</t>
        </is>
      </c>
      <c r="B43" s="74" t="inlineStr">
        <is>
          <t>Sleep quantity: nobody wakes before ~08:00 on any day before the contest (Air China 11:50 instead of MIAT 07:30), and there are three hotel nights before the contest with a free rest day on 13 Nov. Sleep quality: the same room all three nights, two twin rooms so everyone has their own bed, the best-rated hotel next to the campus (9.7), and a 7-minute walk on contest morning.</t>
        </is>
      </c>
    </row>
    <row r="44" ht="30" customHeight="1" s="56">
      <c r="A44" s="75" t="inlineStr">
        <is>
          <t>Trade-off</t>
        </is>
      </c>
      <c r="B44" s="74" t="inlineStr">
        <is>
          <t>After the contest it is the cheapest way home: a night sitting up on the K28 (hard sleeper K54 is +¥59 pp) and the cheapest flight. Hotel luggage storage on 15 Nov (check-out before the contest). 'Shenyang – Sleep value' is the same plan with a cheaper twin-room hotel 15 min away.</t>
        </is>
      </c>
    </row>
    <row r="45" ht="15" customHeight="1" s="56">
      <c r="A45" s="75" t="inlineStr">
        <is>
          <t>Book</t>
        </is>
      </c>
      <c r="B45" s="74" t="inlineStr">
        <is>
          <t>Air China CA902 on Ctrip now (¥1,291; Trip.com $203 as fallback); hotel now (free cancellation); G153 on 12306 at 10:00 on 29 Oct; K28 at 09:30 on 1 Nov.</t>
        </is>
      </c>
    </row>
    <row r="46" s="56"/>
    <row r="47" s="56">
      <c r="A47" s="72" t="inlineStr">
        <is>
          <t>Day-by-day plan</t>
        </is>
      </c>
    </row>
    <row r="48" s="56">
      <c r="A48" s="96" t="inlineStr">
        <is>
          <t>Date</t>
        </is>
      </c>
      <c r="B48" s="96" t="inlineStr">
        <is>
          <t>Sleep in</t>
        </is>
      </c>
      <c r="C48" s="96" t="inlineStr">
        <is>
          <t>What happens</t>
        </is>
      </c>
    </row>
    <row r="49" ht="30" customHeight="1" s="56">
      <c r="A49" s="74" t="inlineStr">
        <is>
          <t>Thu 12 Nov</t>
        </is>
      </c>
      <c r="B49" s="74" t="inlineStr">
        <is>
          <t>Shenyang</t>
        </is>
      </c>
      <c r="C49" s="74" t="inlineStr">
        <is>
          <t>Wake ~08:00. Air China CA902 UB 11:50 → Beijing Capital 13:55; taxi to Beijing Chaoyang; G153 17:27 → Shenyang 20:04 (G141 16:00 if early); taxi to NEU International Hotel. Bed by ~23:00.</t>
        </is>
      </c>
    </row>
    <row r="50" ht="15" customHeight="1" s="56">
      <c r="A50" s="74" t="inlineStr">
        <is>
          <t>Fri 13 Nov</t>
        </is>
      </c>
      <c r="B50" s="74" t="inlineStr">
        <is>
          <t>Shenyang</t>
        </is>
      </c>
      <c r="C50" s="74" t="inlineStr">
        <is>
          <t>Free rest day: no alarm, light practice, walk the 7-minute route to the venue.</t>
        </is>
      </c>
    </row>
    <row r="51" ht="15" customHeight="1" s="56">
      <c r="A51" s="74" t="inlineStr">
        <is>
          <t>Sat 14 Nov</t>
        </is>
      </c>
      <c r="B51" s="74" t="inlineStr">
        <is>
          <t>Shenyang</t>
        </is>
      </c>
      <c r="C51" s="74" t="inlineStr">
        <is>
          <t>Registration, opening and practice at NEU Nanhu. Lights out ~22:30.</t>
        </is>
      </c>
    </row>
    <row r="52" ht="30" customHeight="1" s="56">
      <c r="A52" s="74" t="inlineStr">
        <is>
          <t>Sun 15 Nov</t>
        </is>
      </c>
      <c r="B52" s="74" t="inlineStr">
        <is>
          <t>Train (seat)</t>
        </is>
      </c>
      <c r="C52" s="74" t="inlineStr">
        <is>
          <t>CONTEST. Wake ~07:00, walk 7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12 Nov</t>
        </is>
      </c>
      <c r="B57" s="105" t="inlineStr">
        <is>
          <t>Home → Chinggis Khaan airport</t>
        </is>
      </c>
      <c r="C57" s="82" t="inlineStr">
        <is>
          <t>Taxi (~50 km)</t>
        </is>
      </c>
      <c r="D57" s="104" t="n">
        <v>0.04166666666666666</v>
      </c>
      <c r="E57" s="106" t="inlineStr">
        <is>
          <t>Leave ~09:15 for the 11:50 flight; wake ~08:00</t>
        </is>
      </c>
      <c r="F57" s="107" t="n"/>
      <c r="G57" s="107" t="n"/>
      <c r="H57" s="107" t="n"/>
      <c r="I57" s="107" t="n"/>
      <c r="J57" s="107" t="n"/>
      <c r="K57" s="107" t="n"/>
      <c r="L57" s="107" t="n"/>
    </row>
    <row r="58" s="56">
      <c r="A58" s="105" t="inlineStr">
        <is>
          <t>12 Nov</t>
        </is>
      </c>
      <c r="B58" s="105" t="inlineStr">
        <is>
          <t>Ulaanbaatar → Beijing (PEK)</t>
        </is>
      </c>
      <c r="C58" s="82" t="inlineStr">
        <is>
          <t>Air China CA902 11:50–13:55</t>
        </is>
      </c>
      <c r="D58" s="104" t="n">
        <v>0.08680555555555555</v>
      </c>
      <c r="E58" s="106" t="n"/>
      <c r="F58" s="107" t="n"/>
      <c r="G58" s="107" t="n"/>
      <c r="H58" s="107" t="n"/>
      <c r="I58" s="107" t="n"/>
      <c r="J58" s="107" t="n"/>
      <c r="K58" s="107" t="n"/>
      <c r="L58" s="107" t="n"/>
    </row>
    <row r="59"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s="56">
      <c r="A60" s="105" t="inlineStr">
        <is>
          <t>12 Nov</t>
        </is>
      </c>
      <c r="B60" s="105" t="inlineStr">
        <is>
          <t>PEK → Beijing Chaoyang station</t>
        </is>
      </c>
      <c r="C60" s="82" t="inlineStr">
        <is>
          <t>Taxi (~40 km)</t>
        </is>
      </c>
      <c r="D60" s="104" t="n">
        <v>0.03472222222222222</v>
      </c>
      <c r="E60" s="106" t="inlineStr">
        <is>
          <t>Estimate; at the station ~15:30, G153 at 17:27 (or G141 16:00)</t>
        </is>
      </c>
      <c r="F60" s="107" t="n"/>
      <c r="G60" s="107" t="n"/>
      <c r="H60" s="107" t="n"/>
      <c r="I60" s="107" t="n"/>
      <c r="J60" s="107" t="n"/>
      <c r="K60" s="107" t="n"/>
      <c r="L60" s="107" t="n"/>
    </row>
    <row r="61" s="56">
      <c r="A61" s="105" t="inlineStr">
        <is>
          <t>12 Nov</t>
        </is>
      </c>
      <c r="B61" s="105" t="inlineStr">
        <is>
          <t>Beijing Chaoyang → Shenyang</t>
        </is>
      </c>
      <c r="C61" s="82" t="inlineStr">
        <is>
          <t>G153 2nd class 17:27–20:04</t>
        </is>
      </c>
      <c r="D61" s="104" t="n">
        <v>0.1090277777777778</v>
      </c>
      <c r="E61" s="106" t="n"/>
      <c r="F61" s="107" t="n"/>
      <c r="G61" s="107" t="n"/>
      <c r="H61" s="107" t="n"/>
      <c r="I61" s="107" t="n"/>
      <c r="J61" s="107" t="n"/>
      <c r="K61" s="107" t="n"/>
      <c r="L61" s="107" t="n"/>
    </row>
    <row r="62" s="56">
      <c r="A62" s="105" t="inlineStr">
        <is>
          <t>12 Nov</t>
        </is>
      </c>
      <c r="B62" s="105" t="inlineStr">
        <is>
          <t>Shenyang station → hotel</t>
        </is>
      </c>
      <c r="C62" s="82" t="inlineStr">
        <is>
          <t>Taxi (~4 km)</t>
        </is>
      </c>
      <c r="D62" s="104" t="n">
        <v>0.01388888888888889</v>
      </c>
      <c r="E62" s="106" t="inlineStr">
        <is>
          <t>Check in ~20:30</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~7 min walk (NEU International Hotel, 580 m)</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SUM(D57:D68)</f>
        <v/>
      </c>
    </row>
    <row r="71" s="56"/>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0"/>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Sleep value</t>
        </is>
      </c>
    </row>
    <row r="2" ht="15" customHeight="1" s="56">
      <c r="A2" s="62" t="inlineStr">
        <is>
          <t>Same sleep-first timing as 'Sleep first' (Air China 11:50, three nights before the contest, a bed each) in a cheaper twin-room hotel ~15 min walk from the venue; hard-seat night train + cheapest flight home.</t>
        </is>
      </c>
    </row>
    <row r="4" ht="15" customHeight="1" s="56">
      <c r="A4" s="60" t="inlineStr">
        <is>
          <t>Days in destination (meals &amp; local transport)</t>
        </is>
      </c>
      <c r="B4" s="76" t="n">
        <v>4</v>
      </c>
      <c r="C4" s="62" t="inlineStr">
        <is>
          <t>12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75" customHeight="1" s="56">
      <c r="B13" s="111" t="inlineStr">
        <is>
          <t>High-speed rail G153 Beijing Chaoyang 17:27 → Shenyang 20:04, 2nd class</t>
        </is>
      </c>
      <c r="C13" s="83" t="inlineStr">
        <is>
          <t>12 Nov (evening)</t>
        </is>
      </c>
      <c r="D13" s="84" t="n">
        <v>0.1090277777777778</v>
      </c>
      <c r="E13" s="85" t="n">
        <v>369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60" customHeight="1" s="56">
      <c r="B16" s="111" t="inlineStr">
        <is>
          <t>Ji Hotel Sanhao Street, 55 Sanhao St (~940 m to NEU Nanhu, ~15 min walk): 2 Budget Twin rooms, King Koil mattresses, windows, floors 4–16 – a bed each</t>
        </is>
      </c>
      <c r="C16" s="83" t="inlineStr">
        <is>
          <t>12–15 Nov (3 nights)</t>
        </is>
      </c>
      <c r="D16" s="84" t="n"/>
      <c r="E16" s="85" t="n">
        <v>457</v>
      </c>
      <c r="F16" s="86" t="inlineStr">
        <is>
          <t>CNY</t>
        </is>
      </c>
      <c r="G16" s="91" t="n">
        <v>3</v>
      </c>
      <c r="H16" s="88">
        <f>E16*G16*IF(F16="USD",Compare!$B$8,IF(F16="CNY",Compare!$B$9,IF(F16="HKD",Compare!$B$10,1)))</f>
        <v/>
      </c>
      <c r="I16" s="85" t="n">
        <v>457</v>
      </c>
      <c r="J16" s="91" t="n">
        <v>3</v>
      </c>
      <c r="K16" s="88">
        <f>I16*J16*IF(F16="USD",Compare!$B$8,IF(F16="CNY",Compare!$B$9,IF(F16="HKD",Compare!$B$10,1)))</f>
        <v/>
      </c>
      <c r="L16" s="112" t="inlineStr">
        <is>
          <t>Trip.com 22 Oct: ¥1,371 for 2 rooms × 3 nights incl. taxes, free cancellation until 18:00 on 11 Nov (prepay); same price for 3 or 4 adults. 9.0 from 1,433 reviews; 16 m² rooms high in an office tower, above the street. Breakfast ¥40 optional.</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Taxi PEK → Beijing Chaoyang station</t>
        </is>
      </c>
      <c r="C20" s="83" t="inlineStr">
        <is>
          <t>12 Nov</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~40 km (4 ppl may need an XL car)</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30" customHeight="1" s="56">
      <c r="A43" s="75" t="inlineStr">
        <is>
          <t>Why this plan</t>
        </is>
      </c>
      <c r="B43" s="74" t="inlineStr">
        <is>
          <t>Same sleep quantity as 'Sleep first' (no alarm before ~08:00, three hotel nights, rest day on 13 Nov) and still a bed each: two twin rooms with King Koil mattresses (Huazhu's Ji Hotel, 9.0 from 1,433 reviews) high in an office tower, for ¥1,017 less than NEU International.</t>
        </is>
      </c>
    </row>
    <row r="44" ht="30" customHeight="1" s="56">
      <c r="A44" s="75" t="inlineStr">
        <is>
          <t>Trade-off</t>
        </is>
      </c>
      <c r="B44" s="74" t="inlineStr">
        <is>
          <t>Smaller rooms (16 m² vs 38 m²) and a ~15-minute walk (wake ~06:50 instead of 07:00). After the contest the same cheapest way home: K28 hard seat (K54 hard sleeper +¥59 pp) and Air China 12:55.</t>
        </is>
      </c>
    </row>
    <row r="45" ht="15" customHeight="1" s="56">
      <c r="A45" s="75" t="inlineStr">
        <is>
          <t>Book</t>
        </is>
      </c>
      <c r="B45" s="74" t="inlineStr">
        <is>
          <t>Air China CA902 on Ctrip now (¥1,291; Trip.com $203 as fallback); hotel now (free cancellation until 18:00 on 11 Nov, prepaid); G153 on 12306 at 10:00 on 29 Oct; K28 at 09:30 on 1 Nov.</t>
        </is>
      </c>
    </row>
    <row r="46" s="56"/>
    <row r="47" s="56">
      <c r="A47" s="72" t="inlineStr">
        <is>
          <t>Day-by-day plan</t>
        </is>
      </c>
    </row>
    <row r="48" s="56">
      <c r="A48" s="96" t="inlineStr">
        <is>
          <t>Date</t>
        </is>
      </c>
      <c r="B48" s="96" t="inlineStr">
        <is>
          <t>Sleep in</t>
        </is>
      </c>
      <c r="C48" s="96" t="inlineStr">
        <is>
          <t>What happens</t>
        </is>
      </c>
    </row>
    <row r="49" ht="30" customHeight="1" s="56">
      <c r="A49" s="74" t="inlineStr">
        <is>
          <t>Thu 12 Nov</t>
        </is>
      </c>
      <c r="B49" s="74" t="inlineStr">
        <is>
          <t>Shenyang</t>
        </is>
      </c>
      <c r="C49" s="74" t="inlineStr">
        <is>
          <t>Wake ~08:00. Air China CA902 UB 11:50 → Beijing Capital 13:55; taxi to Beijing Chaoyang; G153 17:27 → Shenyang 20:04 (G141 16:00 if early); taxi to Ji Hotel Sanhao Street. Bed by ~23:00.</t>
        </is>
      </c>
    </row>
    <row r="50" ht="15" customHeight="1" s="56">
      <c r="A50" s="74" t="inlineStr">
        <is>
          <t>Fri 13 Nov</t>
        </is>
      </c>
      <c r="B50" s="74" t="inlineStr">
        <is>
          <t>Shenyang</t>
        </is>
      </c>
      <c r="C50" s="74" t="inlineStr">
        <is>
          <t>Free rest day: no alarm, light practice, walk the ~15-minute route to the venue.</t>
        </is>
      </c>
    </row>
    <row r="51" ht="15" customHeight="1" s="56">
      <c r="A51" s="74" t="inlineStr">
        <is>
          <t>Sat 14 Nov</t>
        </is>
      </c>
      <c r="B51" s="74" t="inlineStr">
        <is>
          <t>Shenyang</t>
        </is>
      </c>
      <c r="C51" s="74" t="inlineStr">
        <is>
          <t>Registration, opening and practice at NEU Nanhu. Lights out ~22:30.</t>
        </is>
      </c>
    </row>
    <row r="52" ht="30" customHeight="1" s="56">
      <c r="A52" s="74" t="inlineStr">
        <is>
          <t>Sun 15 Nov</t>
        </is>
      </c>
      <c r="B52" s="74" t="inlineStr">
        <is>
          <t>Train (seat)</t>
        </is>
      </c>
      <c r="C52" s="74" t="inlineStr">
        <is>
          <t>CONTEST. Wake ~06:50, walk ~15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12 Nov</t>
        </is>
      </c>
      <c r="B57" s="105" t="inlineStr">
        <is>
          <t>Home → Chinggis Khaan airport</t>
        </is>
      </c>
      <c r="C57" s="82" t="inlineStr">
        <is>
          <t>Taxi (~50 km)</t>
        </is>
      </c>
      <c r="D57" s="104" t="n">
        <v>0.04166666666666666</v>
      </c>
      <c r="E57" s="106" t="inlineStr">
        <is>
          <t>Leave ~09:15 for the 11:50 flight; wake ~08:00</t>
        </is>
      </c>
      <c r="F57" s="107" t="n"/>
      <c r="G57" s="107" t="n"/>
      <c r="H57" s="107" t="n"/>
      <c r="I57" s="107" t="n"/>
      <c r="J57" s="107" t="n"/>
      <c r="K57" s="107" t="n"/>
      <c r="L57" s="107" t="n"/>
    </row>
    <row r="58" s="56">
      <c r="A58" s="105" t="inlineStr">
        <is>
          <t>12 Nov</t>
        </is>
      </c>
      <c r="B58" s="105" t="inlineStr">
        <is>
          <t>Ulaanbaatar → Beijing (PEK)</t>
        </is>
      </c>
      <c r="C58" s="82" t="inlineStr">
        <is>
          <t>Air China CA902 11:50–13:55</t>
        </is>
      </c>
      <c r="D58" s="104" t="n">
        <v>0.08680555555555555</v>
      </c>
      <c r="E58" s="106" t="n"/>
      <c r="F58" s="107" t="n"/>
      <c r="G58" s="107" t="n"/>
      <c r="H58" s="107" t="n"/>
      <c r="I58" s="107" t="n"/>
      <c r="J58" s="107" t="n"/>
      <c r="K58" s="107" t="n"/>
      <c r="L58" s="107" t="n"/>
    </row>
    <row r="59" s="56">
      <c r="A59" s="105" t="inlineStr">
        <is>
          <t>12 Nov</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s="56">
      <c r="A60" s="105" t="inlineStr">
        <is>
          <t>12 Nov</t>
        </is>
      </c>
      <c r="B60" s="105" t="inlineStr">
        <is>
          <t>PEK → Beijing Chaoyang station</t>
        </is>
      </c>
      <c r="C60" s="82" t="inlineStr">
        <is>
          <t>Taxi (~40 km)</t>
        </is>
      </c>
      <c r="D60" s="104" t="n">
        <v>0.03472222222222222</v>
      </c>
      <c r="E60" s="106" t="inlineStr">
        <is>
          <t>Estimate; at the station ~15:30, G153 at 17:27 (or G141 16:00)</t>
        </is>
      </c>
      <c r="F60" s="107" t="n"/>
      <c r="G60" s="107" t="n"/>
      <c r="H60" s="107" t="n"/>
      <c r="I60" s="107" t="n"/>
      <c r="J60" s="107" t="n"/>
      <c r="K60" s="107" t="n"/>
      <c r="L60" s="107" t="n"/>
    </row>
    <row r="61" s="56">
      <c r="A61" s="105" t="inlineStr">
        <is>
          <t>12 Nov</t>
        </is>
      </c>
      <c r="B61" s="105" t="inlineStr">
        <is>
          <t>Beijing Chaoyang → Shenyang</t>
        </is>
      </c>
      <c r="C61" s="82" t="inlineStr">
        <is>
          <t>G153 2nd class 17:27–20:04</t>
        </is>
      </c>
      <c r="D61" s="104" t="n">
        <v>0.1090277777777778</v>
      </c>
      <c r="E61" s="106" t="n"/>
      <c r="F61" s="107" t="n"/>
      <c r="G61" s="107" t="n"/>
      <c r="H61" s="107" t="n"/>
      <c r="I61" s="107" t="n"/>
      <c r="J61" s="107" t="n"/>
      <c r="K61" s="107" t="n"/>
      <c r="L61" s="107" t="n"/>
    </row>
    <row r="62" s="56">
      <c r="A62" s="105" t="inlineStr">
        <is>
          <t>12 Nov</t>
        </is>
      </c>
      <c r="B62" s="105" t="inlineStr">
        <is>
          <t>Shenyang station → hotel</t>
        </is>
      </c>
      <c r="C62" s="82" t="inlineStr">
        <is>
          <t>Taxi (~4 km)</t>
        </is>
      </c>
      <c r="D62" s="104" t="n">
        <v>0.01388888888888889</v>
      </c>
      <c r="E62" s="106" t="inlineStr">
        <is>
          <t>Check in ~20:30</t>
        </is>
      </c>
      <c r="F62" s="107" t="n"/>
      <c r="G62" s="107" t="n"/>
      <c r="H62" s="107" t="n"/>
      <c r="I62" s="107" t="n"/>
      <c r="J62" s="107" t="n"/>
      <c r="K62" s="107" t="n"/>
      <c r="L62" s="107" t="n"/>
    </row>
    <row r="63" s="56">
      <c r="A63" s="105" t="inlineStr">
        <is>
          <t>13–15 Nov</t>
        </is>
      </c>
      <c r="B63" s="105" t="inlineStr">
        <is>
          <t>Hotel ↔ NEU Nanhu (each way)</t>
        </is>
      </c>
      <c r="C63" s="82" t="inlineStr">
        <is>
          <t>Walk</t>
        </is>
      </c>
      <c r="D63" s="104" t="inlineStr">
        <is>
          <t>daily</t>
        </is>
      </c>
      <c r="E63" s="106" t="inlineStr">
        <is>
          <t>~15 min walk (Ji Hotel, 940 m straight line)</t>
        </is>
      </c>
      <c r="F63" s="107" t="n"/>
      <c r="G63" s="107" t="n"/>
      <c r="H63" s="107" t="n"/>
      <c r="I63" s="107" t="n"/>
      <c r="J63" s="107" t="n"/>
      <c r="K63" s="107" t="n"/>
      <c r="L63" s="107" t="n"/>
    </row>
    <row r="64" s="56">
      <c r="A64" s="105" t="inlineStr">
        <is>
          <t>15 Nov</t>
        </is>
      </c>
      <c r="B64" s="105" t="inlineStr">
        <is>
          <t>NEU Nanhu → Shenyang station</t>
        </is>
      </c>
      <c r="C64" s="82" t="inlineStr">
        <is>
          <t>Taxi</t>
        </is>
      </c>
      <c r="D64" s="104" t="n">
        <v>0.01388888888888889</v>
      </c>
      <c r="E64" s="106" t="n"/>
      <c r="F64" s="107" t="n"/>
      <c r="G64" s="107" t="n"/>
      <c r="H64" s="107" t="n"/>
      <c r="I64" s="107" t="n"/>
      <c r="J64" s="107" t="n"/>
      <c r="K64" s="107" t="n"/>
      <c r="L64" s="107" t="n"/>
    </row>
    <row r="65" s="56">
      <c r="A65" s="105" t="inlineStr">
        <is>
          <t>15–16 Nov</t>
        </is>
      </c>
      <c r="B65" s="105" t="inlineStr">
        <is>
          <t>Shenyang → Beijing</t>
        </is>
      </c>
      <c r="C65" s="82" t="inlineStr">
        <is>
          <t>K28 hard seat 22:24–08:40</t>
        </is>
      </c>
      <c r="D65" s="104" t="n">
        <v>0.4277777777777778</v>
      </c>
      <c r="E65" s="106" t="inlineStr">
        <is>
          <t>Overnight, after the contest</t>
        </is>
      </c>
      <c r="F65" s="107" t="n"/>
      <c r="G65" s="107" t="n"/>
      <c r="H65" s="107" t="n"/>
      <c r="I65" s="107" t="n"/>
      <c r="J65" s="107" t="n"/>
      <c r="K65" s="107" t="n"/>
      <c r="L65" s="107" t="n"/>
    </row>
    <row r="66" s="56">
      <c r="A66" s="105" t="inlineStr">
        <is>
          <t>16 Nov</t>
        </is>
      </c>
      <c r="B66" s="105" t="inlineStr">
        <is>
          <t>Beijing station → PEK</t>
        </is>
      </c>
      <c r="C66" s="82" t="inlineStr">
        <is>
          <t>Metro line 2 + Airport Express</t>
        </is>
      </c>
      <c r="D66" s="104" t="n">
        <v>0.04166666666666666</v>
      </c>
      <c r="E66" s="106" t="inlineStr">
        <is>
          <t>Be at PEK by ~10:55</t>
        </is>
      </c>
      <c r="F66" s="107" t="n"/>
      <c r="G66" s="107" t="n"/>
      <c r="H66" s="107" t="n"/>
      <c r="I66" s="107" t="n"/>
      <c r="J66" s="107" t="n"/>
      <c r="K66" s="107" t="n"/>
      <c r="L66" s="107" t="n"/>
    </row>
    <row r="67" s="56">
      <c r="A67" s="105" t="inlineStr">
        <is>
          <t>16 Nov</t>
        </is>
      </c>
      <c r="B67" s="105" t="inlineStr">
        <is>
          <t>Beijing (PEK) → Ulaanbaatar</t>
        </is>
      </c>
      <c r="C67" s="82" t="inlineStr">
        <is>
          <t>Air China 12:55–15:05</t>
        </is>
      </c>
      <c r="D67" s="104" t="n">
        <v>0.09027777777777778</v>
      </c>
      <c r="E67" s="106" t="n"/>
      <c r="F67" s="107" t="n"/>
      <c r="G67" s="107" t="n"/>
      <c r="H67" s="107" t="n"/>
      <c r="I67" s="107" t="n"/>
      <c r="J67" s="107" t="n"/>
      <c r="K67" s="107" t="n"/>
      <c r="L67" s="107" t="n"/>
    </row>
    <row r="68" s="56">
      <c r="A68" s="105" t="inlineStr">
        <is>
          <t>16 Nov</t>
        </is>
      </c>
      <c r="B68" s="105" t="inlineStr">
        <is>
          <t>Chinggis Khaan airport → home</t>
        </is>
      </c>
      <c r="C68" s="82" t="inlineStr">
        <is>
          <t>Taxi</t>
        </is>
      </c>
      <c r="D68" s="104" t="n">
        <v>0.04166666666666666</v>
      </c>
      <c r="E68" s="106" t="n"/>
      <c r="F68" s="107" t="n"/>
      <c r="G68" s="107" t="n"/>
      <c r="H68" s="107" t="n"/>
      <c r="I68" s="107" t="n"/>
      <c r="J68" s="107" t="n"/>
      <c r="K68" s="107" t="n"/>
      <c r="L68" s="107" t="n"/>
    </row>
    <row r="69" s="56"/>
    <row r="70" s="56">
      <c r="C70" s="59" t="inlineStr">
        <is>
          <t>Total door-to-door</t>
        </is>
      </c>
      <c r="D70" s="109">
        <f>SUM(D57:D68)</f>
        <v/>
      </c>
    </row>
    <row r="71" s="56"/>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5"/>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Overland home</t>
        </is>
      </c>
    </row>
    <row r="2" ht="15" customHeight="1" s="56">
      <c r="A2" s="62" t="inlineStr">
        <is>
          <t>'Sleep value' out (Air China 11:50, three nights before the contest, a bed each), then the cheapest way home overland: night trains via Hohhot to Erenhot, jeep across the border, UBTZ sleeper to Ulaanbaatar (home 18 Nov).</t>
        </is>
      </c>
    </row>
    <row r="4" ht="15" customHeight="1" s="56">
      <c r="A4" s="60" t="inlineStr">
        <is>
          <t>Days in destination (meals &amp; local transport)</t>
        </is>
      </c>
      <c r="B4" s="76" t="n">
        <v>5.5</v>
      </c>
      <c r="C4" s="62" t="inlineStr">
        <is>
          <t>12 Nov afternoon → 18 Nov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60" customHeight="1" s="56">
      <c r="B10" s="111" t="inlineStr">
        <is>
          <t>Air China CA902 Ulaanbaatar 11:50 → Beijing Capital (PEK) 13:55, nonstop, checked bag included</t>
        </is>
      </c>
      <c r="C10" s="83" t="inlineStr">
        <is>
          <t>12 Nov</t>
        </is>
      </c>
      <c r="D10" s="84" t="n">
        <v>0.08680555555555555</v>
      </c>
      <c r="E10" s="85" t="n">
        <v>1291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¥1,291 pp incl. tax – cheapest of 5 sources (Kiwi $200, Trip.com $203, SlickTrip $316 on 13 Nov, Google Flights unpriced). MIAT OM223 07:30 is ¥1,096 on Ctrip / $167 Kiwi / $172 Google / $154 SlickTrip but means a ~04:00 wake-up. Ctrip needs a Ctrip account (Alipay or a foreign card); Trip.com $203 is the fallback.</t>
        </is>
      </c>
    </row>
    <row r="11" s="56">
      <c r="A11" s="79" t="inlineStr">
        <is>
          <t>Trains &amp; border crossing</t>
        </is>
      </c>
      <c r="B11" s="80" t="n"/>
      <c r="C11" s="80" t="n"/>
      <c r="D11" s="80" t="n"/>
      <c r="E11" s="80" t="n"/>
      <c r="F11" s="80" t="n"/>
      <c r="G11" s="80" t="n"/>
      <c r="H11" s="80" t="n"/>
      <c r="I11" s="80" t="n"/>
      <c r="J11" s="80" t="n"/>
      <c r="K11" s="80" t="n"/>
      <c r="L11" s="80" t="n"/>
    </row>
    <row r="12" ht="75" customHeight="1" s="56">
      <c r="B12" s="111" t="inlineStr">
        <is>
          <t>High-speed rail G153 Beijing Chaoyang 17:27 → Shenyang 20:04, 2nd class</t>
        </is>
      </c>
      <c r="C12" s="83" t="inlineStr">
        <is>
          <t>12 Nov (evening)</t>
        </is>
      </c>
      <c r="D12" s="84" t="n">
        <v>0.1090277777777778</v>
      </c>
      <c r="E12" s="85" t="n">
        <v>369</v>
      </c>
      <c r="F12" s="86" t="inlineStr">
        <is>
          <t>CNY</t>
        </is>
      </c>
      <c r="G12" s="87">
        <f>Compare!$B$6</f>
        <v/>
      </c>
      <c r="H12" s="88">
        <f>E12*G12*IF(F12="USD",Compare!$B$8,IF(F12="CNY",Compare!$B$9,IF(F12="HKD",Compare!$B$10,1)))</f>
        <v/>
      </c>
      <c r="I12" s="89">
        <f>E12</f>
        <v/>
      </c>
      <c r="J12" s="87">
        <f>Compare!$B$7</f>
        <v/>
      </c>
      <c r="K12" s="88">
        <f>I12*J12*IF(F12="USD",Compare!$B$8,IF(F12="CNY",Compare!$B$9,IF(F12="HKD",Compare!$B$10,1)))</f>
        <v/>
      </c>
      <c r="L12" s="112" t="inlineStr">
        <is>
          <t>12306 (queried 22 Oct for 5 Nov; fares fixed): ¥369. ChinaTicketOnline confirms G153 on 12 Nov, on sale 29 Oct 10:00. Leaves 3 h 30 min after landing; if the flight is on time, change at the station to G141 16:00 → Shenyang North 18:29 (¥369). Later trains: G155 18:35 / G143 18:48 (¥369–383). Ctrip train list (22 Oct, for 12 Nov) shows the same fares; 12go.asia resells at ~$90 for 1st class.</t>
        </is>
      </c>
    </row>
    <row r="13" ht="39" customHeight="1" s="56">
      <c r="B13" s="111" t="inlineStr">
        <is>
          <t>Overnight train K1568 Shenyang 22:50 → Hohhot 17:02 (+1), hard sleeper (after the contest)</t>
        </is>
      </c>
      <c r="C13" s="83" t="inlineStr">
        <is>
          <t>15–16 Nov</t>
        </is>
      </c>
      <c r="D13" s="84" t="n">
        <v>0.7583333333333333</v>
      </c>
      <c r="E13" s="85" t="n">
        <v>304.5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hard sleeper ¥304.5, hard seat ¥177.5, soft ¥476.5 (to Hohhot East 16:27: ¥296.5). ChinaTicketOnline confirms 15 Nov, on sale 1 Nov 09:30.</t>
        </is>
      </c>
    </row>
    <row r="14" ht="39" customHeight="1" s="56">
      <c r="B14" s="111" t="inlineStr">
        <is>
          <t>Overnight train 4652 Hohhot 22:50 → Erenhot 06:50, hard sleeper</t>
        </is>
      </c>
      <c r="C14" s="83" t="inlineStr">
        <is>
          <t>16–17 Nov</t>
        </is>
      </c>
      <c r="D14" s="84" t="n">
        <v>0.3333333333333333</v>
      </c>
      <c r="E14" s="85" t="n">
        <v>115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sleeper ¥115, hard seat ¥61. Daily; ChinaTicketOnline confirms 16 Nov, on sale 2 Nov 14:00. ~6 h wait in Hohhot after K1568 (dinner).</t>
        </is>
      </c>
    </row>
    <row r="15" ht="39" customHeight="1" s="56">
      <c r="B15" s="111" t="inlineStr">
        <is>
          <t>Shared jeep Erenhot → Zamyn-Uud across the border</t>
        </is>
      </c>
      <c r="C15" s="83" t="inlineStr">
        <is>
          <t>17 Nov (morning)</t>
        </is>
      </c>
      <c r="D15" s="84" t="n">
        <v>0.125</v>
      </c>
      <c r="E15" s="113" t="n">
        <v>100</v>
      </c>
      <c r="F15" s="86" t="inlineStr">
        <is>
          <t>CNY</t>
        </is>
      </c>
      <c r="G15" s="87">
        <f>Compare!$B$6</f>
        <v/>
      </c>
      <c r="H15" s="88">
        <f>E15*G15*IF(F15="USD",Compare!$B$8,IF(F15="CNY",Compare!$B$9,IF(F15="HKD",Compare!$B$10,1)))</f>
        <v/>
      </c>
      <c r="I15" s="114">
        <f>E15</f>
        <v/>
      </c>
      <c r="J15" s="87">
        <f>Compare!$B$7</f>
        <v/>
      </c>
      <c r="K15" s="88">
        <f>I15*J15*IF(F15="USD",Compare!$B$8,IF(F15="CNY",Compare!$B$9,IF(F15="HKD",Compare!$B$10,1)))</f>
        <v/>
      </c>
      <c r="L15" s="112" t="inlineStr">
        <is>
          <t>ASSUMPTION ¥50–110 pp (Wikivoyage, travel blogs); jeeps wait near Erenhot station. ~3 h includes both border posts (no visa needed for Mongolian passports). Confirm the border hours.</t>
        </is>
      </c>
    </row>
    <row r="16" ht="30" customHeight="1" s="56">
      <c r="B16" s="111" t="inlineStr">
        <is>
          <t>UBTZ train 275 Zamyn-Uud 18:05 → Ulaanbaatar 09:20, platskart sleeper incl. bedding</t>
        </is>
      </c>
      <c r="C16" s="83" t="inlineStr">
        <is>
          <t>17–18 Nov</t>
        </is>
      </c>
      <c r="D16" s="84" t="n">
        <v>0.6354166666666666</v>
      </c>
      <c r="E16" s="85" t="n">
        <v>51400</v>
      </c>
      <c r="F16" s="86" t="inlineStr">
        <is>
          <t>MNT</t>
        </is>
      </c>
      <c r="G16" s="87">
        <f>Compare!$B$6</f>
        <v/>
      </c>
      <c r="H16" s="88">
        <f>E16*G16*IF(F16="USD",Compare!$B$8,IF(F16="CNY",Compare!$B$9,IF(F16="HKD",Compare!$B$10,1)))</f>
        <v/>
      </c>
      <c r="I16" s="89">
        <f>E16</f>
        <v/>
      </c>
      <c r="J16" s="87">
        <f>Compare!$B$7</f>
        <v/>
      </c>
      <c r="K16" s="88">
        <f>I16*J16*IF(F16="USD",Compare!$B$8,IF(F16="CNY",Compare!$B$9,IF(F16="HKD",Compare!$B$10,1)))</f>
        <v/>
      </c>
      <c r="L16" s="112" t="inlineStr">
        <is>
          <t>eticket.ubtz.mn 22 Oct: platskart ₮44,000 + bedding ₮7,400 (seat ₮26,000; kupe ₮73,400 + ₮7,400). Daily; 72 platskart berths free on 17 Nov.</t>
        </is>
      </c>
    </row>
    <row r="17" s="56">
      <c r="A17" s="79" t="inlineStr">
        <is>
          <t>Accommodation</t>
        </is>
      </c>
      <c r="B17" s="80" t="n"/>
      <c r="C17" s="80" t="n"/>
      <c r="D17" s="80" t="n"/>
      <c r="E17" s="80" t="n"/>
      <c r="F17" s="80" t="n"/>
      <c r="G17" s="80" t="n"/>
      <c r="H17" s="80" t="n"/>
      <c r="I17" s="80" t="n"/>
      <c r="J17" s="80" t="n"/>
      <c r="K17" s="80" t="n"/>
      <c r="L17" s="80" t="n"/>
    </row>
    <row r="18" ht="60" customHeight="1" s="56">
      <c r="B18" s="111" t="inlineStr">
        <is>
          <t>Ji Hotel Sanhao Street, 55 Sanhao St (~940 m to NEU Nanhu, ~15 min walk): 2 Budget Twin rooms, King Koil mattresses, windows, floors 4–16 – a bed each</t>
        </is>
      </c>
      <c r="C18" s="83" t="inlineStr">
        <is>
          <t>12–15 Nov (3 nights)</t>
        </is>
      </c>
      <c r="D18" s="84" t="n"/>
      <c r="E18" s="85" t="n">
        <v>457</v>
      </c>
      <c r="F18" s="86" t="inlineStr">
        <is>
          <t>CNY</t>
        </is>
      </c>
      <c r="G18" s="91" t="n">
        <v>3</v>
      </c>
      <c r="H18" s="88">
        <f>E18*G18*IF(F18="USD",Compare!$B$8,IF(F18="CNY",Compare!$B$9,IF(F18="HKD",Compare!$B$10,1)))</f>
        <v/>
      </c>
      <c r="I18" s="85" t="n">
        <v>457</v>
      </c>
      <c r="J18" s="91" t="n">
        <v>3</v>
      </c>
      <c r="K18" s="88">
        <f>I18*J18*IF(F18="USD",Compare!$B$8,IF(F18="CNY",Compare!$B$9,IF(F18="HKD",Compare!$B$10,1)))</f>
        <v/>
      </c>
      <c r="L18" s="112" t="inlineStr">
        <is>
          <t>Trip.com 22 Oct: ¥1,371 for 2 rooms × 3 nights incl. taxes, free cancellation until 18:00 on 11 Nov (prepay); same price for 3 or 4 adults. 9.0 from 1,433 reviews; 16 m² rooms high in an office tower, above the street. Breakfast ¥40 optional.</t>
        </is>
      </c>
    </row>
    <row r="19" s="56">
      <c r="A19" s="79" t="inlineStr">
        <is>
          <t>Meals &amp; local transport</t>
        </is>
      </c>
      <c r="B19" s="80" t="n"/>
      <c r="C19" s="80" t="n"/>
      <c r="D19" s="80" t="n"/>
      <c r="E19" s="80" t="n"/>
      <c r="F19" s="80" t="n"/>
      <c r="G19" s="80" t="n"/>
      <c r="H19" s="80" t="n"/>
      <c r="I19" s="80" t="n"/>
      <c r="J19" s="80" t="n"/>
      <c r="K19" s="80" t="n"/>
      <c r="L19" s="80" t="n"/>
    </row>
    <row r="20" ht="30" customHeight="1" s="56">
      <c r="B20" s="111" t="inlineStr">
        <is>
          <t>Meals</t>
        </is>
      </c>
      <c r="C20" s="83" t="inlineStr">
        <is>
          <t>in destination</t>
        </is>
      </c>
      <c r="D20" s="84" t="n"/>
      <c r="E20" s="113" t="n">
        <v>80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80 CNY/person/day; hosts usually provide some meals on contest days</t>
        </is>
      </c>
    </row>
    <row r="21" ht="30" customHeight="1" s="56">
      <c r="B21" s="111" t="inlineStr">
        <is>
          <t>Local transport (metro, taxis)</t>
        </is>
      </c>
      <c r="C21" s="83" t="inlineStr">
        <is>
          <t>in destination</t>
        </is>
      </c>
      <c r="D21" s="84" t="n"/>
      <c r="E21" s="113" t="n">
        <v>30</v>
      </c>
      <c r="F21" s="86" t="inlineStr">
        <is>
          <t>CNY</t>
        </is>
      </c>
      <c r="G21" s="87">
        <f>Compare!$B$6*$B$4</f>
        <v/>
      </c>
      <c r="H21" s="88">
        <f>E21*G21*IF(F21="USD",Compare!$B$8,IF(F21="CNY",Compare!$B$9,IF(F21="HKD",Compare!$B$10,1)))</f>
        <v/>
      </c>
      <c r="I21" s="114">
        <f>E21</f>
        <v/>
      </c>
      <c r="J21" s="87">
        <f>Compare!$B$7*$B$4</f>
        <v/>
      </c>
      <c r="K21" s="88">
        <f>I21*J21*IF(F21="USD",Compare!$B$8,IF(F21="CNY",Compare!$B$9,IF(F21="HKD",Compare!$B$10,1)))</f>
        <v/>
      </c>
      <c r="L21" s="112" t="inlineStr">
        <is>
          <t>ASSUMPTION 30 CNY/person/day</t>
        </is>
      </c>
    </row>
    <row r="22" ht="30" customHeight="1" s="56">
      <c r="B22" s="111" t="inlineStr">
        <is>
          <t>Taxi PEK → Beijing Chaoyang station</t>
        </is>
      </c>
      <c r="C22" s="83" t="inlineStr">
        <is>
          <t>12 Nov</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~40 km (4 ppl may need an XL car)</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home → Chinggis Khaan airport (UB)</t>
        </is>
      </c>
      <c r="C27" s="83" t="inlineStr">
        <is>
          <t>12 Nov</t>
        </is>
      </c>
      <c r="D27" s="84" t="n">
        <v>0.04166666666666666</v>
      </c>
      <c r="E27" s="113" t="n">
        <v>100000</v>
      </c>
      <c r="F27" s="86" t="inlineStr">
        <is>
          <t>MNT</t>
        </is>
      </c>
      <c r="G27" s="91" t="n">
        <v>1</v>
      </c>
      <c r="H27" s="88">
        <f>E27*G27*IF(F27="USD",Compare!$B$8,IF(F27="CNY",Compare!$B$9,IF(F27="HKD",Compare!$B$10,1)))</f>
        <v/>
      </c>
      <c r="I27" s="114">
        <f>E27</f>
        <v/>
      </c>
      <c r="J27" s="91" t="n">
        <v>1</v>
      </c>
      <c r="K27" s="88">
        <f>I27*J27*IF(F27="USD",Compare!$B$8,IF(F27="CNY",Compare!$B$9,IF(F27="HKD",Compare!$B$10,1)))</f>
        <v/>
      </c>
      <c r="L27" s="112" t="inlineStr">
        <is>
          <t>ASSUMPTION 100k MNT per trip for the group</t>
        </is>
      </c>
    </row>
    <row r="28" ht="30" customHeight="1" s="56">
      <c r="B28" s="111" t="inlineStr">
        <is>
          <t>Taxi Ulaanbaatar railway station → home</t>
        </is>
      </c>
      <c r="C28" s="83" t="inlineStr">
        <is>
          <t>18 Nov</t>
        </is>
      </c>
      <c r="D28" s="84" t="n">
        <v>0.02083333333333333</v>
      </c>
      <c r="E28" s="113" t="n">
        <v>30000</v>
      </c>
      <c r="F28" s="86" t="inlineStr">
        <is>
          <t>MNT</t>
        </is>
      </c>
      <c r="G28" s="91" t="n">
        <v>1</v>
      </c>
      <c r="H28" s="88">
        <f>E28*G28*IF(F28="USD",Compare!$B$8,IF(F28="CNY",Compare!$B$9,IF(F28="HKD",Compare!$B$10,1)))</f>
        <v/>
      </c>
      <c r="I28" s="114">
        <f>E28</f>
        <v/>
      </c>
      <c r="J28" s="91" t="n">
        <v>1</v>
      </c>
      <c r="K28" s="88">
        <f>I28*J28*IF(F28="USD",Compare!$B$8,IF(F28="CNY",Compare!$B$9,IF(F28="HKD",Compare!$B$10,1)))</f>
        <v/>
      </c>
      <c r="L28" s="112" t="inlineStr">
        <is>
          <t>ASSUMPTION ~30k MNT for the group (city trip)</t>
        </is>
      </c>
    </row>
    <row r="29" ht="30" customHeight="1" s="56">
      <c r="B29" s="111" t="inlineStr">
        <is>
          <t>Travel medical insurance</t>
        </is>
      </c>
      <c r="C29" s="83" t="n"/>
      <c r="D29" s="84" t="n"/>
      <c r="E29" s="113" t="n">
        <v>30000</v>
      </c>
      <c r="F29" s="86" t="inlineStr">
        <is>
          <t>MNT</t>
        </is>
      </c>
      <c r="G29" s="87">
        <f>Compare!$B$6</f>
        <v/>
      </c>
      <c r="H29" s="88">
        <f>E29*G29*IF(F29="USD",Compare!$B$8,IF(F29="CNY",Compare!$B$9,IF(F29="HKD",Compare!$B$10,1)))</f>
        <v/>
      </c>
      <c r="I29" s="114">
        <f>E29</f>
        <v/>
      </c>
      <c r="J29" s="87">
        <f>Compare!$B$7</f>
        <v/>
      </c>
      <c r="K29" s="88">
        <f>I29*J29*IF(F29="USD",Compare!$B$8,IF(F29="CNY",Compare!$B$9,IF(F29="HKD",Compare!$B$10,1)))</f>
        <v/>
      </c>
      <c r="L29" s="112" t="inlineStr">
        <is>
          <t>ASSUMPTION ~30k MNT per person, Mongolian insurer</t>
        </is>
      </c>
    </row>
    <row r="30" ht="30" customHeight="1" s="56">
      <c r="B30" s="111" t="inlineStr">
        <is>
          <t>Mobile data eSIM</t>
        </is>
      </c>
      <c r="C30" s="83" t="n"/>
      <c r="D30" s="84" t="n"/>
      <c r="E30" s="113" t="n">
        <v>10</v>
      </c>
      <c r="F30" s="86" t="inlineStr">
        <is>
          <t>USD</t>
        </is>
      </c>
      <c r="G30" s="87">
        <f>Compare!$B$6</f>
        <v/>
      </c>
      <c r="H30" s="88">
        <f>E30*G30*IF(F30="USD",Compare!$B$8,IF(F30="CNY",Compare!$B$9,IF(F30="HKD",Compare!$B$10,1)))</f>
        <v/>
      </c>
      <c r="I30" s="114">
        <f>E30</f>
        <v/>
      </c>
      <c r="J30" s="87">
        <f>Compare!$B$7</f>
        <v/>
      </c>
      <c r="K30" s="88">
        <f>I30*J30*IF(F30="USD",Compare!$B$8,IF(F30="CNY",Compare!$B$9,IF(F30="HKD",Compare!$B$10,1)))</f>
        <v/>
      </c>
      <c r="L30" s="112" t="inlineStr">
        <is>
          <t>ASSUMPTION ~$10 pp</t>
        </is>
      </c>
    </row>
    <row r="31" ht="30" customHeight="1" s="56">
      <c r="B31" s="111" t="inlineStr">
        <is>
          <t>Visa</t>
        </is>
      </c>
      <c r="C31" s="83" t="n"/>
      <c r="D31" s="84"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112" t="inlineStr">
        <is>
          <t>Mongolian passports: visa-free (mainland China up to 30 days; Hong Kong up to 14 days)</t>
        </is>
      </c>
    </row>
    <row r="32" s="56"/>
    <row r="33" s="56">
      <c r="G33" s="60" t="n"/>
      <c r="H33" s="96" t="inlineStr">
        <is>
          <t>3 people – UNFUNDED</t>
        </is>
      </c>
      <c r="K33" s="96" t="inlineStr">
        <is>
          <t>4 people – FUNDED ₮12M</t>
        </is>
      </c>
    </row>
    <row r="34" s="56">
      <c r="G34" s="97" t="inlineStr">
        <is>
          <t>University-paid subtotal</t>
        </is>
      </c>
      <c r="H34" s="98">
        <f>SUM(H9:H22)</f>
        <v/>
      </c>
      <c r="K34" s="98">
        <f>SUM(K9:K22)</f>
        <v/>
      </c>
    </row>
    <row r="35" s="56">
      <c r="G35" s="99" t="inlineStr">
        <is>
          <t>Contingency</t>
        </is>
      </c>
      <c r="H35" s="100">
        <f>H34*Compare!$B$11</f>
        <v/>
      </c>
      <c r="K35" s="100">
        <f>K34*Compare!$B$11</f>
        <v/>
      </c>
    </row>
    <row r="36" s="56">
      <c r="G36" s="97" t="inlineStr">
        <is>
          <t>University-paid total incl. contingency</t>
        </is>
      </c>
      <c r="H36" s="98">
        <f>H34+H35</f>
        <v/>
      </c>
      <c r="K36" s="98">
        <f>K34+K35</f>
        <v/>
      </c>
    </row>
    <row r="37" s="56">
      <c r="G37" s="97" t="inlineStr">
        <is>
          <t>Funding left (negative = over)</t>
        </is>
      </c>
      <c r="H37" s="101">
        <f>Compare!$B$12-H36</f>
        <v/>
      </c>
      <c r="K37" s="101">
        <f>Compare!$B$5-K36</f>
        <v/>
      </c>
    </row>
    <row r="38" s="56">
      <c r="G38" s="97" t="inlineStr">
        <is>
          <t>Personal costs – team</t>
        </is>
      </c>
      <c r="H38" s="102">
        <f>SUM(H24:H31)</f>
        <v/>
      </c>
      <c r="K38" s="102">
        <f>SUM(K24:K31)</f>
        <v/>
      </c>
    </row>
    <row r="39" s="56">
      <c r="G39" s="97" t="inlineStr">
        <is>
          <t>Out-of-pocket per person (personal + any overrun)</t>
        </is>
      </c>
      <c r="H39" s="102">
        <f>(H38+MAX(0,-H37))/Compare!$B$6</f>
        <v/>
      </c>
      <c r="K39" s="102">
        <f>(K38+MAX(0,-K37))/Compare!$B$7</f>
        <v/>
      </c>
    </row>
    <row r="40" s="56">
      <c r="G40" s="97" t="inlineStr">
        <is>
          <t>Whole trip cost (university + personal)</t>
        </is>
      </c>
      <c r="H40" s="103">
        <f>H36+H38</f>
        <v/>
      </c>
      <c r="K40" s="103">
        <f>K36+K38</f>
        <v/>
      </c>
    </row>
    <row r="41" s="56">
      <c r="G41" s="99" t="inlineStr">
        <is>
          <t>Time in planes &amp; trains</t>
        </is>
      </c>
      <c r="H41" s="104">
        <f>SUM(D10:D10)+SUM(D12:D16)</f>
        <v/>
      </c>
      <c r="K41" s="104">
        <f>SUM(D10:D10)+SUM(D12:D16)</f>
        <v/>
      </c>
    </row>
    <row r="42" s="56"/>
    <row r="43" s="56">
      <c r="A43" s="72" t="inlineStr">
        <is>
          <t>Key facts</t>
        </is>
      </c>
    </row>
    <row r="44" ht="30" customHeight="1" s="56">
      <c r="A44" s="75" t="inlineStr">
        <is>
          <t>Contest</t>
        </is>
      </c>
      <c r="B44" s="74" t="inlineStr">
        <is>
          <t>Asia Shenyang Regional, 14–15 Nov 2026 (provisional; the 2026 invitation was not found on 22 Oct), Northeastern University Nanhu campus (2024 and 2025 venue). Assumed: day 1 registration + practice, contest 15 Nov 09:00–14:00, awards ~17:00.</t>
        </is>
      </c>
    </row>
    <row r="45" ht="30" customHeight="1" s="56">
      <c r="A45" s="75" t="inlineStr">
        <is>
          <t>Why this plan</t>
        </is>
      </c>
      <c r="B45" s="74" t="inlineStr">
        <is>
          <t>Before the contest it is identical to 'Sleep value' (no alarm before ~08:00, three nights in twin rooms). After the contest it skips the Beijing flight: three night trains (two Chinese hard sleepers + a UBTZ platskart berth) cost less than the flight alone, so it is the cheapest sleep-safe plan.</t>
        </is>
      </c>
    </row>
    <row r="46" ht="30" customHeight="1" s="56">
      <c r="A46" s="75" t="inlineStr">
        <is>
          <t>Trade-off</t>
        </is>
      </c>
      <c r="B46" s="74" t="inlineStr">
        <is>
          <t>Home on 18 Nov at 09:20 instead of 16 Nov 15:05 (2 more days, 2 more days of meals), ~6 h wait in Hohhot, a cold early-morning border crossing at Erenhot (dress for −15 °C). The jeep fare and border hours are not verified.</t>
        </is>
      </c>
    </row>
    <row r="47" ht="30" customHeight="1" s="56">
      <c r="A47" s="75" t="inlineStr">
        <is>
          <t>Book</t>
        </is>
      </c>
      <c r="B47" s="74" t="inlineStr">
        <is>
          <t>Air China CA902 on Ctrip now (¥1,291; Trip.com $203 as fallback); hotel now; G153 on 12306 at 10:00 on 29 Oct; K1568 at 09:30 on 1 Nov; 4652 at 14:00 on 2 Nov; UBTZ 275 on eticket.ubtz.mn (on sale now).</t>
        </is>
      </c>
    </row>
    <row r="48" s="56"/>
    <row r="49" s="56">
      <c r="A49" s="72" t="inlineStr">
        <is>
          <t>Day-by-day plan</t>
        </is>
      </c>
    </row>
    <row r="50" s="56">
      <c r="A50" s="96" t="inlineStr">
        <is>
          <t>Date</t>
        </is>
      </c>
      <c r="B50" s="96" t="inlineStr">
        <is>
          <t>Sleep in</t>
        </is>
      </c>
      <c r="C50" s="96" t="inlineStr">
        <is>
          <t>What happens</t>
        </is>
      </c>
    </row>
    <row r="51" ht="30" customHeight="1" s="56">
      <c r="A51" s="74" t="inlineStr">
        <is>
          <t>Thu 12 Nov</t>
        </is>
      </c>
      <c r="B51" s="74" t="inlineStr">
        <is>
          <t>Shenyang</t>
        </is>
      </c>
      <c r="C51" s="74" t="inlineStr">
        <is>
          <t>Wake ~08:00. Air China CA902 UB 11:50 → Beijing Capital 13:55; taxi to Beijing Chaoyang; G153 17:27 → Shenyang 20:04 (G141 16:00 if early); taxi to Ji Hotel Sanhao Street. Bed by ~23:00.</t>
        </is>
      </c>
    </row>
    <row r="52" ht="15" customHeight="1" s="56">
      <c r="A52" s="74" t="inlineStr">
        <is>
          <t>Fri 13 Nov</t>
        </is>
      </c>
      <c r="B52" s="74" t="inlineStr">
        <is>
          <t>Shenyang</t>
        </is>
      </c>
      <c r="C52" s="74" t="inlineStr">
        <is>
          <t>Free rest day: no alarm, light practice, walk the ~15-minute route to the venue.</t>
        </is>
      </c>
    </row>
    <row r="53" ht="15" customHeight="1" s="56">
      <c r="A53" s="74" t="inlineStr">
        <is>
          <t>Sat 14 Nov</t>
        </is>
      </c>
      <c r="B53" s="74" t="inlineStr">
        <is>
          <t>Shenyang</t>
        </is>
      </c>
      <c r="C53" s="74" t="inlineStr">
        <is>
          <t>Registration, opening and practice at NEU Nanhu. Lights out ~22:30.</t>
        </is>
      </c>
    </row>
    <row r="54" ht="30" customHeight="1" s="56">
      <c r="A54" s="74" t="inlineStr">
        <is>
          <t>Sun 15 Nov</t>
        </is>
      </c>
      <c r="B54" s="74" t="inlineStr">
        <is>
          <t>Train (hard sleeper)</t>
        </is>
      </c>
      <c r="C54" s="74" t="inlineStr">
        <is>
          <t>CONTEST. Wake ~06:50, walk ~15 min. Check out before leaving, luggage stored at the hotel. Awards ~17:00; taxi to Shenyang station; K1568 22:50 hard sleeper → Hohhot.</t>
        </is>
      </c>
    </row>
    <row r="55" ht="15" customHeight="1" s="56">
      <c r="A55" s="74" t="inlineStr">
        <is>
          <t>Mon 16 Nov</t>
        </is>
      </c>
      <c r="B55" s="74" t="inlineStr">
        <is>
          <t>Train (hard sleeper)</t>
        </is>
      </c>
      <c r="C55" s="74" t="inlineStr">
        <is>
          <t>Arrive Hohhot 17:02; dinner near the station; 4652 22:50 hard sleeper → Erenhot.</t>
        </is>
      </c>
    </row>
    <row r="56" ht="15" customHeight="1" s="56">
      <c r="A56" s="74" t="inlineStr">
        <is>
          <t>Tue 17 Nov</t>
        </is>
      </c>
      <c r="B56" s="74" t="inlineStr">
        <is>
          <t>Train (platskart)</t>
        </is>
      </c>
      <c r="C56" s="74" t="inlineStr">
        <is>
          <t>Arrive Erenhot 06:50; shared jeep across the border to Zamyn-Uud; UBTZ 275 18:05 → Ulaanbaatar.</t>
        </is>
      </c>
    </row>
    <row r="57" ht="15" customHeight="1" s="56">
      <c r="A57" s="74" t="inlineStr">
        <is>
          <t>Wed 18 Nov</t>
        </is>
      </c>
      <c r="B57" s="74" t="inlineStr">
        <is>
          <t>Home</t>
        </is>
      </c>
      <c r="C57" s="74" t="inlineStr">
        <is>
          <t>Arrive Ulaanbaatar 09:20; taxi home.</t>
        </is>
      </c>
    </row>
    <row r="58" s="56"/>
    <row r="59" s="56">
      <c r="A59" s="72" t="inlineStr">
        <is>
          <t>Door-to-door travel times</t>
        </is>
      </c>
    </row>
    <row r="60" s="56">
      <c r="A60" s="96" t="inlineStr">
        <is>
          <t>Date</t>
        </is>
      </c>
      <c r="B60" s="96" t="inlineStr">
        <is>
          <t>Leg</t>
        </is>
      </c>
      <c r="C60" s="96" t="inlineStr">
        <is>
          <t>Mode</t>
        </is>
      </c>
      <c r="D60" s="96" t="inlineStr">
        <is>
          <t>Expected time</t>
        </is>
      </c>
      <c r="E60" s="96" t="inlineStr">
        <is>
          <t>Notes</t>
        </is>
      </c>
    </row>
    <row r="61" s="56">
      <c r="A61" s="105" t="inlineStr">
        <is>
          <t>12 Nov</t>
        </is>
      </c>
      <c r="B61" s="105" t="inlineStr">
        <is>
          <t>Home → Chinggis Khaan airport</t>
        </is>
      </c>
      <c r="C61" s="82" t="inlineStr">
        <is>
          <t>Taxi (~50 km)</t>
        </is>
      </c>
      <c r="D61" s="104" t="n">
        <v>0.04166666666666666</v>
      </c>
      <c r="E61" s="106" t="inlineStr">
        <is>
          <t>Leave ~09:15 for the 11:50 flight; wake ~08:00</t>
        </is>
      </c>
      <c r="F61" s="107" t="n"/>
      <c r="G61" s="107" t="n"/>
      <c r="H61" s="107" t="n"/>
      <c r="I61" s="107" t="n"/>
      <c r="J61" s="107" t="n"/>
      <c r="K61" s="107" t="n"/>
      <c r="L61" s="107" t="n"/>
    </row>
    <row r="62" s="56">
      <c r="A62" s="105" t="inlineStr">
        <is>
          <t>12 Nov</t>
        </is>
      </c>
      <c r="B62" s="105" t="inlineStr">
        <is>
          <t>Ulaanbaatar → Beijing (PEK)</t>
        </is>
      </c>
      <c r="C62" s="82" t="inlineStr">
        <is>
          <t>Air China CA902 11:50–13:55</t>
        </is>
      </c>
      <c r="D62" s="104" t="n">
        <v>0.08680555555555555</v>
      </c>
      <c r="E62" s="106" t="n"/>
      <c r="F62" s="107" t="n"/>
      <c r="G62" s="107" t="n"/>
      <c r="H62" s="107" t="n"/>
      <c r="I62" s="107" t="n"/>
      <c r="J62" s="107" t="n"/>
      <c r="K62" s="107" t="n"/>
      <c r="L62" s="107" t="n"/>
    </row>
    <row r="63" s="56">
      <c r="A63" s="105" t="inlineStr">
        <is>
          <t>12 Nov</t>
        </is>
      </c>
      <c r="B63" s="105" t="inlineStr">
        <is>
          <t>PEK arrival: immigration, bags</t>
        </is>
      </c>
      <c r="C63" s="82" t="inlineStr">
        <is>
          <t>—</t>
        </is>
      </c>
      <c r="D63" s="104" t="n">
        <v>0.03125</v>
      </c>
      <c r="E63" s="106" t="inlineStr">
        <is>
          <t>Estimate</t>
        </is>
      </c>
      <c r="F63" s="107" t="n"/>
      <c r="G63" s="107" t="n"/>
      <c r="H63" s="107" t="n"/>
      <c r="I63" s="107" t="n"/>
      <c r="J63" s="107" t="n"/>
      <c r="K63" s="107" t="n"/>
      <c r="L63" s="107" t="n"/>
    </row>
    <row r="64" s="56">
      <c r="A64" s="105" t="inlineStr">
        <is>
          <t>12 Nov</t>
        </is>
      </c>
      <c r="B64" s="105" t="inlineStr">
        <is>
          <t>PEK → Beijing Chaoyang station</t>
        </is>
      </c>
      <c r="C64" s="82" t="inlineStr">
        <is>
          <t>Taxi (~40 km)</t>
        </is>
      </c>
      <c r="D64" s="104" t="n">
        <v>0.03472222222222222</v>
      </c>
      <c r="E64" s="106" t="inlineStr">
        <is>
          <t>Estimate; at the station ~15:30, G153 at 17:27 (or G141 16:00)</t>
        </is>
      </c>
      <c r="F64" s="107" t="n"/>
      <c r="G64" s="107" t="n"/>
      <c r="H64" s="107" t="n"/>
      <c r="I64" s="107" t="n"/>
      <c r="J64" s="107" t="n"/>
      <c r="K64" s="107" t="n"/>
      <c r="L64" s="107" t="n"/>
    </row>
    <row r="65" s="56">
      <c r="A65" s="105" t="inlineStr">
        <is>
          <t>12 Nov</t>
        </is>
      </c>
      <c r="B65" s="105" t="inlineStr">
        <is>
          <t>Beijing Chaoyang → Shenyang</t>
        </is>
      </c>
      <c r="C65" s="82" t="inlineStr">
        <is>
          <t>G153 2nd class 17:27–20:04</t>
        </is>
      </c>
      <c r="D65" s="104" t="n">
        <v>0.1090277777777778</v>
      </c>
      <c r="E65" s="106" t="n"/>
      <c r="F65" s="107" t="n"/>
      <c r="G65" s="107" t="n"/>
      <c r="H65" s="107" t="n"/>
      <c r="I65" s="107" t="n"/>
      <c r="J65" s="107" t="n"/>
      <c r="K65" s="107" t="n"/>
      <c r="L65" s="107" t="n"/>
    </row>
    <row r="66" s="56">
      <c r="A66" s="105" t="inlineStr">
        <is>
          <t>12 Nov</t>
        </is>
      </c>
      <c r="B66" s="105" t="inlineStr">
        <is>
          <t>Shenyang station → hotel</t>
        </is>
      </c>
      <c r="C66" s="82" t="inlineStr">
        <is>
          <t>Taxi (~4 km)</t>
        </is>
      </c>
      <c r="D66" s="104" t="n">
        <v>0.01388888888888889</v>
      </c>
      <c r="E66" s="106" t="inlineStr">
        <is>
          <t>Check in ~20:30</t>
        </is>
      </c>
      <c r="F66" s="107" t="n"/>
      <c r="G66" s="107" t="n"/>
      <c r="H66" s="107" t="n"/>
      <c r="I66" s="107" t="n"/>
      <c r="J66" s="107" t="n"/>
      <c r="K66" s="107" t="n"/>
      <c r="L66" s="107" t="n"/>
    </row>
    <row r="67" s="56">
      <c r="A67" s="105" t="inlineStr">
        <is>
          <t>13–15 Nov</t>
        </is>
      </c>
      <c r="B67" s="105" t="inlineStr">
        <is>
          <t>Hotel ↔ NEU Nanhu (each way)</t>
        </is>
      </c>
      <c r="C67" s="82" t="inlineStr">
        <is>
          <t>Walk</t>
        </is>
      </c>
      <c r="D67" s="104" t="inlineStr">
        <is>
          <t>daily</t>
        </is>
      </c>
      <c r="E67" s="106" t="inlineStr">
        <is>
          <t>~15 min walk (Ji Hotel, 940 m straight line)</t>
        </is>
      </c>
      <c r="F67" s="107" t="n"/>
      <c r="G67" s="107" t="n"/>
      <c r="H67" s="107" t="n"/>
      <c r="I67" s="107" t="n"/>
      <c r="J67" s="107" t="n"/>
      <c r="K67" s="107" t="n"/>
      <c r="L67" s="107" t="n"/>
    </row>
    <row r="68" s="56">
      <c r="A68" s="105" t="inlineStr">
        <is>
          <t>15 Nov</t>
        </is>
      </c>
      <c r="B68" s="105" t="inlineStr">
        <is>
          <t>NEU Nanhu → Shenyang station</t>
        </is>
      </c>
      <c r="C68" s="82" t="inlineStr">
        <is>
          <t>Taxi</t>
        </is>
      </c>
      <c r="D68" s="104" t="n">
        <v>0.01388888888888889</v>
      </c>
      <c r="E68" s="106" t="n"/>
      <c r="F68" s="107" t="n"/>
      <c r="G68" s="107" t="n"/>
      <c r="H68" s="107" t="n"/>
      <c r="I68" s="107" t="n"/>
      <c r="J68" s="107" t="n"/>
      <c r="K68" s="107" t="n"/>
      <c r="L68" s="107" t="n"/>
    </row>
    <row r="69" s="56">
      <c r="A69" s="105" t="inlineStr">
        <is>
          <t>15–16 Nov</t>
        </is>
      </c>
      <c r="B69" s="105" t="inlineStr">
        <is>
          <t>Shenyang → Hohhot</t>
        </is>
      </c>
      <c r="C69" s="82" t="inlineStr">
        <is>
          <t>K1568 hard sleeper 22:50–17:02</t>
        </is>
      </c>
      <c r="D69" s="104" t="n">
        <v>0.7583333333333333</v>
      </c>
      <c r="E69" s="106" t="inlineStr">
        <is>
          <t>Overnight, after the contest</t>
        </is>
      </c>
      <c r="F69" s="107" t="n"/>
      <c r="G69" s="107" t="n"/>
      <c r="H69" s="107" t="n"/>
      <c r="I69" s="107" t="n"/>
      <c r="J69" s="107" t="n"/>
      <c r="K69" s="107" t="n"/>
      <c r="L69" s="107" t="n"/>
    </row>
    <row r="70" s="56">
      <c r="A70" s="105" t="inlineStr">
        <is>
          <t>16–17 Nov</t>
        </is>
      </c>
      <c r="B70" s="105" t="inlineStr">
        <is>
          <t>Hohhot → Erenhot</t>
        </is>
      </c>
      <c r="C70" s="82" t="inlineStr">
        <is>
          <t>4652 hard sleeper 22:50–06:50</t>
        </is>
      </c>
      <c r="D70" s="104" t="n">
        <v>0.3333333333333333</v>
      </c>
      <c r="E70" s="106" t="inlineStr">
        <is>
          <t>~6 h wait in Hohhot first (not counted)</t>
        </is>
      </c>
      <c r="F70" s="107" t="n"/>
      <c r="G70" s="107" t="n"/>
      <c r="H70" s="107" t="n"/>
      <c r="I70" s="107" t="n"/>
      <c r="J70" s="107" t="n"/>
      <c r="K70" s="107" t="n"/>
      <c r="L70" s="107" t="n"/>
    </row>
    <row r="71" s="56">
      <c r="A71" s="105" t="inlineStr">
        <is>
          <t>17 Nov</t>
        </is>
      </c>
      <c r="B71" s="105" t="inlineStr">
        <is>
          <t>Erenhot → Zamyn-Uud (border)</t>
        </is>
      </c>
      <c r="C71" s="82" t="inlineStr">
        <is>
          <t>Shared jeep</t>
        </is>
      </c>
      <c r="D71" s="104" t="n">
        <v>0.125</v>
      </c>
      <c r="E71" s="106" t="inlineStr">
        <is>
          <t>Estimate incl. both border posts</t>
        </is>
      </c>
      <c r="F71" s="107" t="n"/>
      <c r="G71" s="107" t="n"/>
      <c r="H71" s="107" t="n"/>
      <c r="I71" s="107" t="n"/>
      <c r="J71" s="107" t="n"/>
      <c r="K71" s="107" t="n"/>
      <c r="L71" s="107" t="n"/>
    </row>
    <row r="72">
      <c r="A72" s="105" t="inlineStr">
        <is>
          <t>17–18 Nov</t>
        </is>
      </c>
      <c r="B72" s="105" t="inlineStr">
        <is>
          <t>Zamyn-Uud → Ulaanbaatar</t>
        </is>
      </c>
      <c r="C72" s="82" t="inlineStr">
        <is>
          <t>UBTZ 275 platskart 18:05–09:20</t>
        </is>
      </c>
      <c r="D72" s="104" t="n">
        <v>0.6354166666666666</v>
      </c>
      <c r="E72" s="106" t="inlineStr">
        <is>
          <t>Wait in Zamyn-Uud not counted</t>
        </is>
      </c>
      <c r="F72" s="107" t="n"/>
      <c r="G72" s="107" t="n"/>
      <c r="H72" s="107" t="n"/>
      <c r="I72" s="107" t="n"/>
      <c r="J72" s="107" t="n"/>
      <c r="K72" s="107" t="n"/>
      <c r="L72" s="107" t="n"/>
    </row>
    <row r="73">
      <c r="A73" s="105" t="inlineStr">
        <is>
          <t>18 Nov</t>
        </is>
      </c>
      <c r="B73" s="105" t="inlineStr">
        <is>
          <t>Ulaanbaatar station → home</t>
        </is>
      </c>
      <c r="C73" s="82" t="inlineStr">
        <is>
          <t>Taxi</t>
        </is>
      </c>
      <c r="D73" s="104" t="n">
        <v>0.02083333333333333</v>
      </c>
      <c r="E73" s="106" t="n"/>
      <c r="F73" s="107" t="n"/>
      <c r="G73" s="107" t="n"/>
      <c r="H73" s="107" t="n"/>
      <c r="I73" s="107" t="n"/>
      <c r="J73" s="107" t="n"/>
      <c r="K73" s="107" t="n"/>
      <c r="L73" s="107" t="n"/>
    </row>
    <row r="75">
      <c r="C75" s="59" t="inlineStr">
        <is>
          <t>Total door-to-door</t>
        </is>
      </c>
      <c r="D75" s="109">
        <f>SUM(D61:D73)</f>
        <v/>
      </c>
    </row>
  </sheetData>
  <mergeCells count="24">
    <mergeCell ref="C52:L52"/>
    <mergeCell ref="E68:L68"/>
    <mergeCell ref="E71:L71"/>
    <mergeCell ref="B47:L47"/>
    <mergeCell ref="E62:L62"/>
    <mergeCell ref="B46:L46"/>
    <mergeCell ref="E67:L67"/>
    <mergeCell ref="C57:L57"/>
    <mergeCell ref="E73:L73"/>
    <mergeCell ref="C53:L53"/>
    <mergeCell ref="E64:L64"/>
    <mergeCell ref="E63:L63"/>
    <mergeCell ref="E69:L69"/>
    <mergeCell ref="E65:L65"/>
    <mergeCell ref="B44:L44"/>
    <mergeCell ref="C54:L54"/>
    <mergeCell ref="E70:L70"/>
    <mergeCell ref="E61:L61"/>
    <mergeCell ref="C55:L55"/>
    <mergeCell ref="C56:L56"/>
    <mergeCell ref="E72:L72"/>
    <mergeCell ref="E66:L66"/>
    <mergeCell ref="C51:L51"/>
    <mergeCell ref="B45:L4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Overland out (seats)</t>
        </is>
      </c>
    </row>
    <row r="2" ht="15" customHeight="1" s="56">
      <c r="A2" s="62" t="inlineStr">
        <is>
          <t>Cheapest way out found: UBTZ train to Zamyn-Uud, jeep across the border, trains via Jining South to Shenyang, all in seats; arrive on day 1 morning, one hotel night; K28 seat + Air China home.</t>
        </is>
      </c>
    </row>
    <row r="4" ht="15" customHeight="1" s="56">
      <c r="A4" s="60" t="inlineStr">
        <is>
          <t>Days in destination (meals &amp; local transport)</t>
        </is>
      </c>
      <c r="B4" s="76" t="n">
        <v>4</v>
      </c>
      <c r="C4" s="62" t="inlineStr">
        <is>
          <t>12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9" customHeight="1" s="56">
      <c r="B10" s="111" t="inlineStr">
        <is>
          <t>Air China CA955 Beijing Capital (PEK) 12:55 → Ulaanbaatar 15:05, nonstop</t>
        </is>
      </c>
      <c r="C10" s="83" t="inlineStr">
        <is>
          <t>16 Nov</t>
        </is>
      </c>
      <c r="D10" s="84" t="n">
        <v>0.09027777777777778</v>
      </c>
      <c r="E10" s="85" t="n">
        <v>171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22 Oct: US$171 pp, cheapest that day (MIAT OM224 11:30 US$193 on Trip.com / $176 on SlickTrip; Air China 08:25 $215; Capital + Hunnu via Erenhot $196)</t>
        </is>
      </c>
    </row>
    <row r="11" s="56">
      <c r="A11" s="79" t="inlineStr">
        <is>
          <t>Trains &amp; border crossing</t>
        </is>
      </c>
      <c r="B11" s="80" t="n"/>
      <c r="C11" s="80" t="n"/>
      <c r="D11" s="80" t="n"/>
      <c r="E11" s="80" t="n"/>
      <c r="F11" s="80" t="n"/>
      <c r="G11" s="80" t="n"/>
      <c r="H11" s="80" t="n"/>
      <c r="I11" s="80" t="n"/>
      <c r="J11" s="80" t="n"/>
      <c r="K11" s="80" t="n"/>
      <c r="L11" s="80" t="n"/>
    </row>
    <row r="12" ht="30" customHeight="1" s="56">
      <c r="B12" s="111" t="inlineStr">
        <is>
          <t>UBTZ train 276 Ulaanbaatar 16:40 → Zamyn-Uud 07:20, seat (общий)</t>
        </is>
      </c>
      <c r="C12" s="83" t="inlineStr">
        <is>
          <t>12–13 Nov</t>
        </is>
      </c>
      <c r="D12" s="84" t="n">
        <v>0.6111111111111112</v>
      </c>
      <c r="E12" s="85" t="n">
        <v>26000</v>
      </c>
      <c r="F12" s="86" t="inlineStr">
        <is>
          <t>MNT</t>
        </is>
      </c>
      <c r="G12" s="87">
        <f>Compare!$B$6</f>
        <v/>
      </c>
      <c r="H12" s="88">
        <f>E12*G12*IF(F12="USD",Compare!$B$8,IF(F12="CNY",Compare!$B$9,IF(F12="HKD",Compare!$B$10,1)))</f>
        <v/>
      </c>
      <c r="I12" s="89">
        <f>E12</f>
        <v/>
      </c>
      <c r="J12" s="87">
        <f>Compare!$B$7</f>
        <v/>
      </c>
      <c r="K12" s="88">
        <f>I12*J12*IF(F12="USD",Compare!$B$8,IF(F12="CNY",Compare!$B$9,IF(F12="HKD",Compare!$B$10,1)))</f>
        <v/>
      </c>
      <c r="L12" s="112" t="inlineStr">
        <is>
          <t>eticket.ubtz.mn 22 Oct: daily; seat ₮26,000 (69 free on 12 Nov); platskart ₮44,000 + bedding ₮7,400; kupe ₮73,400 + ₮7,400. On sale now.</t>
        </is>
      </c>
    </row>
    <row r="13" ht="39" customHeight="1" s="56">
      <c r="B13" s="111" t="inlineStr">
        <is>
          <t>Shared jeep Zamyn-Uud → Erenhot across the border</t>
        </is>
      </c>
      <c r="C13" s="83" t="inlineStr">
        <is>
          <t>13 Nov (morning)</t>
        </is>
      </c>
      <c r="D13" s="84" t="n">
        <v>0.125</v>
      </c>
      <c r="E13" s="113" t="n">
        <v>100</v>
      </c>
      <c r="F13" s="86" t="inlineStr">
        <is>
          <t>CNY</t>
        </is>
      </c>
      <c r="G13" s="87">
        <f>Compare!$B$6</f>
        <v/>
      </c>
      <c r="H13" s="88">
        <f>E13*G13*IF(F13="USD",Compare!$B$8,IF(F13="CNY",Compare!$B$9,IF(F13="HKD",Compare!$B$10,1)))</f>
        <v/>
      </c>
      <c r="I13" s="114">
        <f>E13</f>
        <v/>
      </c>
      <c r="J13" s="87">
        <f>Compare!$B$7</f>
        <v/>
      </c>
      <c r="K13" s="88">
        <f>I13*J13*IF(F13="USD",Compare!$B$8,IF(F13="CNY",Compare!$B$9,IF(F13="HKD",Compare!$B$10,1)))</f>
        <v/>
      </c>
      <c r="L13" s="112" t="inlineStr">
        <is>
          <t>ASSUMPTION ¥50–110 pp (Wikivoyage, travel blogs); ~3 h with both border posts. Must reach Erenhot station for 12:45 – the next train (6858 13:48) misses T301. Border hours not verified.</t>
        </is>
      </c>
    </row>
    <row r="14" ht="30" customHeight="1" s="56">
      <c r="B14" s="111" t="inlineStr">
        <is>
          <t>Train 4654 Erenhot 12:45 → Jining South 18:11, hard seat</t>
        </is>
      </c>
      <c r="C14" s="83" t="inlineStr">
        <is>
          <t>13 Nov</t>
        </is>
      </c>
      <c r="D14" s="84" t="n">
        <v>0.2263888888888889</v>
      </c>
      <c r="E14" s="85" t="n">
        <v>44.5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¥44.5, hard sleeper ¥90.5. ChinaTicketOnline confirms 11 and 13 Nov; on sale 30 Oct 15:00 for 13 Nov.</t>
        </is>
      </c>
    </row>
    <row r="15" ht="39" customHeight="1" s="56">
      <c r="B15" s="111" t="inlineStr">
        <is>
          <t>Overnight train T301 Jining South 19:30 → Shenyang 10:16, hard seat</t>
        </is>
      </c>
      <c r="C15" s="83" t="inlineStr">
        <is>
          <t>13–14 Nov</t>
        </is>
      </c>
      <c r="D15" s="84" t="n">
        <v>0.6152777777777778</v>
      </c>
      <c r="E15" s="85" t="n">
        <v>163.5</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seat ¥163.5, hard sleeper ¥280.5, soft ¥438.5; 1 h 19 min change at Jining South. ChinaTicketOnline confirms 13 Nov, on sale 30 Oct 15:00. Also K1567 17:31 → 09:38 (same fares).</t>
        </is>
      </c>
    </row>
    <row r="16" ht="51" customHeight="1" s="56">
      <c r="B16" s="111" t="inlineStr">
        <is>
          <t>Overnight train K28 Shenyang 22:24 → Beijing 08:40, hard seat (after the contest)</t>
        </is>
      </c>
      <c r="C16" s="83" t="inlineStr">
        <is>
          <t>15 Nov (night)</t>
        </is>
      </c>
      <c r="D16" s="84" t="n">
        <v>0.4277777777777778</v>
      </c>
      <c r="E16" s="85" t="n">
        <v>112</v>
      </c>
      <c r="F16" s="86" t="inlineStr">
        <is>
          <t>CNY</t>
        </is>
      </c>
      <c r="G16" s="87">
        <f>Compare!$B$6</f>
        <v/>
      </c>
      <c r="H16" s="88">
        <f>E16*G16*IF(F16="USD",Compare!$B$8,IF(F16="CNY",Compare!$B$9,IF(F16="HKD",Compare!$B$10,1)))</f>
        <v/>
      </c>
      <c r="I16" s="89">
        <f>E16</f>
        <v/>
      </c>
      <c r="J16" s="87">
        <f>Compare!$B$7</f>
        <v/>
      </c>
      <c r="K16" s="88">
        <f>I16*J16*IF(F16="USD",Compare!$B$8,IF(F16="CNY",Compare!$B$9,IF(F16="HKD",Compare!$B$10,1)))</f>
        <v/>
      </c>
      <c r="L16"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7" s="56">
      <c r="A17" s="79" t="inlineStr">
        <is>
          <t>Accommodation</t>
        </is>
      </c>
      <c r="B17" s="80" t="n"/>
      <c r="C17" s="80" t="n"/>
      <c r="D17" s="80" t="n"/>
      <c r="E17" s="80" t="n"/>
      <c r="F17" s="80" t="n"/>
      <c r="G17" s="80" t="n"/>
      <c r="H17" s="80" t="n"/>
      <c r="I17" s="80" t="n"/>
      <c r="J17" s="80" t="n"/>
      <c r="K17" s="80" t="n"/>
      <c r="L17" s="80" t="n"/>
    </row>
    <row r="18" ht="60" customHeight="1" s="56">
      <c r="B18" s="111" t="inlineStr">
        <is>
          <t>Ji Hotel Sanhao Street, 55 Sanhao St (~940 m to NEU Nanhu, ~15 min walk): 2 Budget Twin rooms, King Koil mattresses, windows, floors 4–16 – a bed each</t>
        </is>
      </c>
      <c r="C18" s="83" t="inlineStr">
        <is>
          <t>14–15 Nov (1 night)</t>
        </is>
      </c>
      <c r="D18" s="84" t="n"/>
      <c r="E18" s="85" t="n">
        <v>457</v>
      </c>
      <c r="F18" s="86" t="inlineStr">
        <is>
          <t>CNY</t>
        </is>
      </c>
      <c r="G18" s="91" t="n">
        <v>1</v>
      </c>
      <c r="H18" s="88">
        <f>E18*G18*IF(F18="USD",Compare!$B$8,IF(F18="CNY",Compare!$B$9,IF(F18="HKD",Compare!$B$10,1)))</f>
        <v/>
      </c>
      <c r="I18" s="85" t="n">
        <v>457</v>
      </c>
      <c r="J18" s="91" t="n">
        <v>1</v>
      </c>
      <c r="K18" s="88">
        <f>I18*J18*IF(F18="USD",Compare!$B$8,IF(F18="CNY",Compare!$B$9,IF(F18="HKD",Compare!$B$10,1)))</f>
        <v/>
      </c>
      <c r="L18" s="112" t="inlineStr">
        <is>
          <t>Trip.com 22 Oct: ¥457 for 2 Budget Twin rooms × 1 night (14–15 Nov) incl. taxes, free cancellation until 18:00 on 13 Nov; same hotel as 'Sleep value' (9.0, King Koil mattresses).</t>
        </is>
      </c>
    </row>
    <row r="19" s="56">
      <c r="A19" s="79" t="inlineStr">
        <is>
          <t>Meals &amp; local transport</t>
        </is>
      </c>
      <c r="B19" s="80" t="n"/>
      <c r="C19" s="80" t="n"/>
      <c r="D19" s="80" t="n"/>
      <c r="E19" s="80" t="n"/>
      <c r="F19" s="80" t="n"/>
      <c r="G19" s="80" t="n"/>
      <c r="H19" s="80" t="n"/>
      <c r="I19" s="80" t="n"/>
      <c r="J19" s="80" t="n"/>
      <c r="K19" s="80" t="n"/>
      <c r="L19" s="80" t="n"/>
    </row>
    <row r="20" ht="30" customHeight="1" s="56">
      <c r="B20" s="111" t="inlineStr">
        <is>
          <t>Meals</t>
        </is>
      </c>
      <c r="C20" s="83" t="inlineStr">
        <is>
          <t>in destination</t>
        </is>
      </c>
      <c r="D20" s="84" t="n"/>
      <c r="E20" s="113" t="n">
        <v>80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80 CNY/person/day; hosts usually provide some meals on contest days</t>
        </is>
      </c>
    </row>
    <row r="21" ht="30" customHeight="1" s="56">
      <c r="B21" s="111" t="inlineStr">
        <is>
          <t>Local transport (metro, taxis)</t>
        </is>
      </c>
      <c r="C21" s="83" t="inlineStr">
        <is>
          <t>in destination</t>
        </is>
      </c>
      <c r="D21" s="84" t="n"/>
      <c r="E21" s="113" t="n">
        <v>30</v>
      </c>
      <c r="F21" s="86" t="inlineStr">
        <is>
          <t>CNY</t>
        </is>
      </c>
      <c r="G21" s="87">
        <f>Compare!$B$6*$B$4</f>
        <v/>
      </c>
      <c r="H21" s="88">
        <f>E21*G21*IF(F21="USD",Compare!$B$8,IF(F21="CNY",Compare!$B$9,IF(F21="HKD",Compare!$B$10,1)))</f>
        <v/>
      </c>
      <c r="I21" s="114">
        <f>E21</f>
        <v/>
      </c>
      <c r="J21" s="87">
        <f>Compare!$B$7*$B$4</f>
        <v/>
      </c>
      <c r="K21" s="88">
        <f>I21*J21*IF(F21="USD",Compare!$B$8,IF(F21="CNY",Compare!$B$9,IF(F21="HKD",Compare!$B$10,1)))</f>
        <v/>
      </c>
      <c r="L21" s="112" t="inlineStr">
        <is>
          <t>ASSUMPTION 30 CNY/person/day</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home → Ulaanbaatar railway station</t>
        </is>
      </c>
      <c r="C27" s="83" t="inlineStr">
        <is>
          <t>12 Nov</t>
        </is>
      </c>
      <c r="D27" s="84" t="n">
        <v>0.02083333333333333</v>
      </c>
      <c r="E27" s="113" t="n">
        <v>30000</v>
      </c>
      <c r="F27" s="86" t="inlineStr">
        <is>
          <t>MNT</t>
        </is>
      </c>
      <c r="G27" s="91" t="n">
        <v>1</v>
      </c>
      <c r="H27" s="88">
        <f>E27*G27*IF(F27="USD",Compare!$B$8,IF(F27="CNY",Compare!$B$9,IF(F27="HKD",Compare!$B$10,1)))</f>
        <v/>
      </c>
      <c r="I27" s="114">
        <f>E27</f>
        <v/>
      </c>
      <c r="J27" s="91" t="n">
        <v>1</v>
      </c>
      <c r="K27" s="88">
        <f>I27*J27*IF(F27="USD",Compare!$B$8,IF(F27="CNY",Compare!$B$9,IF(F27="HKD",Compare!$B$10,1)))</f>
        <v/>
      </c>
      <c r="L27" s="112" t="inlineStr">
        <is>
          <t>ASSUMPTION ~30k MNT for the group (city trip)</t>
        </is>
      </c>
    </row>
    <row r="28" ht="30" customHeight="1" s="56">
      <c r="B28" s="111" t="inlineStr">
        <is>
          <t>Taxi Chinggis Khaan airport → home (UB)</t>
        </is>
      </c>
      <c r="C28" s="83" t="inlineStr">
        <is>
          <t>16 Nov</t>
        </is>
      </c>
      <c r="D28" s="84" t="n">
        <v>0.04166666666666666</v>
      </c>
      <c r="E28" s="113" t="n">
        <v>100000</v>
      </c>
      <c r="F28" s="86" t="inlineStr">
        <is>
          <t>MNT</t>
        </is>
      </c>
      <c r="G28" s="91" t="n">
        <v>1</v>
      </c>
      <c r="H28" s="88">
        <f>E28*G28*IF(F28="USD",Compare!$B$8,IF(F28="CNY",Compare!$B$9,IF(F28="HKD",Compare!$B$10,1)))</f>
        <v/>
      </c>
      <c r="I28" s="114">
        <f>E28</f>
        <v/>
      </c>
      <c r="J28" s="91" t="n">
        <v>1</v>
      </c>
      <c r="K28" s="88">
        <f>I28*J28*IF(F28="USD",Compare!$B$8,IF(F28="CNY",Compare!$B$9,IF(F28="HKD",Compare!$B$10,1)))</f>
        <v/>
      </c>
      <c r="L28" s="112" t="inlineStr">
        <is>
          <t>ASSUMPTION 100k MNT per trip for the group</t>
        </is>
      </c>
    </row>
    <row r="29" ht="30" customHeight="1" s="56">
      <c r="B29" s="111" t="inlineStr">
        <is>
          <t>Travel medical insurance</t>
        </is>
      </c>
      <c r="C29" s="83" t="n"/>
      <c r="D29" s="84" t="n"/>
      <c r="E29" s="113" t="n">
        <v>30000</v>
      </c>
      <c r="F29" s="86" t="inlineStr">
        <is>
          <t>MNT</t>
        </is>
      </c>
      <c r="G29" s="87">
        <f>Compare!$B$6</f>
        <v/>
      </c>
      <c r="H29" s="88">
        <f>E29*G29*IF(F29="USD",Compare!$B$8,IF(F29="CNY",Compare!$B$9,IF(F29="HKD",Compare!$B$10,1)))</f>
        <v/>
      </c>
      <c r="I29" s="114">
        <f>E29</f>
        <v/>
      </c>
      <c r="J29" s="87">
        <f>Compare!$B$7</f>
        <v/>
      </c>
      <c r="K29" s="88">
        <f>I29*J29*IF(F29="USD",Compare!$B$8,IF(F29="CNY",Compare!$B$9,IF(F29="HKD",Compare!$B$10,1)))</f>
        <v/>
      </c>
      <c r="L29" s="112" t="inlineStr">
        <is>
          <t>ASSUMPTION ~30k MNT per person, Mongolian insurer</t>
        </is>
      </c>
    </row>
    <row r="30" ht="30" customHeight="1" s="56">
      <c r="B30" s="111" t="inlineStr">
        <is>
          <t>Mobile data eSIM</t>
        </is>
      </c>
      <c r="C30" s="83" t="n"/>
      <c r="D30" s="84" t="n"/>
      <c r="E30" s="113" t="n">
        <v>10</v>
      </c>
      <c r="F30" s="86" t="inlineStr">
        <is>
          <t>USD</t>
        </is>
      </c>
      <c r="G30" s="87">
        <f>Compare!$B$6</f>
        <v/>
      </c>
      <c r="H30" s="88">
        <f>E30*G30*IF(F30="USD",Compare!$B$8,IF(F30="CNY",Compare!$B$9,IF(F30="HKD",Compare!$B$10,1)))</f>
        <v/>
      </c>
      <c r="I30" s="114">
        <f>E30</f>
        <v/>
      </c>
      <c r="J30" s="87">
        <f>Compare!$B$7</f>
        <v/>
      </c>
      <c r="K30" s="88">
        <f>I30*J30*IF(F30="USD",Compare!$B$8,IF(F30="CNY",Compare!$B$9,IF(F30="HKD",Compare!$B$10,1)))</f>
        <v/>
      </c>
      <c r="L30" s="112" t="inlineStr">
        <is>
          <t>ASSUMPTION ~$10 pp</t>
        </is>
      </c>
    </row>
    <row r="31" ht="30" customHeight="1" s="56">
      <c r="B31" s="111" t="inlineStr">
        <is>
          <t>Visa</t>
        </is>
      </c>
      <c r="C31" s="83" t="n"/>
      <c r="D31" s="84"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112" t="inlineStr">
        <is>
          <t>Mongolian passports: visa-free (mainland China up to 30 days; Hong Kong up to 14 days)</t>
        </is>
      </c>
    </row>
    <row r="32" s="56"/>
    <row r="33" s="56">
      <c r="G33" s="60" t="n"/>
      <c r="H33" s="96" t="inlineStr">
        <is>
          <t>3 people – UNFUNDED</t>
        </is>
      </c>
      <c r="K33" s="96" t="inlineStr">
        <is>
          <t>4 people – FUNDED ₮12M</t>
        </is>
      </c>
    </row>
    <row r="34" s="56">
      <c r="G34" s="97" t="inlineStr">
        <is>
          <t>University-paid subtotal</t>
        </is>
      </c>
      <c r="H34" s="98">
        <f>SUM(H9:H22)</f>
        <v/>
      </c>
      <c r="K34" s="98">
        <f>SUM(K9:K22)</f>
        <v/>
      </c>
    </row>
    <row r="35" s="56">
      <c r="G35" s="99" t="inlineStr">
        <is>
          <t>Contingency</t>
        </is>
      </c>
      <c r="H35" s="100">
        <f>H34*Compare!$B$11</f>
        <v/>
      </c>
      <c r="K35" s="100">
        <f>K34*Compare!$B$11</f>
        <v/>
      </c>
    </row>
    <row r="36" s="56">
      <c r="G36" s="97" t="inlineStr">
        <is>
          <t>University-paid total incl. contingency</t>
        </is>
      </c>
      <c r="H36" s="98">
        <f>H34+H35</f>
        <v/>
      </c>
      <c r="K36" s="98">
        <f>K34+K35</f>
        <v/>
      </c>
    </row>
    <row r="37" s="56">
      <c r="G37" s="97" t="inlineStr">
        <is>
          <t>Funding left (negative = over)</t>
        </is>
      </c>
      <c r="H37" s="101">
        <f>Compare!$B$12-H36</f>
        <v/>
      </c>
      <c r="K37" s="101">
        <f>Compare!$B$5-K36</f>
        <v/>
      </c>
    </row>
    <row r="38" s="56">
      <c r="G38" s="97" t="inlineStr">
        <is>
          <t>Personal costs – team</t>
        </is>
      </c>
      <c r="H38" s="102">
        <f>SUM(H24:H31)</f>
        <v/>
      </c>
      <c r="K38" s="102">
        <f>SUM(K24:K31)</f>
        <v/>
      </c>
    </row>
    <row r="39" s="56">
      <c r="G39" s="97" t="inlineStr">
        <is>
          <t>Out-of-pocket per person (personal + any overrun)</t>
        </is>
      </c>
      <c r="H39" s="102">
        <f>(H38+MAX(0,-H37))/Compare!$B$6</f>
        <v/>
      </c>
      <c r="K39" s="102">
        <f>(K38+MAX(0,-K37))/Compare!$B$7</f>
        <v/>
      </c>
    </row>
    <row r="40" s="56">
      <c r="G40" s="97" t="inlineStr">
        <is>
          <t>Whole trip cost (university + personal)</t>
        </is>
      </c>
      <c r="H40" s="103">
        <f>H36+H38</f>
        <v/>
      </c>
      <c r="K40" s="103">
        <f>K36+K38</f>
        <v/>
      </c>
    </row>
    <row r="41" s="56">
      <c r="G41" s="99" t="inlineStr">
        <is>
          <t>Time in planes &amp; trains</t>
        </is>
      </c>
      <c r="H41" s="104">
        <f>SUM(D10:D10)+SUM(D12:D16)</f>
        <v/>
      </c>
      <c r="K41" s="104">
        <f>SUM(D10:D10)+SUM(D12:D16)</f>
        <v/>
      </c>
    </row>
    <row r="42" s="56"/>
    <row r="43" s="56">
      <c r="A43" s="72" t="inlineStr">
        <is>
          <t>Key facts</t>
        </is>
      </c>
    </row>
    <row r="44" ht="30" customHeight="1" s="56">
      <c r="A44" s="75" t="inlineStr">
        <is>
          <t>Contest</t>
        </is>
      </c>
      <c r="B44" s="74" t="inlineStr">
        <is>
          <t>Asia Shenyang Regional, 14–15 Nov 2026 (provisional; the 2026 invitation was not found on 22 Oct), Northeastern University Nanhu campus (2024 and 2025 venue). Assumed: day 1 registration + practice, contest 15 Nov 09:00–14:00, awards ~17:00.</t>
        </is>
      </c>
    </row>
    <row r="45" ht="30" customHeight="1" s="56">
      <c r="A45" s="75" t="inlineStr">
        <is>
          <t>Why this plan</t>
        </is>
      </c>
      <c r="B45" s="74" t="inlineStr">
        <is>
          <t>No flight on the way out: ~₮0.19M per person to Shenyang, a fifth of the Air China route. Cheaper way out than the Air China + G153 route of 'Sleep value' (₮0.91M per person); the rest of the trip is the same (Ji Hotel twin rooms, K28 hard seat + Air China 12:55 home), with hotel nights set by the arrival time.</t>
        </is>
      </c>
    </row>
    <row r="46" ht="30" customHeight="1" s="56">
      <c r="A46" s="75" t="inlineStr">
        <is>
          <t>Trade-off</t>
        </is>
      </c>
      <c r="B46" s="74" t="inlineStr">
        <is>
          <t>Two nights sitting up on trains in a row, right before day 1 (POOR for sleep); arrive 10:16 on registration day. The jeep fare and border hours are not verified, and missing the 12:45 train costs a day. Cold Gobi border in mid-November.</t>
        </is>
      </c>
    </row>
    <row r="47" ht="15" customHeight="1" s="56">
      <c r="A47" s="75" t="inlineStr">
        <is>
          <t>Book</t>
        </is>
      </c>
      <c r="B47" s="74" t="inlineStr">
        <is>
          <t>UBTZ 276 on eticket.ubtz.mn (on sale now); 4654 and T301 on 12306 at 15:00 on 30 Oct; K28 on 12306 at 09:30 on 1 Nov; Air China home on Trip.com.</t>
        </is>
      </c>
    </row>
    <row r="48" s="56"/>
    <row r="49" s="56">
      <c r="A49" s="72" t="inlineStr">
        <is>
          <t>Day-by-day plan</t>
        </is>
      </c>
    </row>
    <row r="50" s="56">
      <c r="A50" s="96" t="inlineStr">
        <is>
          <t>Date</t>
        </is>
      </c>
      <c r="B50" s="96" t="inlineStr">
        <is>
          <t>Sleep in</t>
        </is>
      </c>
      <c r="C50" s="96" t="inlineStr">
        <is>
          <t>What happens</t>
        </is>
      </c>
    </row>
    <row r="51" ht="15" customHeight="1" s="56">
      <c r="A51" s="74" t="inlineStr">
        <is>
          <t>Thu 12 Nov</t>
        </is>
      </c>
      <c r="B51" s="74" t="inlineStr">
        <is>
          <t>Train</t>
        </is>
      </c>
      <c r="C51" s="74" t="inlineStr">
        <is>
          <t>Taxi to Ulaanbaatar station; UBTZ 276 16:40 → Zamyn-Uud (overnight).</t>
        </is>
      </c>
    </row>
    <row r="52" ht="30" customHeight="1" s="56">
      <c r="A52" s="74" t="inlineStr">
        <is>
          <t>Fri 13 Nov</t>
        </is>
      </c>
      <c r="B52" s="74" t="inlineStr">
        <is>
          <t>Train</t>
        </is>
      </c>
      <c r="C52" s="74" t="inlineStr">
        <is>
          <t>Arrive Zamyn-Uud 07:20; shared jeep across the border to Erenhot (at the station by ~12:00); 4654 12:45 → Jining South 18:11; T301 19:30 → Shenyang (overnight).</t>
        </is>
      </c>
    </row>
    <row r="53" ht="15" customHeight="1" s="56">
      <c r="A53" s="74" t="inlineStr">
        <is>
          <t>Sat 14 Nov</t>
        </is>
      </c>
      <c r="B53" s="74" t="inlineStr">
        <is>
          <t>Shenyang</t>
        </is>
      </c>
      <c r="C53" s="74" t="inlineStr">
        <is>
          <t>Arrive Shenyang 10:16; taxi to NEU Nanhu for registration and practice; check in at Ji Hotel.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12 Nov</t>
        </is>
      </c>
      <c r="B59" s="105" t="inlineStr">
        <is>
          <t>Home → Ulaanbaatar railway station</t>
        </is>
      </c>
      <c r="C59" s="82" t="inlineStr">
        <is>
          <t>Taxi</t>
        </is>
      </c>
      <c r="D59" s="104" t="n">
        <v>0.02083333333333333</v>
      </c>
      <c r="E59" s="106" t="inlineStr">
        <is>
          <t>Leave ~16:00</t>
        </is>
      </c>
      <c r="F59" s="107" t="n"/>
      <c r="G59" s="107" t="n"/>
      <c r="H59" s="107" t="n"/>
      <c r="I59" s="107" t="n"/>
      <c r="J59" s="107" t="n"/>
      <c r="K59" s="107" t="n"/>
      <c r="L59" s="107" t="n"/>
    </row>
    <row r="60" s="56">
      <c r="A60" s="105" t="inlineStr">
        <is>
          <t>12–13 Nov</t>
        </is>
      </c>
      <c r="B60" s="105" t="inlineStr">
        <is>
          <t>Ulaanbaatar → Zamyn-Uud</t>
        </is>
      </c>
      <c r="C60" s="82" t="inlineStr">
        <is>
          <t>UBTZ 276 16:40–07:20</t>
        </is>
      </c>
      <c r="D60" s="104" t="n">
        <v>0.6111111111111112</v>
      </c>
      <c r="E60" s="106" t="inlineStr">
        <is>
          <t>Overnight</t>
        </is>
      </c>
      <c r="F60" s="107" t="n"/>
      <c r="G60" s="107" t="n"/>
      <c r="H60" s="107" t="n"/>
      <c r="I60" s="107" t="n"/>
      <c r="J60" s="107" t="n"/>
      <c r="K60" s="107" t="n"/>
      <c r="L60" s="107" t="n"/>
    </row>
    <row r="61" s="56">
      <c r="A61" s="105" t="inlineStr">
        <is>
          <t>13 Nov</t>
        </is>
      </c>
      <c r="B61" s="105" t="inlineStr">
        <is>
          <t>Zamyn-Uud → Erenhot (border)</t>
        </is>
      </c>
      <c r="C61" s="82" t="inlineStr">
        <is>
          <t>Shared jeep</t>
        </is>
      </c>
      <c r="D61" s="104" t="n">
        <v>0.125</v>
      </c>
      <c r="E61" s="106" t="inlineStr">
        <is>
          <t>Estimate incl. both border posts</t>
        </is>
      </c>
      <c r="F61" s="107" t="n"/>
      <c r="G61" s="107" t="n"/>
      <c r="H61" s="107" t="n"/>
      <c r="I61" s="107" t="n"/>
      <c r="J61" s="107" t="n"/>
      <c r="K61" s="107" t="n"/>
      <c r="L61" s="107" t="n"/>
    </row>
    <row r="62" s="56">
      <c r="A62" s="105" t="inlineStr">
        <is>
          <t>13 Nov</t>
        </is>
      </c>
      <c r="B62" s="105" t="inlineStr">
        <is>
          <t>Erenhot → Jining South</t>
        </is>
      </c>
      <c r="C62" s="82" t="inlineStr">
        <is>
          <t>4654 hard seat 12:45–18:11</t>
        </is>
      </c>
      <c r="D62" s="104" t="n">
        <v>0.2263888888888889</v>
      </c>
      <c r="E62" s="106" t="n"/>
      <c r="F62" s="107" t="n"/>
      <c r="G62" s="107" t="n"/>
      <c r="H62" s="107" t="n"/>
      <c r="I62" s="107" t="n"/>
      <c r="J62" s="107" t="n"/>
      <c r="K62" s="107" t="n"/>
      <c r="L62" s="107" t="n"/>
    </row>
    <row r="63" s="56">
      <c r="A63" s="105" t="inlineStr">
        <is>
          <t>13–14 Nov</t>
        </is>
      </c>
      <c r="B63" s="105" t="inlineStr">
        <is>
          <t>Jining South → Shenyang</t>
        </is>
      </c>
      <c r="C63" s="82" t="inlineStr">
        <is>
          <t>T301 19:30–10:16</t>
        </is>
      </c>
      <c r="D63" s="104" t="n">
        <v>0.6152777777777778</v>
      </c>
      <c r="E63" s="106" t="inlineStr">
        <is>
          <t>1 h 19 min change; overnight</t>
        </is>
      </c>
      <c r="F63" s="107" t="n"/>
      <c r="G63" s="107" t="n"/>
      <c r="H63" s="107" t="n"/>
      <c r="I63" s="107" t="n"/>
      <c r="J63" s="107" t="n"/>
      <c r="K63" s="107" t="n"/>
      <c r="L63" s="107" t="n"/>
    </row>
    <row r="64" s="56">
      <c r="A64" s="105" t="inlineStr">
        <is>
          <t>14 Nov</t>
        </is>
      </c>
      <c r="B64" s="105" t="inlineStr">
        <is>
          <t>Shenyang station → NEU Nanhu</t>
        </is>
      </c>
      <c r="C64" s="82" t="inlineStr">
        <is>
          <t>Taxi</t>
        </is>
      </c>
      <c r="D64" s="104" t="n">
        <v>0.01388888888888889</v>
      </c>
      <c r="E64" s="106" t="inlineStr">
        <is>
          <t>Registration day</t>
        </is>
      </c>
      <c r="F64" s="107" t="n"/>
      <c r="G64" s="107" t="n"/>
      <c r="H64" s="107" t="n"/>
      <c r="I64" s="107" t="n"/>
      <c r="J64" s="107" t="n"/>
      <c r="K64" s="107" t="n"/>
      <c r="L64" s="107" t="n"/>
    </row>
    <row r="65" s="56">
      <c r="A65" s="105" t="inlineStr">
        <is>
          <t>15 Nov</t>
        </is>
      </c>
      <c r="B65" s="105" t="inlineStr">
        <is>
          <t>NEU Nanhu → Shenyang station</t>
        </is>
      </c>
      <c r="C65" s="82" t="inlineStr">
        <is>
          <t>Taxi</t>
        </is>
      </c>
      <c r="D65" s="104" t="n">
        <v>0.01388888888888889</v>
      </c>
      <c r="E65" s="106" t="n"/>
      <c r="F65" s="107" t="n"/>
      <c r="G65" s="107" t="n"/>
      <c r="H65" s="107" t="n"/>
      <c r="I65" s="107" t="n"/>
      <c r="J65" s="107" t="n"/>
      <c r="K65" s="107" t="n"/>
      <c r="L65" s="107" t="n"/>
    </row>
    <row r="66" s="56">
      <c r="A66" s="105" t="inlineStr">
        <is>
          <t>15–16 Nov</t>
        </is>
      </c>
      <c r="B66" s="105" t="inlineStr">
        <is>
          <t>Shenyang → Beijing</t>
        </is>
      </c>
      <c r="C66" s="82" t="inlineStr">
        <is>
          <t>K28 hard seat 22:24–08:40</t>
        </is>
      </c>
      <c r="D66" s="104" t="n">
        <v>0.4277777777777778</v>
      </c>
      <c r="E66" s="106" t="inlineStr">
        <is>
          <t>Overnight, after the contest</t>
        </is>
      </c>
      <c r="F66" s="107" t="n"/>
      <c r="G66" s="107" t="n"/>
      <c r="H66" s="107" t="n"/>
      <c r="I66" s="107" t="n"/>
      <c r="J66" s="107" t="n"/>
      <c r="K66" s="107" t="n"/>
      <c r="L66" s="107" t="n"/>
    </row>
    <row r="67" s="56">
      <c r="A67" s="105" t="inlineStr">
        <is>
          <t>16 Nov</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s="56">
      <c r="A68" s="105" t="inlineStr">
        <is>
          <t>16 Nov</t>
        </is>
      </c>
      <c r="B68" s="105" t="inlineStr">
        <is>
          <t>Beijing (PEK) → Ulaanbaatar</t>
        </is>
      </c>
      <c r="C68" s="82" t="inlineStr">
        <is>
          <t>Air China 12:55–15:05</t>
        </is>
      </c>
      <c r="D68" s="104" t="n">
        <v>0.09027777777777778</v>
      </c>
      <c r="E68" s="106" t="n"/>
      <c r="F68" s="107" t="n"/>
      <c r="G68" s="107" t="n"/>
      <c r="H68" s="107" t="n"/>
      <c r="I68" s="107" t="n"/>
      <c r="J68" s="107" t="n"/>
      <c r="K68" s="107" t="n"/>
      <c r="L68" s="107" t="n"/>
    </row>
    <row r="69" s="56">
      <c r="A69" s="105" t="inlineStr">
        <is>
          <t>16 Nov</t>
        </is>
      </c>
      <c r="B69" s="105" t="inlineStr">
        <is>
          <t>Chinggis Khaan airport → home</t>
        </is>
      </c>
      <c r="C69" s="82" t="inlineStr">
        <is>
          <t>Taxi</t>
        </is>
      </c>
      <c r="D69" s="104" t="n">
        <v>0.04166666666666666</v>
      </c>
      <c r="E69" s="106" t="n"/>
      <c r="F69" s="107" t="n"/>
      <c r="G69" s="107" t="n"/>
      <c r="H69" s="107" t="n"/>
      <c r="I69" s="107" t="n"/>
      <c r="J69" s="107" t="n"/>
      <c r="K69" s="107" t="n"/>
      <c r="L69" s="107" t="n"/>
    </row>
    <row r="70" s="56"/>
    <row r="71" s="56">
      <c r="C71" s="59" t="inlineStr">
        <is>
          <t>Total door-to-door</t>
        </is>
      </c>
      <c r="D71" s="109">
        <f>SUM(D59:D69)</f>
        <v/>
      </c>
    </row>
  </sheetData>
  <mergeCells count="20">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61:L61"/>
    <mergeCell ref="C55:L55"/>
    <mergeCell ref="E66:L66"/>
    <mergeCell ref="C51:L51"/>
    <mergeCell ref="B45:L4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1"/>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Overland out, berths</t>
        </is>
      </c>
    </row>
    <row r="2" ht="15" customHeight="1" s="56">
      <c r="A2" s="62" t="inlineStr">
        <is>
          <t>Same overland way out as 'Overland out (seats)' with a platskart berth to Zamyn-Uud and a hard sleeper on T301; arrive on day 1 morning, one hotel night; K28 seat + Air China home.</t>
        </is>
      </c>
    </row>
    <row r="4" ht="15" customHeight="1" s="56">
      <c r="A4" s="60" t="inlineStr">
        <is>
          <t>Days in destination (meals &amp; local transport)</t>
        </is>
      </c>
      <c r="B4" s="76" t="n">
        <v>4</v>
      </c>
      <c r="C4" s="62" t="inlineStr">
        <is>
          <t>12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9" customHeight="1" s="56">
      <c r="B10" s="111" t="inlineStr">
        <is>
          <t>Air China CA955 Beijing Capital (PEK) 12:55 → Ulaanbaatar 15:05, nonstop</t>
        </is>
      </c>
      <c r="C10" s="83" t="inlineStr">
        <is>
          <t>16 Nov</t>
        </is>
      </c>
      <c r="D10" s="84" t="n">
        <v>0.09027777777777778</v>
      </c>
      <c r="E10" s="85" t="n">
        <v>171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22 Oct: US$171 pp, cheapest that day (MIAT OM224 11:30 US$193 on Trip.com / $176 on SlickTrip; Air China 08:25 $215; Capital + Hunnu via Erenhot $196)</t>
        </is>
      </c>
    </row>
    <row r="11" s="56">
      <c r="A11" s="79" t="inlineStr">
        <is>
          <t>Trains &amp; border crossing</t>
        </is>
      </c>
      <c r="B11" s="80" t="n"/>
      <c r="C11" s="80" t="n"/>
      <c r="D11" s="80" t="n"/>
      <c r="E11" s="80" t="n"/>
      <c r="F11" s="80" t="n"/>
      <c r="G11" s="80" t="n"/>
      <c r="H11" s="80" t="n"/>
      <c r="I11" s="80" t="n"/>
      <c r="J11" s="80" t="n"/>
      <c r="K11" s="80" t="n"/>
      <c r="L11" s="80" t="n"/>
    </row>
    <row r="12" ht="30" customHeight="1" s="56">
      <c r="B12" s="111" t="inlineStr">
        <is>
          <t>UBTZ train 276 Ulaanbaatar 16:40 → Zamyn-Uud 07:20, platskart berth incl. bedding</t>
        </is>
      </c>
      <c r="C12" s="83" t="inlineStr">
        <is>
          <t>12–13 Nov</t>
        </is>
      </c>
      <c r="D12" s="84" t="n">
        <v>0.6111111111111112</v>
      </c>
      <c r="E12" s="85" t="n">
        <v>51400</v>
      </c>
      <c r="F12" s="86" t="inlineStr">
        <is>
          <t>MNT</t>
        </is>
      </c>
      <c r="G12" s="87">
        <f>Compare!$B$6</f>
        <v/>
      </c>
      <c r="H12" s="88">
        <f>E12*G12*IF(F12="USD",Compare!$B$8,IF(F12="CNY",Compare!$B$9,IF(F12="HKD",Compare!$B$10,1)))</f>
        <v/>
      </c>
      <c r="I12" s="89">
        <f>E12</f>
        <v/>
      </c>
      <c r="J12" s="87">
        <f>Compare!$B$7</f>
        <v/>
      </c>
      <c r="K12" s="88">
        <f>I12*J12*IF(F12="USD",Compare!$B$8,IF(F12="CNY",Compare!$B$9,IF(F12="HKD",Compare!$B$10,1)))</f>
        <v/>
      </c>
      <c r="L12" s="112" t="inlineStr">
        <is>
          <t>eticket.ubtz.mn 22 Oct: daily; seat ₮26,000 (69 free on 12 Nov); platskart ₮44,000 + bedding ₮7,400; kupe ₮73,400 + ₮7,400. On sale now.</t>
        </is>
      </c>
    </row>
    <row r="13" ht="39" customHeight="1" s="56">
      <c r="B13" s="111" t="inlineStr">
        <is>
          <t>Shared jeep Zamyn-Uud → Erenhot across the border</t>
        </is>
      </c>
      <c r="C13" s="83" t="inlineStr">
        <is>
          <t>13 Nov (morning)</t>
        </is>
      </c>
      <c r="D13" s="84" t="n">
        <v>0.125</v>
      </c>
      <c r="E13" s="113" t="n">
        <v>100</v>
      </c>
      <c r="F13" s="86" t="inlineStr">
        <is>
          <t>CNY</t>
        </is>
      </c>
      <c r="G13" s="87">
        <f>Compare!$B$6</f>
        <v/>
      </c>
      <c r="H13" s="88">
        <f>E13*G13*IF(F13="USD",Compare!$B$8,IF(F13="CNY",Compare!$B$9,IF(F13="HKD",Compare!$B$10,1)))</f>
        <v/>
      </c>
      <c r="I13" s="114">
        <f>E13</f>
        <v/>
      </c>
      <c r="J13" s="87">
        <f>Compare!$B$7</f>
        <v/>
      </c>
      <c r="K13" s="88">
        <f>I13*J13*IF(F13="USD",Compare!$B$8,IF(F13="CNY",Compare!$B$9,IF(F13="HKD",Compare!$B$10,1)))</f>
        <v/>
      </c>
      <c r="L13" s="112" t="inlineStr">
        <is>
          <t>ASSUMPTION ¥50–110 pp (Wikivoyage, travel blogs); ~3 h with both border posts. Must reach Erenhot station for 12:45 – the next train (6858 13:48) misses T301. Border hours not verified.</t>
        </is>
      </c>
    </row>
    <row r="14" ht="30" customHeight="1" s="56">
      <c r="B14" s="111" t="inlineStr">
        <is>
          <t>Train 4654 Erenhot 12:45 → Jining South 18:11, hard seat</t>
        </is>
      </c>
      <c r="C14" s="83" t="inlineStr">
        <is>
          <t>13 Nov</t>
        </is>
      </c>
      <c r="D14" s="84" t="n">
        <v>0.2263888888888889</v>
      </c>
      <c r="E14" s="85" t="n">
        <v>44.5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¥44.5, hard sleeper ¥90.5. ChinaTicketOnline confirms 11 and 13 Nov; on sale 30 Oct 15:00 for 13 Nov.</t>
        </is>
      </c>
    </row>
    <row r="15" ht="39" customHeight="1" s="56">
      <c r="B15" s="111" t="inlineStr">
        <is>
          <t>Overnight train T301 Jining South 19:30 → Shenyang 10:16, hard sleeper</t>
        </is>
      </c>
      <c r="C15" s="83" t="inlineStr">
        <is>
          <t>13–14 Nov</t>
        </is>
      </c>
      <c r="D15" s="84" t="n">
        <v>0.6152777777777778</v>
      </c>
      <c r="E15" s="85" t="n">
        <v>280.5</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seat ¥163.5, hard sleeper ¥280.5, soft ¥438.5; 1 h 19 min change at Jining South. ChinaTicketOnline confirms 13 Nov, on sale 30 Oct 15:00. Also K1567 17:31 → 09:38 (same fares).</t>
        </is>
      </c>
    </row>
    <row r="16" ht="51" customHeight="1" s="56">
      <c r="B16" s="111" t="inlineStr">
        <is>
          <t>Overnight train K28 Shenyang 22:24 → Beijing 08:40, hard seat (after the contest)</t>
        </is>
      </c>
      <c r="C16" s="83" t="inlineStr">
        <is>
          <t>15 Nov (night)</t>
        </is>
      </c>
      <c r="D16" s="84" t="n">
        <v>0.4277777777777778</v>
      </c>
      <c r="E16" s="85" t="n">
        <v>112</v>
      </c>
      <c r="F16" s="86" t="inlineStr">
        <is>
          <t>CNY</t>
        </is>
      </c>
      <c r="G16" s="87">
        <f>Compare!$B$6</f>
        <v/>
      </c>
      <c r="H16" s="88">
        <f>E16*G16*IF(F16="USD",Compare!$B$8,IF(F16="CNY",Compare!$B$9,IF(F16="HKD",Compare!$B$10,1)))</f>
        <v/>
      </c>
      <c r="I16" s="89">
        <f>E16</f>
        <v/>
      </c>
      <c r="J16" s="87">
        <f>Compare!$B$7</f>
        <v/>
      </c>
      <c r="K16" s="88">
        <f>I16*J16*IF(F16="USD",Compare!$B$8,IF(F16="CNY",Compare!$B$9,IF(F16="HKD",Compare!$B$10,1)))</f>
        <v/>
      </c>
      <c r="L16"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7" s="56">
      <c r="A17" s="79" t="inlineStr">
        <is>
          <t>Accommodation</t>
        </is>
      </c>
      <c r="B17" s="80" t="n"/>
      <c r="C17" s="80" t="n"/>
      <c r="D17" s="80" t="n"/>
      <c r="E17" s="80" t="n"/>
      <c r="F17" s="80" t="n"/>
      <c r="G17" s="80" t="n"/>
      <c r="H17" s="80" t="n"/>
      <c r="I17" s="80" t="n"/>
      <c r="J17" s="80" t="n"/>
      <c r="K17" s="80" t="n"/>
      <c r="L17" s="80" t="n"/>
    </row>
    <row r="18" ht="60" customHeight="1" s="56">
      <c r="B18" s="111" t="inlineStr">
        <is>
          <t>Ji Hotel Sanhao Street, 55 Sanhao St (~940 m to NEU Nanhu, ~15 min walk): 2 Budget Twin rooms, King Koil mattresses, windows, floors 4–16 – a bed each</t>
        </is>
      </c>
      <c r="C18" s="83" t="inlineStr">
        <is>
          <t>14–15 Nov (1 night)</t>
        </is>
      </c>
      <c r="D18" s="84" t="n"/>
      <c r="E18" s="85" t="n">
        <v>457</v>
      </c>
      <c r="F18" s="86" t="inlineStr">
        <is>
          <t>CNY</t>
        </is>
      </c>
      <c r="G18" s="91" t="n">
        <v>1</v>
      </c>
      <c r="H18" s="88">
        <f>E18*G18*IF(F18="USD",Compare!$B$8,IF(F18="CNY",Compare!$B$9,IF(F18="HKD",Compare!$B$10,1)))</f>
        <v/>
      </c>
      <c r="I18" s="85" t="n">
        <v>457</v>
      </c>
      <c r="J18" s="91" t="n">
        <v>1</v>
      </c>
      <c r="K18" s="88">
        <f>I18*J18*IF(F18="USD",Compare!$B$8,IF(F18="CNY",Compare!$B$9,IF(F18="HKD",Compare!$B$10,1)))</f>
        <v/>
      </c>
      <c r="L18" s="112" t="inlineStr">
        <is>
          <t>Trip.com 22 Oct: ¥457 for 2 Budget Twin rooms × 1 night (14–15 Nov) incl. taxes, free cancellation until 18:00 on 13 Nov; same hotel as 'Sleep value' (9.0, King Koil mattresses).</t>
        </is>
      </c>
    </row>
    <row r="19" s="56">
      <c r="A19" s="79" t="inlineStr">
        <is>
          <t>Meals &amp; local transport</t>
        </is>
      </c>
      <c r="B19" s="80" t="n"/>
      <c r="C19" s="80" t="n"/>
      <c r="D19" s="80" t="n"/>
      <c r="E19" s="80" t="n"/>
      <c r="F19" s="80" t="n"/>
      <c r="G19" s="80" t="n"/>
      <c r="H19" s="80" t="n"/>
      <c r="I19" s="80" t="n"/>
      <c r="J19" s="80" t="n"/>
      <c r="K19" s="80" t="n"/>
      <c r="L19" s="80" t="n"/>
    </row>
    <row r="20" ht="30" customHeight="1" s="56">
      <c r="B20" s="111" t="inlineStr">
        <is>
          <t>Meals</t>
        </is>
      </c>
      <c r="C20" s="83" t="inlineStr">
        <is>
          <t>in destination</t>
        </is>
      </c>
      <c r="D20" s="84" t="n"/>
      <c r="E20" s="113" t="n">
        <v>80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80 CNY/person/day; hosts usually provide some meals on contest days</t>
        </is>
      </c>
    </row>
    <row r="21" ht="30" customHeight="1" s="56">
      <c r="B21" s="111" t="inlineStr">
        <is>
          <t>Local transport (metro, taxis)</t>
        </is>
      </c>
      <c r="C21" s="83" t="inlineStr">
        <is>
          <t>in destination</t>
        </is>
      </c>
      <c r="D21" s="84" t="n"/>
      <c r="E21" s="113" t="n">
        <v>30</v>
      </c>
      <c r="F21" s="86" t="inlineStr">
        <is>
          <t>CNY</t>
        </is>
      </c>
      <c r="G21" s="87">
        <f>Compare!$B$6*$B$4</f>
        <v/>
      </c>
      <c r="H21" s="88">
        <f>E21*G21*IF(F21="USD",Compare!$B$8,IF(F21="CNY",Compare!$B$9,IF(F21="HKD",Compare!$B$10,1)))</f>
        <v/>
      </c>
      <c r="I21" s="114">
        <f>E21</f>
        <v/>
      </c>
      <c r="J21" s="87">
        <f>Compare!$B$7*$B$4</f>
        <v/>
      </c>
      <c r="K21" s="88">
        <f>I21*J21*IF(F21="USD",Compare!$B$8,IF(F21="CNY",Compare!$B$9,IF(F21="HKD",Compare!$B$10,1)))</f>
        <v/>
      </c>
      <c r="L21" s="112" t="inlineStr">
        <is>
          <t>ASSUMPTION 30 CNY/person/day</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home → Ulaanbaatar railway station</t>
        </is>
      </c>
      <c r="C27" s="83" t="inlineStr">
        <is>
          <t>12 Nov</t>
        </is>
      </c>
      <c r="D27" s="84" t="n">
        <v>0.02083333333333333</v>
      </c>
      <c r="E27" s="113" t="n">
        <v>30000</v>
      </c>
      <c r="F27" s="86" t="inlineStr">
        <is>
          <t>MNT</t>
        </is>
      </c>
      <c r="G27" s="91" t="n">
        <v>1</v>
      </c>
      <c r="H27" s="88">
        <f>E27*G27*IF(F27="USD",Compare!$B$8,IF(F27="CNY",Compare!$B$9,IF(F27="HKD",Compare!$B$10,1)))</f>
        <v/>
      </c>
      <c r="I27" s="114">
        <f>E27</f>
        <v/>
      </c>
      <c r="J27" s="91" t="n">
        <v>1</v>
      </c>
      <c r="K27" s="88">
        <f>I27*J27*IF(F27="USD",Compare!$B$8,IF(F27="CNY",Compare!$B$9,IF(F27="HKD",Compare!$B$10,1)))</f>
        <v/>
      </c>
      <c r="L27" s="112" t="inlineStr">
        <is>
          <t>ASSUMPTION ~30k MNT for the group (city trip)</t>
        </is>
      </c>
    </row>
    <row r="28" ht="30" customHeight="1" s="56">
      <c r="B28" s="111" t="inlineStr">
        <is>
          <t>Taxi Chinggis Khaan airport → home (UB)</t>
        </is>
      </c>
      <c r="C28" s="83" t="inlineStr">
        <is>
          <t>16 Nov</t>
        </is>
      </c>
      <c r="D28" s="84" t="n">
        <v>0.04166666666666666</v>
      </c>
      <c r="E28" s="113" t="n">
        <v>100000</v>
      </c>
      <c r="F28" s="86" t="inlineStr">
        <is>
          <t>MNT</t>
        </is>
      </c>
      <c r="G28" s="91" t="n">
        <v>1</v>
      </c>
      <c r="H28" s="88">
        <f>E28*G28*IF(F28="USD",Compare!$B$8,IF(F28="CNY",Compare!$B$9,IF(F28="HKD",Compare!$B$10,1)))</f>
        <v/>
      </c>
      <c r="I28" s="114">
        <f>E28</f>
        <v/>
      </c>
      <c r="J28" s="91" t="n">
        <v>1</v>
      </c>
      <c r="K28" s="88">
        <f>I28*J28*IF(F28="USD",Compare!$B$8,IF(F28="CNY",Compare!$B$9,IF(F28="HKD",Compare!$B$10,1)))</f>
        <v/>
      </c>
      <c r="L28" s="112" t="inlineStr">
        <is>
          <t>ASSUMPTION 100k MNT per trip for the group</t>
        </is>
      </c>
    </row>
    <row r="29" ht="30" customHeight="1" s="56">
      <c r="B29" s="111" t="inlineStr">
        <is>
          <t>Travel medical insurance</t>
        </is>
      </c>
      <c r="C29" s="83" t="n"/>
      <c r="D29" s="84" t="n"/>
      <c r="E29" s="113" t="n">
        <v>30000</v>
      </c>
      <c r="F29" s="86" t="inlineStr">
        <is>
          <t>MNT</t>
        </is>
      </c>
      <c r="G29" s="87">
        <f>Compare!$B$6</f>
        <v/>
      </c>
      <c r="H29" s="88">
        <f>E29*G29*IF(F29="USD",Compare!$B$8,IF(F29="CNY",Compare!$B$9,IF(F29="HKD",Compare!$B$10,1)))</f>
        <v/>
      </c>
      <c r="I29" s="114">
        <f>E29</f>
        <v/>
      </c>
      <c r="J29" s="87">
        <f>Compare!$B$7</f>
        <v/>
      </c>
      <c r="K29" s="88">
        <f>I29*J29*IF(F29="USD",Compare!$B$8,IF(F29="CNY",Compare!$B$9,IF(F29="HKD",Compare!$B$10,1)))</f>
        <v/>
      </c>
      <c r="L29" s="112" t="inlineStr">
        <is>
          <t>ASSUMPTION ~30k MNT per person, Mongolian insurer</t>
        </is>
      </c>
    </row>
    <row r="30" ht="30" customHeight="1" s="56">
      <c r="B30" s="111" t="inlineStr">
        <is>
          <t>Mobile data eSIM</t>
        </is>
      </c>
      <c r="C30" s="83" t="n"/>
      <c r="D30" s="84" t="n"/>
      <c r="E30" s="113" t="n">
        <v>10</v>
      </c>
      <c r="F30" s="86" t="inlineStr">
        <is>
          <t>USD</t>
        </is>
      </c>
      <c r="G30" s="87">
        <f>Compare!$B$6</f>
        <v/>
      </c>
      <c r="H30" s="88">
        <f>E30*G30*IF(F30="USD",Compare!$B$8,IF(F30="CNY",Compare!$B$9,IF(F30="HKD",Compare!$B$10,1)))</f>
        <v/>
      </c>
      <c r="I30" s="114">
        <f>E30</f>
        <v/>
      </c>
      <c r="J30" s="87">
        <f>Compare!$B$7</f>
        <v/>
      </c>
      <c r="K30" s="88">
        <f>I30*J30*IF(F30="USD",Compare!$B$8,IF(F30="CNY",Compare!$B$9,IF(F30="HKD",Compare!$B$10,1)))</f>
        <v/>
      </c>
      <c r="L30" s="112" t="inlineStr">
        <is>
          <t>ASSUMPTION ~$10 pp</t>
        </is>
      </c>
    </row>
    <row r="31" ht="30" customHeight="1" s="56">
      <c r="B31" s="111" t="inlineStr">
        <is>
          <t>Visa</t>
        </is>
      </c>
      <c r="C31" s="83" t="n"/>
      <c r="D31" s="84"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112" t="inlineStr">
        <is>
          <t>Mongolian passports: visa-free (mainland China up to 30 days; Hong Kong up to 14 days)</t>
        </is>
      </c>
    </row>
    <row r="32" s="56"/>
    <row r="33" s="56">
      <c r="G33" s="60" t="n"/>
      <c r="H33" s="96" t="inlineStr">
        <is>
          <t>3 people – UNFUNDED</t>
        </is>
      </c>
      <c r="K33" s="96" t="inlineStr">
        <is>
          <t>4 people – FUNDED ₮12M</t>
        </is>
      </c>
    </row>
    <row r="34" s="56">
      <c r="G34" s="97" t="inlineStr">
        <is>
          <t>University-paid subtotal</t>
        </is>
      </c>
      <c r="H34" s="98">
        <f>SUM(H9:H22)</f>
        <v/>
      </c>
      <c r="K34" s="98">
        <f>SUM(K9:K22)</f>
        <v/>
      </c>
    </row>
    <row r="35" s="56">
      <c r="G35" s="99" t="inlineStr">
        <is>
          <t>Contingency</t>
        </is>
      </c>
      <c r="H35" s="100">
        <f>H34*Compare!$B$11</f>
        <v/>
      </c>
      <c r="K35" s="100">
        <f>K34*Compare!$B$11</f>
        <v/>
      </c>
    </row>
    <row r="36" s="56">
      <c r="G36" s="97" t="inlineStr">
        <is>
          <t>University-paid total incl. contingency</t>
        </is>
      </c>
      <c r="H36" s="98">
        <f>H34+H35</f>
        <v/>
      </c>
      <c r="K36" s="98">
        <f>K34+K35</f>
        <v/>
      </c>
    </row>
    <row r="37" s="56">
      <c r="G37" s="97" t="inlineStr">
        <is>
          <t>Funding left (negative = over)</t>
        </is>
      </c>
      <c r="H37" s="101">
        <f>Compare!$B$12-H36</f>
        <v/>
      </c>
      <c r="K37" s="101">
        <f>Compare!$B$5-K36</f>
        <v/>
      </c>
    </row>
    <row r="38" s="56">
      <c r="G38" s="97" t="inlineStr">
        <is>
          <t>Personal costs – team</t>
        </is>
      </c>
      <c r="H38" s="102">
        <f>SUM(H24:H31)</f>
        <v/>
      </c>
      <c r="K38" s="102">
        <f>SUM(K24:K31)</f>
        <v/>
      </c>
    </row>
    <row r="39" s="56">
      <c r="G39" s="97" t="inlineStr">
        <is>
          <t>Out-of-pocket per person (personal + any overrun)</t>
        </is>
      </c>
      <c r="H39" s="102">
        <f>(H38+MAX(0,-H37))/Compare!$B$6</f>
        <v/>
      </c>
      <c r="K39" s="102">
        <f>(K38+MAX(0,-K37))/Compare!$B$7</f>
        <v/>
      </c>
    </row>
    <row r="40" s="56">
      <c r="G40" s="97" t="inlineStr">
        <is>
          <t>Whole trip cost (university + personal)</t>
        </is>
      </c>
      <c r="H40" s="103">
        <f>H36+H38</f>
        <v/>
      </c>
      <c r="K40" s="103">
        <f>K36+K38</f>
        <v/>
      </c>
    </row>
    <row r="41" s="56">
      <c r="G41" s="99" t="inlineStr">
        <is>
          <t>Time in planes &amp; trains</t>
        </is>
      </c>
      <c r="H41" s="104">
        <f>SUM(D10:D10)+SUM(D12:D16)</f>
        <v/>
      </c>
      <c r="K41" s="104">
        <f>SUM(D10:D10)+SUM(D12:D16)</f>
        <v/>
      </c>
    </row>
    <row r="42" s="56"/>
    <row r="43" s="56">
      <c r="A43" s="72" t="inlineStr">
        <is>
          <t>Key facts</t>
        </is>
      </c>
    </row>
    <row r="44" ht="30" customHeight="1" s="56">
      <c r="A44" s="75" t="inlineStr">
        <is>
          <t>Contest</t>
        </is>
      </c>
      <c r="B44" s="74" t="inlineStr">
        <is>
          <t>Asia Shenyang Regional, 14–15 Nov 2026 (provisional; the 2026 invitation was not found on 22 Oct), Northeastern University Nanhu campus (2024 and 2025 venue). Assumed: day 1 registration + practice, contest 15 Nov 09:00–14:00, awards ~17:00.</t>
        </is>
      </c>
    </row>
    <row r="45" ht="30" customHeight="1" s="56">
      <c r="A45" s="75" t="inlineStr">
        <is>
          <t>Why this plan</t>
        </is>
      </c>
      <c r="B45" s="74" t="inlineStr">
        <is>
          <t>Overland for ~₮0.28M per person with a berth both nights. Cheaper way out than the Air China + G153 route of 'Sleep value' (₮0.91M per person); the rest of the trip is the same (Ji Hotel twin rooms, K28 hard seat + Air China 12:55 home), with hotel nights set by the arrival time.</t>
        </is>
      </c>
    </row>
    <row r="46" ht="30" customHeight="1" s="56">
      <c r="A46" s="75" t="inlineStr">
        <is>
          <t>Trade-off</t>
        </is>
      </c>
      <c r="B46" s="74" t="inlineStr">
        <is>
          <t>Two nights sitting up on trains in a row, right before day 1 (POOR for sleep); arrive 10:16 on registration day. The jeep fare and border hours are not verified, and missing the 12:45 train costs a day. Cold Gobi border in mid-November.</t>
        </is>
      </c>
    </row>
    <row r="47" ht="15" customHeight="1" s="56">
      <c r="A47" s="75" t="inlineStr">
        <is>
          <t>Book</t>
        </is>
      </c>
      <c r="B47" s="74" t="inlineStr">
        <is>
          <t>UBTZ 276 on eticket.ubtz.mn (on sale now); 4654 and T301 on 12306 at 15:00 on 30 Oct; K28 on 12306 at 09:30 on 1 Nov; Air China home on Trip.com.</t>
        </is>
      </c>
    </row>
    <row r="48" s="56"/>
    <row r="49" s="56">
      <c r="A49" s="72" t="inlineStr">
        <is>
          <t>Day-by-day plan</t>
        </is>
      </c>
    </row>
    <row r="50" s="56">
      <c r="A50" s="96" t="inlineStr">
        <is>
          <t>Date</t>
        </is>
      </c>
      <c r="B50" s="96" t="inlineStr">
        <is>
          <t>Sleep in</t>
        </is>
      </c>
      <c r="C50" s="96" t="inlineStr">
        <is>
          <t>What happens</t>
        </is>
      </c>
    </row>
    <row r="51" ht="15" customHeight="1" s="56">
      <c r="A51" s="74" t="inlineStr">
        <is>
          <t>Thu 12 Nov</t>
        </is>
      </c>
      <c r="B51" s="74" t="inlineStr">
        <is>
          <t>Train</t>
        </is>
      </c>
      <c r="C51" s="74" t="inlineStr">
        <is>
          <t>Taxi to Ulaanbaatar station; UBTZ 276 16:40 → Zamyn-Uud (overnight).</t>
        </is>
      </c>
    </row>
    <row r="52" ht="30" customHeight="1" s="56">
      <c r="A52" s="74" t="inlineStr">
        <is>
          <t>Fri 13 Nov</t>
        </is>
      </c>
      <c r="B52" s="74" t="inlineStr">
        <is>
          <t>Train</t>
        </is>
      </c>
      <c r="C52" s="74" t="inlineStr">
        <is>
          <t>Arrive Zamyn-Uud 07:20; shared jeep across the border to Erenhot (at the station by ~12:00); 4654 12:45 → Jining South 18:11; T301 19:30 → Shenyang (overnight).</t>
        </is>
      </c>
    </row>
    <row r="53" ht="15" customHeight="1" s="56">
      <c r="A53" s="74" t="inlineStr">
        <is>
          <t>Sat 14 Nov</t>
        </is>
      </c>
      <c r="B53" s="74" t="inlineStr">
        <is>
          <t>Shenyang</t>
        </is>
      </c>
      <c r="C53" s="74" t="inlineStr">
        <is>
          <t>Arrive Shenyang 10:16; taxi to NEU Nanhu for registration and practice; check in at Ji Hotel.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12 Nov</t>
        </is>
      </c>
      <c r="B59" s="105" t="inlineStr">
        <is>
          <t>Home → Ulaanbaatar railway station</t>
        </is>
      </c>
      <c r="C59" s="82" t="inlineStr">
        <is>
          <t>Taxi</t>
        </is>
      </c>
      <c r="D59" s="104" t="n">
        <v>0.02083333333333333</v>
      </c>
      <c r="E59" s="106" t="inlineStr">
        <is>
          <t>Leave ~16:00</t>
        </is>
      </c>
      <c r="F59" s="107" t="n"/>
      <c r="G59" s="107" t="n"/>
      <c r="H59" s="107" t="n"/>
      <c r="I59" s="107" t="n"/>
      <c r="J59" s="107" t="n"/>
      <c r="K59" s="107" t="n"/>
      <c r="L59" s="107" t="n"/>
    </row>
    <row r="60" s="56">
      <c r="A60" s="105" t="inlineStr">
        <is>
          <t>12–13 Nov</t>
        </is>
      </c>
      <c r="B60" s="105" t="inlineStr">
        <is>
          <t>Ulaanbaatar → Zamyn-Uud</t>
        </is>
      </c>
      <c r="C60" s="82" t="inlineStr">
        <is>
          <t>UBTZ 276 platskart 16:40–07:20</t>
        </is>
      </c>
      <c r="D60" s="104" t="n">
        <v>0.6111111111111112</v>
      </c>
      <c r="E60" s="106" t="inlineStr">
        <is>
          <t>Overnight</t>
        </is>
      </c>
      <c r="F60" s="107" t="n"/>
      <c r="G60" s="107" t="n"/>
      <c r="H60" s="107" t="n"/>
      <c r="I60" s="107" t="n"/>
      <c r="J60" s="107" t="n"/>
      <c r="K60" s="107" t="n"/>
      <c r="L60" s="107" t="n"/>
    </row>
    <row r="61" s="56">
      <c r="A61" s="105" t="inlineStr">
        <is>
          <t>13 Nov</t>
        </is>
      </c>
      <c r="B61" s="105" t="inlineStr">
        <is>
          <t>Zamyn-Uud → Erenhot (border)</t>
        </is>
      </c>
      <c r="C61" s="82" t="inlineStr">
        <is>
          <t>Shared jeep</t>
        </is>
      </c>
      <c r="D61" s="104" t="n">
        <v>0.125</v>
      </c>
      <c r="E61" s="106" t="inlineStr">
        <is>
          <t>Estimate incl. both border posts</t>
        </is>
      </c>
      <c r="F61" s="107" t="n"/>
      <c r="G61" s="107" t="n"/>
      <c r="H61" s="107" t="n"/>
      <c r="I61" s="107" t="n"/>
      <c r="J61" s="107" t="n"/>
      <c r="K61" s="107" t="n"/>
      <c r="L61" s="107" t="n"/>
    </row>
    <row r="62" s="56">
      <c r="A62" s="105" t="inlineStr">
        <is>
          <t>13 Nov</t>
        </is>
      </c>
      <c r="B62" s="105" t="inlineStr">
        <is>
          <t>Erenhot → Jining South</t>
        </is>
      </c>
      <c r="C62" s="82" t="inlineStr">
        <is>
          <t>4654 hard seat 12:45–18:11</t>
        </is>
      </c>
      <c r="D62" s="104" t="n">
        <v>0.2263888888888889</v>
      </c>
      <c r="E62" s="106" t="n"/>
      <c r="F62" s="107" t="n"/>
      <c r="G62" s="107" t="n"/>
      <c r="H62" s="107" t="n"/>
      <c r="I62" s="107" t="n"/>
      <c r="J62" s="107" t="n"/>
      <c r="K62" s="107" t="n"/>
      <c r="L62" s="107" t="n"/>
    </row>
    <row r="63" s="56">
      <c r="A63" s="105" t="inlineStr">
        <is>
          <t>13–14 Nov</t>
        </is>
      </c>
      <c r="B63" s="105" t="inlineStr">
        <is>
          <t>Jining South → Shenyang</t>
        </is>
      </c>
      <c r="C63" s="82" t="inlineStr">
        <is>
          <t>T301 hard sleeper 19:30–10:16</t>
        </is>
      </c>
      <c r="D63" s="104" t="n">
        <v>0.6152777777777778</v>
      </c>
      <c r="E63" s="106" t="inlineStr">
        <is>
          <t>1 h 19 min change; overnight</t>
        </is>
      </c>
      <c r="F63" s="107" t="n"/>
      <c r="G63" s="107" t="n"/>
      <c r="H63" s="107" t="n"/>
      <c r="I63" s="107" t="n"/>
      <c r="J63" s="107" t="n"/>
      <c r="K63" s="107" t="n"/>
      <c r="L63" s="107" t="n"/>
    </row>
    <row r="64" s="56">
      <c r="A64" s="105" t="inlineStr">
        <is>
          <t>14 Nov</t>
        </is>
      </c>
      <c r="B64" s="105" t="inlineStr">
        <is>
          <t>Shenyang station → NEU Nanhu</t>
        </is>
      </c>
      <c r="C64" s="82" t="inlineStr">
        <is>
          <t>Taxi</t>
        </is>
      </c>
      <c r="D64" s="104" t="n">
        <v>0.01388888888888889</v>
      </c>
      <c r="E64" s="106" t="inlineStr">
        <is>
          <t>Registration day</t>
        </is>
      </c>
      <c r="F64" s="107" t="n"/>
      <c r="G64" s="107" t="n"/>
      <c r="H64" s="107" t="n"/>
      <c r="I64" s="107" t="n"/>
      <c r="J64" s="107" t="n"/>
      <c r="K64" s="107" t="n"/>
      <c r="L64" s="107" t="n"/>
    </row>
    <row r="65" s="56">
      <c r="A65" s="105" t="inlineStr">
        <is>
          <t>15 Nov</t>
        </is>
      </c>
      <c r="B65" s="105" t="inlineStr">
        <is>
          <t>NEU Nanhu → Shenyang station</t>
        </is>
      </c>
      <c r="C65" s="82" t="inlineStr">
        <is>
          <t>Taxi</t>
        </is>
      </c>
      <c r="D65" s="104" t="n">
        <v>0.01388888888888889</v>
      </c>
      <c r="E65" s="106" t="n"/>
      <c r="F65" s="107" t="n"/>
      <c r="G65" s="107" t="n"/>
      <c r="H65" s="107" t="n"/>
      <c r="I65" s="107" t="n"/>
      <c r="J65" s="107" t="n"/>
      <c r="K65" s="107" t="n"/>
      <c r="L65" s="107" t="n"/>
    </row>
    <row r="66" s="56">
      <c r="A66" s="105" t="inlineStr">
        <is>
          <t>15–16 Nov</t>
        </is>
      </c>
      <c r="B66" s="105" t="inlineStr">
        <is>
          <t>Shenyang → Beijing</t>
        </is>
      </c>
      <c r="C66" s="82" t="inlineStr">
        <is>
          <t>K28 hard seat 22:24–08:40</t>
        </is>
      </c>
      <c r="D66" s="104" t="n">
        <v>0.4277777777777778</v>
      </c>
      <c r="E66" s="106" t="inlineStr">
        <is>
          <t>Overnight, after the contest</t>
        </is>
      </c>
      <c r="F66" s="107" t="n"/>
      <c r="G66" s="107" t="n"/>
      <c r="H66" s="107" t="n"/>
      <c r="I66" s="107" t="n"/>
      <c r="J66" s="107" t="n"/>
      <c r="K66" s="107" t="n"/>
      <c r="L66" s="107" t="n"/>
    </row>
    <row r="67" s="56">
      <c r="A67" s="105" t="inlineStr">
        <is>
          <t>16 Nov</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s="56">
      <c r="A68" s="105" t="inlineStr">
        <is>
          <t>16 Nov</t>
        </is>
      </c>
      <c r="B68" s="105" t="inlineStr">
        <is>
          <t>Beijing (PEK) → Ulaanbaatar</t>
        </is>
      </c>
      <c r="C68" s="82" t="inlineStr">
        <is>
          <t>Air China 12:55–15:05</t>
        </is>
      </c>
      <c r="D68" s="104" t="n">
        <v>0.09027777777777778</v>
      </c>
      <c r="E68" s="106" t="n"/>
      <c r="F68" s="107" t="n"/>
      <c r="G68" s="107" t="n"/>
      <c r="H68" s="107" t="n"/>
      <c r="I68" s="107" t="n"/>
      <c r="J68" s="107" t="n"/>
      <c r="K68" s="107" t="n"/>
      <c r="L68" s="107" t="n"/>
    </row>
    <row r="69" s="56">
      <c r="A69" s="105" t="inlineStr">
        <is>
          <t>16 Nov</t>
        </is>
      </c>
      <c r="B69" s="105" t="inlineStr">
        <is>
          <t>Chinggis Khaan airport → home</t>
        </is>
      </c>
      <c r="C69" s="82" t="inlineStr">
        <is>
          <t>Taxi</t>
        </is>
      </c>
      <c r="D69" s="104" t="n">
        <v>0.04166666666666666</v>
      </c>
      <c r="E69" s="106" t="n"/>
      <c r="F69" s="107" t="n"/>
      <c r="G69" s="107" t="n"/>
      <c r="H69" s="107" t="n"/>
      <c r="I69" s="107" t="n"/>
      <c r="J69" s="107" t="n"/>
      <c r="K69" s="107" t="n"/>
      <c r="L69" s="107" t="n"/>
    </row>
    <row r="70" s="56"/>
    <row r="71" s="56">
      <c r="C71" s="59" t="inlineStr">
        <is>
          <t>Total door-to-door</t>
        </is>
      </c>
      <c r="D71" s="109">
        <f>SUM(D59:D69)</f>
        <v/>
      </c>
    </row>
  </sheetData>
  <mergeCells count="20">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61:L61"/>
    <mergeCell ref="C55:L55"/>
    <mergeCell ref="E66:L66"/>
    <mergeCell ref="C51:L51"/>
    <mergeCell ref="B45:L4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72"/>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Manzhouli seats</t>
        </is>
      </c>
    </row>
    <row r="2" ht="15" customHeight="1" s="56">
      <c r="A2" s="62" t="inlineStr">
        <is>
          <t>Hunnu Air to Manzhouli (Wed 11 Nov), K7092 overnight to Harbin and K928 to Shenyang, both in hard seats; three hotel nights before the contest; K28 seat + Air China home.</t>
        </is>
      </c>
    </row>
    <row r="4" ht="15" customHeight="1" s="56">
      <c r="A4" s="60" t="inlineStr">
        <is>
          <t>Days in destination (meals &amp; local transport)</t>
        </is>
      </c>
      <c r="B4" s="76" t="n">
        <v>5</v>
      </c>
      <c r="C4" s="62" t="inlineStr">
        <is>
          <t>11 Nov afternoon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51" customHeight="1" s="56">
      <c r="B10" s="111" t="inlineStr">
        <is>
          <t>Hunnu Air MR881 Ulaanbaatar 13:20 → Manzhouli 15:00, nonstop</t>
        </is>
      </c>
      <c r="C10" s="83" t="inlineStr">
        <is>
          <t>Wed 11 Nov</t>
        </is>
      </c>
      <c r="D10" s="84" t="n">
        <v>0.06944444444444445</v>
      </c>
      <c r="E10" s="85" t="n">
        <v>677</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¥677 (SlickTrip $108). Flies Wed and Sat only. Checked bag ~20 kg per travel guides (not confirmed on hunnuair.com). No same-day flight on to Harbin or Shenyang: Ctrip's connections all stop overnight in Hohhot or Beijing.</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51" customHeight="1" s="56">
      <c r="B13" s="111" t="inlineStr">
        <is>
          <t>Overnight train K7092 Manzhouli 19:17 → Harbin 07:11, hard seat</t>
        </is>
      </c>
      <c r="C13" s="83" t="inlineStr">
        <is>
          <t>11–12 Nov</t>
        </is>
      </c>
      <c r="D13" s="84" t="n">
        <v>0.4958333333333333</v>
      </c>
      <c r="E13" s="85" t="n">
        <v>119</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¥119, hard sleeper ¥207, soft ¥324 (K7090 20:20 → 09:08 same fares). ChinaTicketOnline confirms 11 Nov, on sale 28 Oct 16:00. Direct Manzhouli → Shenyang trains (09:05 / 11:15 / 13:40, 18–21 h) leave before the flight lands.</t>
        </is>
      </c>
    </row>
    <row r="14" ht="39" customHeight="1" s="56">
      <c r="B14" s="111" t="inlineStr">
        <is>
          <t>Train K928 Harbin 07:48 → Shenyang North 14:32, hard seat</t>
        </is>
      </c>
      <c r="C14" s="83" t="inlineStr">
        <is>
          <t>12 Nov</t>
        </is>
      </c>
      <c r="D14" s="84" t="n">
        <v>0.2805555555555556</v>
      </c>
      <c r="E14" s="85" t="n">
        <v>75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¥75, hard sleeper ¥133; same station as K7092 (37 min). T184 Harbin West 07:10 also ¥75; G1280 09:11 → 11:42 ¥267 is the fast option. On sale 29 Oct 10:00.</t>
        </is>
      </c>
    </row>
    <row r="15" ht="51" customHeight="1" s="56">
      <c r="B15" s="111" t="inlineStr">
        <is>
          <t>Overnight train K28 Shenyang 22:24 → Beijing 08:40, hard seat (after the contest)</t>
        </is>
      </c>
      <c r="C15" s="83" t="inlineStr">
        <is>
          <t>15 Nov (night)</t>
        </is>
      </c>
      <c r="D15" s="84" t="n">
        <v>0.4277777777777778</v>
      </c>
      <c r="E15" s="85" t="n">
        <v>112</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6" s="56">
      <c r="A16" s="79" t="inlineStr">
        <is>
          <t>Accommodation</t>
        </is>
      </c>
      <c r="B16" s="80" t="n"/>
      <c r="C16" s="80" t="n"/>
      <c r="D16" s="80" t="n"/>
      <c r="E16" s="80" t="n"/>
      <c r="F16" s="80" t="n"/>
      <c r="G16" s="80" t="n"/>
      <c r="H16" s="80" t="n"/>
      <c r="I16" s="80" t="n"/>
      <c r="J16" s="80" t="n"/>
      <c r="K16" s="80" t="n"/>
      <c r="L16" s="80" t="n"/>
    </row>
    <row r="17" ht="60" customHeight="1" s="56">
      <c r="B17" s="111" t="inlineStr">
        <is>
          <t>Ji Hotel Sanhao Street, 55 Sanhao St (~940 m to NEU Nanhu, ~15 min walk): 2 Budget Twin rooms, King Koil mattresses, windows, floors 4–16 – a bed each</t>
        </is>
      </c>
      <c r="C17" s="83" t="inlineStr">
        <is>
          <t>12–15 Nov (3 nights)</t>
        </is>
      </c>
      <c r="D17" s="84" t="n"/>
      <c r="E17" s="85" t="n">
        <v>457</v>
      </c>
      <c r="F17" s="86" t="inlineStr">
        <is>
          <t>CNY</t>
        </is>
      </c>
      <c r="G17" s="91" t="n">
        <v>3</v>
      </c>
      <c r="H17" s="88">
        <f>E17*G17*IF(F17="USD",Compare!$B$8,IF(F17="CNY",Compare!$B$9,IF(F17="HKD",Compare!$B$10,1)))</f>
        <v/>
      </c>
      <c r="I17" s="85" t="n">
        <v>457</v>
      </c>
      <c r="J17" s="91" t="n">
        <v>3</v>
      </c>
      <c r="K17" s="88">
        <f>I17*J17*IF(F17="USD",Compare!$B$8,IF(F17="CNY",Compare!$B$9,IF(F17="HKD",Compare!$B$10,1)))</f>
        <v/>
      </c>
      <c r="L17" s="112" t="inlineStr">
        <is>
          <t>Trip.com 22 Oct: ¥1,371 for 2 rooms × 3 nights incl. taxes, free cancellation until 18:00 on 11 Nov (prepay); same price for 3 or 4 adults. 9.0 from 1,433 reviews; 16 m² rooms high in an office tower, above the street. Breakfast ¥40 optional.</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 Manzhouli airport → Manzhouli station</t>
        </is>
      </c>
      <c r="C21" s="83" t="inlineStr">
        <is>
          <t>11 Nov</t>
        </is>
      </c>
      <c r="D21" s="84" t="n"/>
      <c r="E21" s="113" t="n">
        <v>30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~¥30 per car, ~10 km</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SUM(D10:D11)+SUM(D13:D15)</f>
        <v/>
      </c>
      <c r="K40" s="104">
        <f>SUM(D10:D11)+SUM(D13:D15)</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45" customHeight="1" s="56">
      <c r="A44" s="75" t="inlineStr">
        <is>
          <t>Why this plan</t>
        </is>
      </c>
      <c r="B44" s="74" t="inlineStr">
        <is>
          <t>Cheapest way out by air: ~₮0.48M per person (Hunnu ¥677). Arrives 12 Nov, so it keeps the three hotel nights and the rest day of 'Sleep value'. Cheaper way out than the Air China + G153 route of 'Sleep value' (₮0.91M per person); the rest of the trip is the same (Ji Hotel twin rooms, K28 hard seat + Air China 12:55 home), with hotel nights set by the arrival time.</t>
        </is>
      </c>
    </row>
    <row r="45" ht="30" customHeight="1" s="56">
      <c r="A45" s="75" t="inlineStr">
        <is>
          <t>Trade-off</t>
        </is>
      </c>
      <c r="B45" s="74" t="inlineStr">
        <is>
          <t>Manzhouli needs an overnight train: there is no same-day flight or fast train on to Harbin or Shenyang. One night sitting up on K7092 (11 Nov), four nights before the contest; hard sleeper ¥207 or soft ¥324 instead of the seat; G1280 (¥267, arrive 11:42) instead of K928 saves 3 h. Hunnu flies only Wed / Sat.</t>
        </is>
      </c>
    </row>
    <row r="46" ht="15" customHeight="1" s="56">
      <c r="A46" s="75" t="inlineStr">
        <is>
          <t>Book</t>
        </is>
      </c>
      <c r="B46" s="74" t="inlineStr">
        <is>
          <t>Hunnu on Ctrip now; K7092 on 12306 at 16:00 on 28 Oct; K928 at 10:00 on 29 Oct;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15" customHeight="1" s="56">
      <c r="A50" s="74" t="inlineStr">
        <is>
          <t>Wed 11 Nov</t>
        </is>
      </c>
      <c r="B50" s="74" t="inlineStr">
        <is>
          <t>Train (seat)</t>
        </is>
      </c>
      <c r="C50" s="74" t="inlineStr">
        <is>
          <t>Hunnu MR881 UB 13:20 → Manzhouli 15:00; taxi to Manzhouli station; K7092 19:17 → Harbin (overnight).</t>
        </is>
      </c>
    </row>
    <row r="51" ht="15" customHeight="1" s="56">
      <c r="A51" s="74" t="inlineStr">
        <is>
          <t>Thu 12 Nov</t>
        </is>
      </c>
      <c r="B51" s="74" t="inlineStr">
        <is>
          <t>Shenyang</t>
        </is>
      </c>
      <c r="C51" s="74" t="inlineStr">
        <is>
          <t>Arrive Harbin 07:11; K928 07:48 → Shenyang North 14:32; taxi to Ji Hotel.</t>
        </is>
      </c>
    </row>
    <row r="52" ht="15" customHeight="1" s="56">
      <c r="A52" s="74" t="inlineStr">
        <is>
          <t>Fri 13 Nov</t>
        </is>
      </c>
      <c r="B52" s="74" t="inlineStr">
        <is>
          <t>Shenyang</t>
        </is>
      </c>
      <c r="C52" s="74" t="inlineStr">
        <is>
          <t>Free rest day.</t>
        </is>
      </c>
    </row>
    <row r="53" ht="15" customHeight="1" s="56">
      <c r="A53" s="74" t="inlineStr">
        <is>
          <t>Sat 14 Nov</t>
        </is>
      </c>
      <c r="B53" s="74" t="inlineStr">
        <is>
          <t>Shenyang</t>
        </is>
      </c>
      <c r="C53" s="74" t="inlineStr">
        <is>
          <t>Registration, opening and practice at NEU Nanhu.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11 Nov</t>
        </is>
      </c>
      <c r="B59" s="105" t="inlineStr">
        <is>
          <t>Home → Chinggis Khaan airport</t>
        </is>
      </c>
      <c r="C59" s="82" t="inlineStr">
        <is>
          <t>Taxi (~50 km)</t>
        </is>
      </c>
      <c r="D59" s="104" t="n">
        <v>0.04166666666666666</v>
      </c>
      <c r="E59" s="106" t="inlineStr">
        <is>
          <t>Leave ~10:45</t>
        </is>
      </c>
      <c r="F59" s="107" t="n"/>
      <c r="G59" s="107" t="n"/>
      <c r="H59" s="107" t="n"/>
      <c r="I59" s="107" t="n"/>
      <c r="J59" s="107" t="n"/>
      <c r="K59" s="107" t="n"/>
      <c r="L59" s="107" t="n"/>
    </row>
    <row r="60" s="56">
      <c r="A60" s="105" t="inlineStr">
        <is>
          <t>11 Nov</t>
        </is>
      </c>
      <c r="B60" s="105" t="inlineStr">
        <is>
          <t>Ulaanbaatar → Manzhouli</t>
        </is>
      </c>
      <c r="C60" s="82" t="inlineStr">
        <is>
          <t>Hunnu MR881 13:20–15:00</t>
        </is>
      </c>
      <c r="D60" s="104" t="n">
        <v>0.06944444444444445</v>
      </c>
      <c r="E60" s="106" t="n"/>
      <c r="F60" s="107" t="n"/>
      <c r="G60" s="107" t="n"/>
      <c r="H60" s="107" t="n"/>
      <c r="I60" s="107" t="n"/>
      <c r="J60" s="107" t="n"/>
      <c r="K60" s="107" t="n"/>
      <c r="L60" s="107" t="n"/>
    </row>
    <row r="61" s="56">
      <c r="A61" s="105" t="inlineStr">
        <is>
          <t>11 Nov</t>
        </is>
      </c>
      <c r="B61" s="105" t="inlineStr">
        <is>
          <t>Manzhouli arrival + taxi to the station</t>
        </is>
      </c>
      <c r="C61" s="82" t="inlineStr">
        <is>
          <t>Taxi</t>
        </is>
      </c>
      <c r="D61" s="104" t="n">
        <v>0.04166666666666666</v>
      </c>
      <c r="E61" s="106" t="inlineStr">
        <is>
          <t>Estimate</t>
        </is>
      </c>
      <c r="F61" s="107" t="n"/>
      <c r="G61" s="107" t="n"/>
      <c r="H61" s="107" t="n"/>
      <c r="I61" s="107" t="n"/>
      <c r="J61" s="107" t="n"/>
      <c r="K61" s="107" t="n"/>
      <c r="L61" s="107" t="n"/>
    </row>
    <row r="62" s="56">
      <c r="A62" s="105" t="inlineStr">
        <is>
          <t>11–12 Nov</t>
        </is>
      </c>
      <c r="B62" s="105" t="inlineStr">
        <is>
          <t>Manzhouli → Harbin</t>
        </is>
      </c>
      <c r="C62" s="82" t="inlineStr">
        <is>
          <t>K7092 hard seat 19:17–07:11</t>
        </is>
      </c>
      <c r="D62" s="104" t="n">
        <v>0.4958333333333333</v>
      </c>
      <c r="E62" s="106" t="inlineStr">
        <is>
          <t>Overnight</t>
        </is>
      </c>
      <c r="F62" s="107" t="n"/>
      <c r="G62" s="107" t="n"/>
      <c r="H62" s="107" t="n"/>
      <c r="I62" s="107" t="n"/>
      <c r="J62" s="107" t="n"/>
      <c r="K62" s="107" t="n"/>
      <c r="L62" s="107" t="n"/>
    </row>
    <row r="63" s="56">
      <c r="A63" s="105" t="inlineStr">
        <is>
          <t>12 Nov</t>
        </is>
      </c>
      <c r="B63" s="105" t="inlineStr">
        <is>
          <t>Harbin → Shenyang North</t>
        </is>
      </c>
      <c r="C63" s="82" t="inlineStr">
        <is>
          <t>K928 hard seat 07:48–14:32</t>
        </is>
      </c>
      <c r="D63" s="104" t="n">
        <v>0.2805555555555556</v>
      </c>
      <c r="E63" s="106" t="inlineStr">
        <is>
          <t>Same station, 37 min change</t>
        </is>
      </c>
      <c r="F63" s="107" t="n"/>
      <c r="G63" s="107" t="n"/>
      <c r="H63" s="107" t="n"/>
      <c r="I63" s="107" t="n"/>
      <c r="J63" s="107" t="n"/>
      <c r="K63" s="107" t="n"/>
      <c r="L63" s="107" t="n"/>
    </row>
    <row r="64" s="56">
      <c r="A64" s="105" t="inlineStr">
        <is>
          <t>12 Nov</t>
        </is>
      </c>
      <c r="B64" s="105" t="inlineStr">
        <is>
          <t>Shenyang North → Ji Hotel</t>
        </is>
      </c>
      <c r="C64" s="82" t="inlineStr">
        <is>
          <t>Taxi</t>
        </is>
      </c>
      <c r="D64" s="104" t="n">
        <v>0.01736111111111111</v>
      </c>
      <c r="E64" s="106" t="n"/>
      <c r="F64" s="107" t="n"/>
      <c r="G64" s="107" t="n"/>
      <c r="H64" s="107" t="n"/>
      <c r="I64" s="107" t="n"/>
      <c r="J64" s="107" t="n"/>
      <c r="K64" s="107" t="n"/>
      <c r="L64" s="107" t="n"/>
    </row>
    <row r="65" s="56">
      <c r="A65" s="105" t="inlineStr">
        <is>
          <t>13–15 Nov</t>
        </is>
      </c>
      <c r="B65" s="105" t="inlineStr">
        <is>
          <t>Hotel ↔ NEU Nanhu (each way)</t>
        </is>
      </c>
      <c r="C65" s="82" t="inlineStr">
        <is>
          <t>Walk</t>
        </is>
      </c>
      <c r="D65" s="104" t="inlineStr">
        <is>
          <t>daily</t>
        </is>
      </c>
      <c r="E65" s="106" t="inlineStr">
        <is>
          <t>~15 min walk</t>
        </is>
      </c>
      <c r="F65" s="107" t="n"/>
      <c r="G65" s="107" t="n"/>
      <c r="H65" s="107" t="n"/>
      <c r="I65" s="107" t="n"/>
      <c r="J65" s="107" t="n"/>
      <c r="K65" s="107" t="n"/>
      <c r="L65" s="107" t="n"/>
    </row>
    <row r="66" s="56">
      <c r="A66" s="105" t="inlineStr">
        <is>
          <t>15 Nov</t>
        </is>
      </c>
      <c r="B66" s="105" t="inlineStr">
        <is>
          <t>NEU Nanhu → Shenyang station</t>
        </is>
      </c>
      <c r="C66" s="82" t="inlineStr">
        <is>
          <t>Taxi</t>
        </is>
      </c>
      <c r="D66" s="104" t="n">
        <v>0.01388888888888889</v>
      </c>
      <c r="E66" s="106" t="n"/>
      <c r="F66" s="107" t="n"/>
      <c r="G66" s="107" t="n"/>
      <c r="H66" s="107" t="n"/>
      <c r="I66" s="107" t="n"/>
      <c r="J66" s="107" t="n"/>
      <c r="K66" s="107" t="n"/>
      <c r="L66" s="107" t="n"/>
    </row>
    <row r="67" s="56">
      <c r="A67" s="105" t="inlineStr">
        <is>
          <t>15–16 Nov</t>
        </is>
      </c>
      <c r="B67" s="105" t="inlineStr">
        <is>
          <t>Shenyang → Beijing</t>
        </is>
      </c>
      <c r="C67" s="82" t="inlineStr">
        <is>
          <t>K28 hard seat 22:24–08:40</t>
        </is>
      </c>
      <c r="D67" s="104" t="n">
        <v>0.4277777777777778</v>
      </c>
      <c r="E67" s="106" t="inlineStr">
        <is>
          <t>Overnight, after the contest</t>
        </is>
      </c>
      <c r="F67" s="107" t="n"/>
      <c r="G67" s="107" t="n"/>
      <c r="H67" s="107" t="n"/>
      <c r="I67" s="107" t="n"/>
      <c r="J67" s="107" t="n"/>
      <c r="K67" s="107" t="n"/>
      <c r="L67" s="107" t="n"/>
    </row>
    <row r="68" s="56">
      <c r="A68" s="105" t="inlineStr">
        <is>
          <t>16 Nov</t>
        </is>
      </c>
      <c r="B68" s="105" t="inlineStr">
        <is>
          <t>Beijing station → PEK</t>
        </is>
      </c>
      <c r="C68" s="82" t="inlineStr">
        <is>
          <t>Metro line 2 + Airport Express</t>
        </is>
      </c>
      <c r="D68" s="104" t="n">
        <v>0.04166666666666666</v>
      </c>
      <c r="E68" s="106" t="inlineStr">
        <is>
          <t>Be at PEK by ~10:55</t>
        </is>
      </c>
      <c r="F68" s="107" t="n"/>
      <c r="G68" s="107" t="n"/>
      <c r="H68" s="107" t="n"/>
      <c r="I68" s="107" t="n"/>
      <c r="J68" s="107" t="n"/>
      <c r="K68" s="107" t="n"/>
      <c r="L68" s="107" t="n"/>
    </row>
    <row r="69" s="56">
      <c r="A69" s="105" t="inlineStr">
        <is>
          <t>16 Nov</t>
        </is>
      </c>
      <c r="B69" s="105" t="inlineStr">
        <is>
          <t>Beijing (PEK) → Ulaanbaatar</t>
        </is>
      </c>
      <c r="C69" s="82" t="inlineStr">
        <is>
          <t>Air China 12:55–15:05</t>
        </is>
      </c>
      <c r="D69" s="104" t="n">
        <v>0.09027777777777778</v>
      </c>
      <c r="E69" s="106" t="n"/>
      <c r="F69" s="107" t="n"/>
      <c r="G69" s="107" t="n"/>
      <c r="H69" s="107" t="n"/>
      <c r="I69" s="107" t="n"/>
      <c r="J69" s="107" t="n"/>
      <c r="K69" s="107" t="n"/>
      <c r="L69" s="107" t="n"/>
    </row>
    <row r="70" s="56">
      <c r="A70" s="105" t="inlineStr">
        <is>
          <t>16 Nov</t>
        </is>
      </c>
      <c r="B70" s="105" t="inlineStr">
        <is>
          <t>Chinggis Khaan airport → home</t>
        </is>
      </c>
      <c r="C70" s="82" t="inlineStr">
        <is>
          <t>Taxi</t>
        </is>
      </c>
      <c r="D70" s="104" t="n">
        <v>0.04166666666666666</v>
      </c>
      <c r="E70" s="106" t="n"/>
      <c r="F70" s="107" t="n"/>
      <c r="G70" s="107" t="n"/>
      <c r="H70" s="107" t="n"/>
      <c r="I70" s="107" t="n"/>
      <c r="J70" s="107" t="n"/>
      <c r="K70" s="107" t="n"/>
      <c r="L70" s="107" t="n"/>
    </row>
    <row r="71" s="56"/>
    <row r="72">
      <c r="C72" s="59" t="inlineStr">
        <is>
          <t>Total door-to-door</t>
        </is>
      </c>
      <c r="D72" s="109">
        <f>SUM(D59:D70)</f>
        <v/>
      </c>
    </row>
  </sheetData>
  <mergeCells count="22">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E70:L70"/>
    <mergeCell ref="C50:L50"/>
    <mergeCell ref="E61:L61"/>
    <mergeCell ref="C55:L55"/>
    <mergeCell ref="E66:L66"/>
    <mergeCell ref="C51:L51"/>
    <mergeCell ref="B45:L4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Hunnu Daxing + K341</t>
        </is>
      </c>
    </row>
    <row r="2" ht="15" customHeight="1" s="56">
      <c r="A2" s="62" t="inlineStr">
        <is>
          <t>Hunnu Air to Beijing Daxing on Fri 13 Nov, K341 overnight to Shenyang in a hard seat; arrive on day 1 morning, one hotel night; K28 seat + Air China home.</t>
        </is>
      </c>
    </row>
    <row r="4" ht="15" customHeight="1" s="56">
      <c r="A4" s="60" t="inlineStr">
        <is>
          <t>Days in destination (meals &amp; local transport)</t>
        </is>
      </c>
      <c r="B4" s="76" t="n">
        <v>3</v>
      </c>
      <c r="C4" s="62" t="inlineStr">
        <is>
          <t>13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Hunnu Air MR801 Ulaanbaatar 17:55 → Beijing Daxing (PKX) 20:15, nonstop</t>
        </is>
      </c>
      <c r="C10" s="83" t="inlineStr">
        <is>
          <t>Fri 13 Nov</t>
        </is>
      </c>
      <c r="D10" s="84" t="n">
        <v>0.09722222222222222</v>
      </c>
      <c r="E10" s="85" t="n">
        <v>921</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¥921 (SlickTrip $186; MIAT 17:15 ¥975, Air China 16:10 ¥1,031 the same day). Checked bag ~20 kg per travel guides (not confirmed).</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39" customHeight="1" s="56">
      <c r="B13" s="111" t="inlineStr">
        <is>
          <t>Overnight train K341 Beijing 23:00 → Shenyang 08:47, hard seat</t>
        </is>
      </c>
      <c r="C13" s="83" t="inlineStr">
        <is>
          <t>13–14 Nov</t>
        </is>
      </c>
      <c r="D13" s="84" t="n">
        <v>0.4076388888888889</v>
      </c>
      <c r="E13" s="85" t="n">
        <v>112</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¥112, hard sleeper ¥194. ChinaTicketOnline confirms 13 Nov, on sale 30 Oct 10:00. Fallback if late: G-trains from Beijing Chaoyang next morning (¥355–369, e.g. G101 08:00).</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60" customHeight="1" s="56">
      <c r="B16" s="111" t="inlineStr">
        <is>
          <t>Ji Hotel Sanhao Street, 55 Sanhao St (~940 m to NEU Nanhu, ~15 min walk): 2 Budget Twin rooms, King Koil mattresses, windows, floors 4–16 – a bed each</t>
        </is>
      </c>
      <c r="C16" s="83" t="inlineStr">
        <is>
          <t>14–15 Nov (1 night)</t>
        </is>
      </c>
      <c r="D16" s="84" t="n"/>
      <c r="E16" s="85" t="n">
        <v>457</v>
      </c>
      <c r="F16" s="86" t="inlineStr">
        <is>
          <t>CNY</t>
        </is>
      </c>
      <c r="G16" s="91" t="n">
        <v>1</v>
      </c>
      <c r="H16" s="88">
        <f>E16*G16*IF(F16="USD",Compare!$B$8,IF(F16="CNY",Compare!$B$9,IF(F16="HKD",Compare!$B$10,1)))</f>
        <v/>
      </c>
      <c r="I16" s="85" t="n">
        <v>457</v>
      </c>
      <c r="J16" s="91" t="n">
        <v>1</v>
      </c>
      <c r="K16" s="88">
        <f>I16*J16*IF(F16="USD",Compare!$B$8,IF(F16="CNY",Compare!$B$9,IF(F16="HKD",Compare!$B$10,1)))</f>
        <v/>
      </c>
      <c r="L16" s="112" t="inlineStr">
        <is>
          <t>Trip.com 22 Oct: ¥457 for 2 Budget Twin rooms × 1 night (14–15 Nov) incl. taxes, free cancellation until 18:00 on 13 Nov; same hotel as 'Sleep value' (9.0, King Koil mattresses).</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Daxing Airport Express + metro to Beijing station</t>
        </is>
      </c>
      <c r="C20" s="83" t="inlineStr">
        <is>
          <t>13 Nov</t>
        </is>
      </c>
      <c r="D20" s="84" t="n"/>
      <c r="E20" s="113" t="n">
        <v>40</v>
      </c>
      <c r="F20" s="86" t="inlineStr">
        <is>
          <t>CNY</t>
        </is>
      </c>
      <c r="G20" s="87">
        <f>Compare!$B$6</f>
        <v/>
      </c>
      <c r="H20" s="88">
        <f>E20*G20*IF(F20="USD",Compare!$B$8,IF(F20="CNY",Compare!$B$9,IF(F20="HKD",Compare!$B$10,1)))</f>
        <v/>
      </c>
      <c r="I20" s="114">
        <f>E20</f>
        <v/>
      </c>
      <c r="J20" s="87">
        <f>Compare!$B$7</f>
        <v/>
      </c>
      <c r="K20" s="88">
        <f>I20*J20*IF(F20="USD",Compare!$B$8,IF(F20="CNY",Compare!$B$9,IF(F20="HKD",Compare!$B$10,1)))</f>
        <v/>
      </c>
      <c r="L20" s="112" t="inlineStr">
        <is>
          <t>ASSUMPTION ~¥35 + ¥5 pp, ~1 h 15 min</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30" customHeight="1" s="56">
      <c r="A43" s="75" t="inlineStr">
        <is>
          <t>Why this plan</t>
        </is>
      </c>
      <c r="B43" s="74" t="inlineStr">
        <is>
          <t>~₮0.58M per person to Shenyang and only one hotel night and three days of meals. Cheaper way out than the Air China + G153 route of 'Sleep value' (₮0.91M per person); the rest of the trip is the same (Ji Hotel twin rooms, K28 hard seat + Air China 12:55 home), with hotel nights set by the arrival time.</t>
        </is>
      </c>
    </row>
    <row r="44" ht="30" customHeight="1" s="56">
      <c r="A44" s="75" t="inlineStr">
        <is>
          <t>Trade-off</t>
        </is>
      </c>
      <c r="B44" s="74" t="inlineStr">
        <is>
          <t>The night before day 1 is spent sitting up on K341 (POOR for sleep) and you arrive on registration morning. Only 45–60 min between landing and the 23:00 train; if it is missed, take a G-train next morning (¥355–369). Daxing is ~1 h 15 min from Beijing station.</t>
        </is>
      </c>
    </row>
    <row r="45" ht="15" customHeight="1" s="56">
      <c r="A45" s="75" t="inlineStr">
        <is>
          <t>Book</t>
        </is>
      </c>
      <c r="B45" s="74" t="inlineStr">
        <is>
          <t>Hunnu on Ctrip now; K341 on 12306 at 10:00 on 30 Oct; K28 on 12306 at 09:30 on 1 Nov; Air China home on Trip.com.</t>
        </is>
      </c>
    </row>
    <row r="46" s="56"/>
    <row r="47" s="56">
      <c r="A47" s="72" t="inlineStr">
        <is>
          <t>Day-by-day plan</t>
        </is>
      </c>
    </row>
    <row r="48" s="56">
      <c r="A48" s="96" t="inlineStr">
        <is>
          <t>Date</t>
        </is>
      </c>
      <c r="B48" s="96" t="inlineStr">
        <is>
          <t>Sleep in</t>
        </is>
      </c>
      <c r="C48" s="96" t="inlineStr">
        <is>
          <t>What happens</t>
        </is>
      </c>
    </row>
    <row r="49" ht="15" customHeight="1" s="56">
      <c r="A49" s="74" t="inlineStr">
        <is>
          <t>Fri 13 Nov</t>
        </is>
      </c>
      <c r="B49" s="74" t="inlineStr">
        <is>
          <t>Train (seat)</t>
        </is>
      </c>
      <c r="C49" s="74" t="inlineStr">
        <is>
          <t>Hunnu MR801 UB 17:55 → Beijing Daxing 20:15; Daxing Airport Express + metro to Beijing station; K341 23:00 → Shenyang (overnight).</t>
        </is>
      </c>
    </row>
    <row r="50" ht="15" customHeight="1" s="56">
      <c r="A50" s="74" t="inlineStr">
        <is>
          <t>Sat 14 Nov</t>
        </is>
      </c>
      <c r="B50" s="74" t="inlineStr">
        <is>
          <t>Shenyang</t>
        </is>
      </c>
      <c r="C50" s="74" t="inlineStr">
        <is>
          <t>Arrive Shenyang 08:47; taxi to NEU Nanhu for registration and practice; check in at Ji Hotel. Lights out ~22:30.</t>
        </is>
      </c>
    </row>
    <row r="51" ht="30" customHeight="1" s="56">
      <c r="A51" s="74" t="inlineStr">
        <is>
          <t>Sun 15 Nov</t>
        </is>
      </c>
      <c r="B51" s="74" t="inlineStr">
        <is>
          <t>Train (seat)</t>
        </is>
      </c>
      <c r="C51" s="74" t="inlineStr">
        <is>
          <t>CONTEST. Wake ~06:50, walk ~15 min. Check out before leaving, luggage stored at the hotel. Awards ~17:00; taxi to Shenyang station; K28 22:24 hard seat → Beijing 08:40.</t>
        </is>
      </c>
    </row>
    <row r="52" ht="15" customHeight="1" s="56">
      <c r="A52" s="74" t="inlineStr">
        <is>
          <t>Mon 16 Nov</t>
        </is>
      </c>
      <c r="B52" s="74" t="inlineStr">
        <is>
          <t>Home</t>
        </is>
      </c>
      <c r="C52" s="74" t="inlineStr">
        <is>
          <t>Metro line 2 + Airport Express to PEK T3 (~1 h). Air China 12:55 → UB 15:05.</t>
        </is>
      </c>
    </row>
    <row r="53" s="56"/>
    <row r="54" s="56">
      <c r="A54" s="72" t="inlineStr">
        <is>
          <t>Door-to-door travel times</t>
        </is>
      </c>
    </row>
    <row r="55" s="56">
      <c r="A55" s="96" t="inlineStr">
        <is>
          <t>Date</t>
        </is>
      </c>
      <c r="B55" s="96" t="inlineStr">
        <is>
          <t>Leg</t>
        </is>
      </c>
      <c r="C55" s="96" t="inlineStr">
        <is>
          <t>Mode</t>
        </is>
      </c>
      <c r="D55" s="96" t="inlineStr">
        <is>
          <t>Expected time</t>
        </is>
      </c>
      <c r="E55" s="96" t="inlineStr">
        <is>
          <t>Notes</t>
        </is>
      </c>
    </row>
    <row r="56" s="56">
      <c r="A56" s="105" t="inlineStr">
        <is>
          <t>13 Nov</t>
        </is>
      </c>
      <c r="B56" s="105" t="inlineStr">
        <is>
          <t>Home → Chinggis Khaan airport</t>
        </is>
      </c>
      <c r="C56" s="82" t="inlineStr">
        <is>
          <t>Taxi (~50 km)</t>
        </is>
      </c>
      <c r="D56" s="104" t="n">
        <v>0.04166666666666666</v>
      </c>
      <c r="E56" s="106" t="inlineStr">
        <is>
          <t>Leave ~15:00</t>
        </is>
      </c>
      <c r="F56" s="107" t="n"/>
      <c r="G56" s="107" t="n"/>
      <c r="H56" s="107" t="n"/>
      <c r="I56" s="107" t="n"/>
      <c r="J56" s="107" t="n"/>
      <c r="K56" s="107" t="n"/>
      <c r="L56" s="107" t="n"/>
    </row>
    <row r="57" s="56">
      <c r="A57" s="105" t="inlineStr">
        <is>
          <t>13 Nov</t>
        </is>
      </c>
      <c r="B57" s="105" t="inlineStr">
        <is>
          <t>Ulaanbaatar → Beijing Daxing</t>
        </is>
      </c>
      <c r="C57" s="82" t="inlineStr">
        <is>
          <t>Hunnu MR801 17:55–20:15</t>
        </is>
      </c>
      <c r="D57" s="104" t="n">
        <v>0.09722222222222222</v>
      </c>
      <c r="E57" s="106" t="n"/>
      <c r="F57" s="107" t="n"/>
      <c r="G57" s="107" t="n"/>
      <c r="H57" s="107" t="n"/>
      <c r="I57" s="107" t="n"/>
      <c r="J57" s="107" t="n"/>
      <c r="K57" s="107" t="n"/>
      <c r="L57" s="107" t="n"/>
    </row>
    <row r="58" s="56">
      <c r="A58" s="105" t="inlineStr">
        <is>
          <t>13 Nov</t>
        </is>
      </c>
      <c r="B58" s="105" t="inlineStr">
        <is>
          <t>PKX arrival: immigration, bags</t>
        </is>
      </c>
      <c r="C58" s="82" t="inlineStr">
        <is>
          <t>—</t>
        </is>
      </c>
      <c r="D58" s="104" t="n">
        <v>0.03125</v>
      </c>
      <c r="E58" s="106" t="inlineStr">
        <is>
          <t>Estimate</t>
        </is>
      </c>
      <c r="F58" s="107" t="n"/>
      <c r="G58" s="107" t="n"/>
      <c r="H58" s="107" t="n"/>
      <c r="I58" s="107" t="n"/>
      <c r="J58" s="107" t="n"/>
      <c r="K58" s="107" t="n"/>
      <c r="L58" s="107" t="n"/>
    </row>
    <row r="59" s="56">
      <c r="A59" s="105" t="inlineStr">
        <is>
          <t>13 Nov</t>
        </is>
      </c>
      <c r="B59" s="105" t="inlineStr">
        <is>
          <t>Daxing → Beijing station</t>
        </is>
      </c>
      <c r="C59" s="82" t="inlineStr">
        <is>
          <t>Daxing Airport Express + metro</t>
        </is>
      </c>
      <c r="D59" s="104" t="n">
        <v>0.05208333333333334</v>
      </c>
      <c r="E59" s="106" t="inlineStr">
        <is>
          <t>Estimate; ~45 min spare</t>
        </is>
      </c>
      <c r="F59" s="107" t="n"/>
      <c r="G59" s="107" t="n"/>
      <c r="H59" s="107" t="n"/>
      <c r="I59" s="107" t="n"/>
      <c r="J59" s="107" t="n"/>
      <c r="K59" s="107" t="n"/>
      <c r="L59" s="107" t="n"/>
    </row>
    <row r="60" s="56">
      <c r="A60" s="105" t="inlineStr">
        <is>
          <t>13–14 Nov</t>
        </is>
      </c>
      <c r="B60" s="105" t="inlineStr">
        <is>
          <t>Beijing → Shenyang</t>
        </is>
      </c>
      <c r="C60" s="82" t="inlineStr">
        <is>
          <t>K341 hard seat 23:00–08:47</t>
        </is>
      </c>
      <c r="D60" s="104" t="n">
        <v>0.4076388888888889</v>
      </c>
      <c r="E60" s="106" t="inlineStr">
        <is>
          <t>Overnight</t>
        </is>
      </c>
      <c r="F60" s="107" t="n"/>
      <c r="G60" s="107" t="n"/>
      <c r="H60" s="107" t="n"/>
      <c r="I60" s="107" t="n"/>
      <c r="J60" s="107" t="n"/>
      <c r="K60" s="107" t="n"/>
      <c r="L60" s="107" t="n"/>
    </row>
    <row r="61" s="56">
      <c r="A61" s="105" t="inlineStr">
        <is>
          <t>14 Nov</t>
        </is>
      </c>
      <c r="B61" s="105" t="inlineStr">
        <is>
          <t>Shenyang station → NEU Nanhu</t>
        </is>
      </c>
      <c r="C61" s="82" t="inlineStr">
        <is>
          <t>Taxi</t>
        </is>
      </c>
      <c r="D61" s="104" t="n">
        <v>0.01388888888888889</v>
      </c>
      <c r="E61" s="106" t="inlineStr">
        <is>
          <t>Registration day</t>
        </is>
      </c>
      <c r="F61" s="107" t="n"/>
      <c r="G61" s="107" t="n"/>
      <c r="H61" s="107" t="n"/>
      <c r="I61" s="107" t="n"/>
      <c r="J61" s="107" t="n"/>
      <c r="K61" s="107" t="n"/>
      <c r="L61" s="107" t="n"/>
    </row>
    <row r="62" s="56">
      <c r="A62" s="105" t="inlineStr">
        <is>
          <t>15 Nov</t>
        </is>
      </c>
      <c r="B62" s="105" t="inlineStr">
        <is>
          <t>NEU Nanhu → Shenyang station</t>
        </is>
      </c>
      <c r="C62" s="82" t="inlineStr">
        <is>
          <t>Taxi</t>
        </is>
      </c>
      <c r="D62" s="104" t="n">
        <v>0.01388888888888889</v>
      </c>
      <c r="E62" s="106" t="n"/>
      <c r="F62" s="107" t="n"/>
      <c r="G62" s="107" t="n"/>
      <c r="H62" s="107" t="n"/>
      <c r="I62" s="107" t="n"/>
      <c r="J62" s="107" t="n"/>
      <c r="K62" s="107" t="n"/>
      <c r="L62" s="107" t="n"/>
    </row>
    <row r="63" s="56">
      <c r="A63" s="105" t="inlineStr">
        <is>
          <t>15–16 Nov</t>
        </is>
      </c>
      <c r="B63" s="105" t="inlineStr">
        <is>
          <t>Shenyang → Beijing</t>
        </is>
      </c>
      <c r="C63" s="82" t="inlineStr">
        <is>
          <t>K28 hard seat 22:24–08:40</t>
        </is>
      </c>
      <c r="D63" s="104" t="n">
        <v>0.4277777777777778</v>
      </c>
      <c r="E63" s="106" t="inlineStr">
        <is>
          <t>Overnight, after the contest</t>
        </is>
      </c>
      <c r="F63" s="107" t="n"/>
      <c r="G63" s="107" t="n"/>
      <c r="H63" s="107" t="n"/>
      <c r="I63" s="107" t="n"/>
      <c r="J63" s="107" t="n"/>
      <c r="K63" s="107" t="n"/>
      <c r="L63" s="107" t="n"/>
    </row>
    <row r="64"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s="56"/>
    <row r="68" s="56">
      <c r="C68" s="59" t="inlineStr">
        <is>
          <t>Total door-to-door</t>
        </is>
      </c>
      <c r="D68" s="109">
        <f>SUM(D56:D66)</f>
        <v/>
      </c>
    </row>
    <row r="69" s="56"/>
    <row r="70" s="56"/>
    <row r="71" s="56"/>
  </sheetData>
  <mergeCells count="19">
    <mergeCell ref="E56:L56"/>
    <mergeCell ref="E58:L58"/>
    <mergeCell ref="C52:L52"/>
    <mergeCell ref="E62:L62"/>
    <mergeCell ref="B43:L4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8"/>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MIAT 13 Nov + K341</t>
        </is>
      </c>
    </row>
    <row r="2" ht="15" customHeight="1" s="56">
      <c r="A2" s="62" t="inlineStr">
        <is>
          <t>MIAT to Beijing Capital on Fri 13 Nov 17:15, K341 overnight to Shenyang in a hard seat; arrive on day 1 morning, one hotel night; K28 seat + Air China home.</t>
        </is>
      </c>
    </row>
    <row r="4" ht="15" customHeight="1" s="56">
      <c r="A4" s="60" t="inlineStr">
        <is>
          <t>Days in destination (meals &amp; local transport)</t>
        </is>
      </c>
      <c r="B4" s="76" t="n">
        <v>3</v>
      </c>
      <c r="C4" s="62" t="inlineStr">
        <is>
          <t>13 Nov evening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MIAT OM223 Ulaanbaatar 17:15 → Beijing Capital (PEK) 19:30, nonstop</t>
        </is>
      </c>
      <c r="C10" s="83" t="inlineStr">
        <is>
          <t>Fri 13 Nov</t>
        </is>
      </c>
      <c r="D10" s="84" t="n">
        <v>0.09375</v>
      </c>
      <c r="E10" s="85" t="n">
        <v>975</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¥975 (SlickTrip $154; Trip.com $151 on 30 Sep). Checked bag included.</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39" customHeight="1" s="56">
      <c r="B13" s="111" t="inlineStr">
        <is>
          <t>Overnight train K341 Beijing 23:00 → Shenyang 08:47, hard seat</t>
        </is>
      </c>
      <c r="C13" s="83" t="inlineStr">
        <is>
          <t>13–14 Nov</t>
        </is>
      </c>
      <c r="D13" s="84" t="n">
        <v>0.4076388888888889</v>
      </c>
      <c r="E13" s="85" t="n">
        <v>112</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¥112, hard sleeper ¥194. ChinaTicketOnline confirms 13 Nov, on sale 30 Oct 10:00. Fallback if late: G-trains from Beijing Chaoyang next morning (¥355–369, e.g. G101 08:00).</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60" customHeight="1" s="56">
      <c r="B16" s="111" t="inlineStr">
        <is>
          <t>Ji Hotel Sanhao Street, 55 Sanhao St (~940 m to NEU Nanhu, ~15 min walk): 2 Budget Twin rooms, King Koil mattresses, windows, floors 4–16 – a bed each</t>
        </is>
      </c>
      <c r="C16" s="83" t="inlineStr">
        <is>
          <t>14–15 Nov (1 night)</t>
        </is>
      </c>
      <c r="D16" s="84" t="n"/>
      <c r="E16" s="85" t="n">
        <v>457</v>
      </c>
      <c r="F16" s="86" t="inlineStr">
        <is>
          <t>CNY</t>
        </is>
      </c>
      <c r="G16" s="91" t="n">
        <v>1</v>
      </c>
      <c r="H16" s="88">
        <f>E16*G16*IF(F16="USD",Compare!$B$8,IF(F16="CNY",Compare!$B$9,IF(F16="HKD",Compare!$B$10,1)))</f>
        <v/>
      </c>
      <c r="I16" s="85" t="n">
        <v>457</v>
      </c>
      <c r="J16" s="91" t="n">
        <v>1</v>
      </c>
      <c r="K16" s="88">
        <f>I16*J16*IF(F16="USD",Compare!$B$8,IF(F16="CNY",Compare!$B$9,IF(F16="HKD",Compare!$B$10,1)))</f>
        <v/>
      </c>
      <c r="L16" s="112" t="inlineStr">
        <is>
          <t>Trip.com 22 Oct: ¥457 for 2 Budget Twin rooms × 1 night (14–15 Nov) incl. taxes, free cancellation until 18:00 on 13 Nov; same hotel as 'Sleep value' (9.0, King Koil mattresses).</t>
        </is>
      </c>
    </row>
    <row r="17" s="56">
      <c r="A17" s="79" t="inlineStr">
        <is>
          <t>Meals &amp; local transport</t>
        </is>
      </c>
      <c r="B17" s="80" t="n"/>
      <c r="C17" s="80" t="n"/>
      <c r="D17" s="80" t="n"/>
      <c r="E17" s="80" t="n"/>
      <c r="F17" s="80" t="n"/>
      <c r="G17" s="80" t="n"/>
      <c r="H17" s="80" t="n"/>
      <c r="I17" s="80" t="n"/>
      <c r="J17" s="80" t="n"/>
      <c r="K17" s="80" t="n"/>
      <c r="L17" s="80" t="n"/>
    </row>
    <row r="18" ht="30" customHeight="1" s="56">
      <c r="B18" s="111" t="inlineStr">
        <is>
          <t>Meals</t>
        </is>
      </c>
      <c r="C18" s="83" t="inlineStr">
        <is>
          <t>in destination</t>
        </is>
      </c>
      <c r="D18" s="84"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30" customHeight="1" s="56">
      <c r="B19" s="111" t="inlineStr">
        <is>
          <t>Local transport (metro, taxis)</t>
        </is>
      </c>
      <c r="C19" s="83" t="inlineStr">
        <is>
          <t>in destination</t>
        </is>
      </c>
      <c r="D19" s="84"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B20" s="111" t="inlineStr">
        <is>
          <t>Airport Express + metro line 2, PEK → Beijing station</t>
        </is>
      </c>
      <c r="C20" s="83" t="inlineStr">
        <is>
          <t>13 Nov</t>
        </is>
      </c>
      <c r="D20" s="84" t="n"/>
      <c r="E20" s="113" t="n">
        <v>30</v>
      </c>
      <c r="F20" s="86" t="inlineStr">
        <is>
          <t>CNY</t>
        </is>
      </c>
      <c r="G20" s="87">
        <f>Compare!$B$6</f>
        <v/>
      </c>
      <c r="H20" s="88">
        <f>E20*G20*IF(F20="USD",Compare!$B$8,IF(F20="CNY",Compare!$B$9,IF(F20="HKD",Compare!$B$10,1)))</f>
        <v/>
      </c>
      <c r="I20" s="114">
        <f>E20</f>
        <v/>
      </c>
      <c r="J20" s="87">
        <f>Compare!$B$7</f>
        <v/>
      </c>
      <c r="K20" s="88">
        <f>I20*J20*IF(F20="USD",Compare!$B$8,IF(F20="CNY",Compare!$B$9,IF(F20="HKD",Compare!$B$10,1)))</f>
        <v/>
      </c>
      <c r="L20" s="112" t="inlineStr">
        <is>
          <t>ASSUMPTION Airport Express ¥25 + metro ¥4–5 pp, ~1 h</t>
        </is>
      </c>
    </row>
    <row r="21" ht="30" customHeight="1" s="56">
      <c r="B21" s="111" t="inlineStr">
        <is>
          <t>Metro line 2 + Airport Express, Beijing station → PEK T3</t>
        </is>
      </c>
      <c r="C21" s="83" t="inlineStr">
        <is>
          <t>16 Nov</t>
        </is>
      </c>
      <c r="D21" s="84" t="n"/>
      <c r="E21" s="113" t="n">
        <v>30</v>
      </c>
      <c r="F21" s="86" t="inlineStr">
        <is>
          <t>CNY</t>
        </is>
      </c>
      <c r="G21" s="87">
        <f>Compare!$B$6</f>
        <v/>
      </c>
      <c r="H21" s="88">
        <f>E21*G21*IF(F21="USD",Compare!$B$8,IF(F21="CNY",Compare!$B$9,IF(F21="HKD",Compare!$B$10,1)))</f>
        <v/>
      </c>
      <c r="I21" s="114">
        <f>E21</f>
        <v/>
      </c>
      <c r="J21" s="87">
        <f>Compare!$B$7</f>
        <v/>
      </c>
      <c r="K21" s="88">
        <f>I21*J21*IF(F21="USD",Compare!$B$8,IF(F21="CNY",Compare!$B$9,IF(F21="HKD",Compare!$B$10,1)))</f>
        <v/>
      </c>
      <c r="L21" s="112" t="inlineStr">
        <is>
          <t>ASSUMPTION Airport Express ¥25 + metro ¥4–5 pp</t>
        </is>
      </c>
    </row>
    <row r="22" s="56">
      <c r="A22" s="94" t="inlineStr">
        <is>
          <t>PAID PERSONALLY (university won't cover)</t>
        </is>
      </c>
      <c r="B22" s="95" t="n"/>
      <c r="C22" s="95" t="n"/>
      <c r="D22" s="95" t="n"/>
      <c r="E22" s="95" t="n"/>
      <c r="F22" s="95" t="n"/>
      <c r="G22" s="95" t="n"/>
      <c r="H22" s="95" t="n"/>
      <c r="I22" s="95" t="n"/>
      <c r="J22" s="95" t="n"/>
      <c r="K22" s="95" t="n"/>
      <c r="L22" s="95" t="n"/>
    </row>
    <row r="23" s="56">
      <c r="A23" s="79" t="inlineStr">
        <is>
          <t>Contest fee</t>
        </is>
      </c>
      <c r="B23" s="80" t="n"/>
      <c r="C23" s="80" t="n"/>
      <c r="D23" s="80" t="n"/>
      <c r="E23" s="80" t="n"/>
      <c r="F23" s="80" t="n"/>
      <c r="G23" s="80" t="n"/>
      <c r="H23" s="80" t="n"/>
      <c r="I23" s="80" t="n"/>
      <c r="J23" s="80" t="n"/>
      <c r="K23" s="80" t="n"/>
      <c r="L23" s="80" t="n"/>
    </row>
    <row r="24" ht="30" customHeight="1" s="56">
      <c r="B24" s="111" t="inlineStr">
        <is>
          <t>Shenyang regional registration fee (per team)</t>
        </is>
      </c>
      <c r="C24" s="83" t="inlineStr">
        <is>
          <t>pay when invited</t>
        </is>
      </c>
      <c r="D24" s="84"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1,500 CNY/team like recent EC regionals; the 2026 Shenyang invitation was not found on 22 Oct</t>
        </is>
      </c>
    </row>
    <row r="25" s="56">
      <c r="A25" s="79" t="inlineStr">
        <is>
          <t>Other</t>
        </is>
      </c>
      <c r="B25" s="80" t="n"/>
      <c r="C25" s="80" t="n"/>
      <c r="D25" s="80" t="n"/>
      <c r="E25" s="80" t="n"/>
      <c r="F25" s="80" t="n"/>
      <c r="G25" s="80" t="n"/>
      <c r="H25" s="80" t="n"/>
      <c r="I25" s="80" t="n"/>
      <c r="J25" s="80" t="n"/>
      <c r="K25" s="80" t="n"/>
      <c r="L25" s="80" t="n"/>
    </row>
    <row r="26" ht="30" customHeight="1" s="56">
      <c r="B26" s="111" t="inlineStr">
        <is>
          <t>Taxi to/from Chinggis Khaan airport (UB), per trip</t>
        </is>
      </c>
      <c r="C26" s="83" t="inlineStr">
        <is>
          <t>out &amp; back</t>
        </is>
      </c>
      <c r="D26" s="84" t="n">
        <v>0.04166666666666666</v>
      </c>
      <c r="E26" s="113" t="n">
        <v>100000</v>
      </c>
      <c r="F26" s="86" t="inlineStr">
        <is>
          <t>MNT</t>
        </is>
      </c>
      <c r="G26" s="91" t="n">
        <v>2</v>
      </c>
      <c r="H26" s="88">
        <f>E26*G26*IF(F26="USD",Compare!$B$8,IF(F26="CNY",Compare!$B$9,IF(F26="HKD",Compare!$B$10,1)))</f>
        <v/>
      </c>
      <c r="I26" s="114">
        <f>E26</f>
        <v/>
      </c>
      <c r="J26" s="91" t="n">
        <v>2</v>
      </c>
      <c r="K26" s="88">
        <f>I26*J26*IF(F26="USD",Compare!$B$8,IF(F26="CNY",Compare!$B$9,IF(F26="HKD",Compare!$B$10,1)))</f>
        <v/>
      </c>
      <c r="L26" s="112" t="inlineStr">
        <is>
          <t>ASSUMPTION 100k MNT per trip for the group</t>
        </is>
      </c>
    </row>
    <row r="27" ht="30" customHeight="1" s="56">
      <c r="B27" s="111" t="inlineStr">
        <is>
          <t>Travel medical insurance</t>
        </is>
      </c>
      <c r="C27" s="83" t="n"/>
      <c r="D27" s="84" t="n"/>
      <c r="E27" s="113" t="n">
        <v>30000</v>
      </c>
      <c r="F27" s="86" t="inlineStr">
        <is>
          <t>MNT</t>
        </is>
      </c>
      <c r="G27" s="87">
        <f>Compare!$B$6</f>
        <v/>
      </c>
      <c r="H27" s="88">
        <f>E27*G27*IF(F27="USD",Compare!$B$8,IF(F27="CNY",Compare!$B$9,IF(F27="HKD",Compare!$B$10,1)))</f>
        <v/>
      </c>
      <c r="I27" s="114">
        <f>E27</f>
        <v/>
      </c>
      <c r="J27" s="87">
        <f>Compare!$B$7</f>
        <v/>
      </c>
      <c r="K27" s="88">
        <f>I27*J27*IF(F27="USD",Compare!$B$8,IF(F27="CNY",Compare!$B$9,IF(F27="HKD",Compare!$B$10,1)))</f>
        <v/>
      </c>
      <c r="L27" s="112" t="inlineStr">
        <is>
          <t>ASSUMPTION ~30k MNT per person, Mongolian insurer</t>
        </is>
      </c>
    </row>
    <row r="28" ht="30" customHeight="1" s="56">
      <c r="B28" s="111" t="inlineStr">
        <is>
          <t>Mobile data eSIM</t>
        </is>
      </c>
      <c r="C28" s="83" t="n"/>
      <c r="D28" s="84" t="n"/>
      <c r="E28" s="113" t="n">
        <v>10</v>
      </c>
      <c r="F28" s="86" t="inlineStr">
        <is>
          <t>USD</t>
        </is>
      </c>
      <c r="G28" s="87">
        <f>Compare!$B$6</f>
        <v/>
      </c>
      <c r="H28" s="88">
        <f>E28*G28*IF(F28="USD",Compare!$B$8,IF(F28="CNY",Compare!$B$9,IF(F28="HKD",Compare!$B$10,1)))</f>
        <v/>
      </c>
      <c r="I28" s="114">
        <f>E28</f>
        <v/>
      </c>
      <c r="J28" s="87">
        <f>Compare!$B$7</f>
        <v/>
      </c>
      <c r="K28" s="88">
        <f>I28*J28*IF(F28="USD",Compare!$B$8,IF(F28="CNY",Compare!$B$9,IF(F28="HKD",Compare!$B$10,1)))</f>
        <v/>
      </c>
      <c r="L28" s="112" t="inlineStr">
        <is>
          <t>ASSUMPTION ~$10 pp</t>
        </is>
      </c>
    </row>
    <row r="29" ht="30" customHeight="1" s="56">
      <c r="B29" s="111" t="inlineStr">
        <is>
          <t>Visa</t>
        </is>
      </c>
      <c r="C29" s="83" t="n"/>
      <c r="D29" s="84"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112" t="inlineStr">
        <is>
          <t>Mongolian passports: visa-free (mainland China up to 30 days; Hong Kong up to 14 days)</t>
        </is>
      </c>
    </row>
    <row r="30" s="56"/>
    <row r="31" s="56">
      <c r="G31" s="60" t="n"/>
      <c r="H31" s="96" t="inlineStr">
        <is>
          <t>3 people – UNFUNDED</t>
        </is>
      </c>
      <c r="K31" s="96" t="inlineStr">
        <is>
          <t>4 people – FUNDED ₮12M</t>
        </is>
      </c>
    </row>
    <row r="32" s="56">
      <c r="G32" s="97" t="inlineStr">
        <is>
          <t>University-paid subtotal</t>
        </is>
      </c>
      <c r="H32" s="98">
        <f>SUM(H9:H21)</f>
        <v/>
      </c>
      <c r="K32" s="98">
        <f>SUM(K9:K21)</f>
        <v/>
      </c>
    </row>
    <row r="33" s="56">
      <c r="G33" s="99" t="inlineStr">
        <is>
          <t>Contingency</t>
        </is>
      </c>
      <c r="H33" s="100">
        <f>H32*Compare!$B$11</f>
        <v/>
      </c>
      <c r="K33" s="100">
        <f>K32*Compare!$B$11</f>
        <v/>
      </c>
    </row>
    <row r="34" s="56">
      <c r="G34" s="97" t="inlineStr">
        <is>
          <t>University-paid total incl. contingency</t>
        </is>
      </c>
      <c r="H34" s="98">
        <f>H32+H33</f>
        <v/>
      </c>
      <c r="K34" s="98">
        <f>K32+K33</f>
        <v/>
      </c>
    </row>
    <row r="35" s="56">
      <c r="G35" s="97" t="inlineStr">
        <is>
          <t>Funding left (negative = over)</t>
        </is>
      </c>
      <c r="H35" s="101">
        <f>Compare!$B$12-H34</f>
        <v/>
      </c>
      <c r="K35" s="101">
        <f>Compare!$B$5-K34</f>
        <v/>
      </c>
    </row>
    <row r="36" s="56">
      <c r="G36" s="97" t="inlineStr">
        <is>
          <t>Personal costs – team</t>
        </is>
      </c>
      <c r="H36" s="102">
        <f>SUM(H23:H29)</f>
        <v/>
      </c>
      <c r="K36" s="102">
        <f>SUM(K23:K29)</f>
        <v/>
      </c>
    </row>
    <row r="37" s="56">
      <c r="G37" s="97" t="inlineStr">
        <is>
          <t>Out-of-pocket per person (personal + any overrun)</t>
        </is>
      </c>
      <c r="H37" s="102">
        <f>(H36+MAX(0,-H35))/Compare!$B$6</f>
        <v/>
      </c>
      <c r="K37" s="102">
        <f>(K36+MAX(0,-K35))/Compare!$B$7</f>
        <v/>
      </c>
    </row>
    <row r="38" s="56">
      <c r="G38" s="97" t="inlineStr">
        <is>
          <t>Whole trip cost (university + personal)</t>
        </is>
      </c>
      <c r="H38" s="103">
        <f>H34+H36</f>
        <v/>
      </c>
      <c r="K38" s="103">
        <f>K34+K36</f>
        <v/>
      </c>
    </row>
    <row r="39" s="56">
      <c r="G39" s="99" t="inlineStr">
        <is>
          <t>Time in planes &amp; trains</t>
        </is>
      </c>
      <c r="H39" s="104">
        <f>SUM(D10:D11)+SUM(D13:D14)</f>
        <v/>
      </c>
      <c r="K39" s="104">
        <f>SUM(D10:D11)+SUM(D13:D14)</f>
        <v/>
      </c>
    </row>
    <row r="40" s="56"/>
    <row r="41" s="56">
      <c r="A41" s="72" t="inlineStr">
        <is>
          <t>Key facts</t>
        </is>
      </c>
    </row>
    <row r="42" ht="30" customHeight="1" s="56">
      <c r="A42" s="75" t="inlineStr">
        <is>
          <t>Contest</t>
        </is>
      </c>
      <c r="B42" s="74" t="inlineStr">
        <is>
          <t>Asia Shenyang Regional, 14–15 Nov 2026 (provisional; the 2026 invitation was not found on 22 Oct), Northeastern University Nanhu campus (2024 and 2025 venue). Assumed: day 1 registration + practice, contest 15 Nov 09:00–14:00, awards ~17:00.</t>
        </is>
      </c>
    </row>
    <row r="43" ht="30" customHeight="1" s="56">
      <c r="A43" s="75" t="inlineStr">
        <is>
          <t>Why this plan</t>
        </is>
      </c>
      <c r="B43" s="74" t="inlineStr">
        <is>
          <t>~₮0.60M per person to Shenyang; Beijing Capital is closer to the station than Daxing. Cheaper way out than the Air China + G153 route of 'Sleep value' (₮0.91M per person); the rest of the trip is the same (Ji Hotel twin rooms, K28 hard seat + Air China 12:55 home), with hotel nights set by the arrival time.</t>
        </is>
      </c>
    </row>
    <row r="44" ht="30" customHeight="1" s="56">
      <c r="A44" s="75" t="inlineStr">
        <is>
          <t>Trade-off</t>
        </is>
      </c>
      <c r="B44" s="74" t="inlineStr">
        <is>
          <t>The night before day 1 is spent sitting up on K341 (POOR for sleep) and you arrive on registration morning. Only 45–60 min between landing and the 23:00 train; if it is missed, take a G-train next morning (¥355–369).</t>
        </is>
      </c>
    </row>
    <row r="45" ht="15" customHeight="1" s="56">
      <c r="A45" s="75" t="inlineStr">
        <is>
          <t>Book</t>
        </is>
      </c>
      <c r="B45" s="74" t="inlineStr">
        <is>
          <t>MIAT on Ctrip now; K341 on 12306 at 10:00 on 30 Oct; K28 on 12306 at 09:30 on 1 Nov; Air China home on Trip.com.</t>
        </is>
      </c>
    </row>
    <row r="46" s="56"/>
    <row r="47" s="56">
      <c r="A47" s="72" t="inlineStr">
        <is>
          <t>Day-by-day plan</t>
        </is>
      </c>
    </row>
    <row r="48" s="56">
      <c r="A48" s="96" t="inlineStr">
        <is>
          <t>Date</t>
        </is>
      </c>
      <c r="B48" s="96" t="inlineStr">
        <is>
          <t>Sleep in</t>
        </is>
      </c>
      <c r="C48" s="96" t="inlineStr">
        <is>
          <t>What happens</t>
        </is>
      </c>
    </row>
    <row r="49" ht="15" customHeight="1" s="56">
      <c r="A49" s="74" t="inlineStr">
        <is>
          <t>Fri 13 Nov</t>
        </is>
      </c>
      <c r="B49" s="74" t="inlineStr">
        <is>
          <t>Train (seat)</t>
        </is>
      </c>
      <c r="C49" s="74" t="inlineStr">
        <is>
          <t>MIAT OM223 UB 17:15 → Beijing Capital 19:30; Airport Express + metro to Beijing station; K341 23:00 → Shenyang (overnight).</t>
        </is>
      </c>
    </row>
    <row r="50" ht="15" customHeight="1" s="56">
      <c r="A50" s="74" t="inlineStr">
        <is>
          <t>Sat 14 Nov</t>
        </is>
      </c>
      <c r="B50" s="74" t="inlineStr">
        <is>
          <t>Shenyang</t>
        </is>
      </c>
      <c r="C50" s="74" t="inlineStr">
        <is>
          <t>Arrive Shenyang 08:47; taxi to NEU Nanhu for registration and practice; check in at Ji Hotel. Lights out ~22:30.</t>
        </is>
      </c>
    </row>
    <row r="51" ht="30" customHeight="1" s="56">
      <c r="A51" s="74" t="inlineStr">
        <is>
          <t>Sun 15 Nov</t>
        </is>
      </c>
      <c r="B51" s="74" t="inlineStr">
        <is>
          <t>Train (seat)</t>
        </is>
      </c>
      <c r="C51" s="74" t="inlineStr">
        <is>
          <t>CONTEST. Wake ~06:50, walk ~15 min. Check out before leaving, luggage stored at the hotel. Awards ~17:00; taxi to Shenyang station; K28 22:24 hard seat → Beijing 08:40.</t>
        </is>
      </c>
    </row>
    <row r="52" ht="15" customHeight="1" s="56">
      <c r="A52" s="74" t="inlineStr">
        <is>
          <t>Mon 16 Nov</t>
        </is>
      </c>
      <c r="B52" s="74" t="inlineStr">
        <is>
          <t>Home</t>
        </is>
      </c>
      <c r="C52" s="74" t="inlineStr">
        <is>
          <t>Metro line 2 + Airport Express to PEK T3 (~1 h). Air China 12:55 → UB 15:05.</t>
        </is>
      </c>
    </row>
    <row r="53" s="56"/>
    <row r="54" s="56">
      <c r="A54" s="72" t="inlineStr">
        <is>
          <t>Door-to-door travel times</t>
        </is>
      </c>
    </row>
    <row r="55" s="56">
      <c r="A55" s="96" t="inlineStr">
        <is>
          <t>Date</t>
        </is>
      </c>
      <c r="B55" s="96" t="inlineStr">
        <is>
          <t>Leg</t>
        </is>
      </c>
      <c r="C55" s="96" t="inlineStr">
        <is>
          <t>Mode</t>
        </is>
      </c>
      <c r="D55" s="96" t="inlineStr">
        <is>
          <t>Expected time</t>
        </is>
      </c>
      <c r="E55" s="96" t="inlineStr">
        <is>
          <t>Notes</t>
        </is>
      </c>
    </row>
    <row r="56" s="56">
      <c r="A56" s="105" t="inlineStr">
        <is>
          <t>13 Nov</t>
        </is>
      </c>
      <c r="B56" s="105" t="inlineStr">
        <is>
          <t>Home → Chinggis Khaan airport</t>
        </is>
      </c>
      <c r="C56" s="82" t="inlineStr">
        <is>
          <t>Taxi (~50 km)</t>
        </is>
      </c>
      <c r="D56" s="104" t="n">
        <v>0.04166666666666666</v>
      </c>
      <c r="E56" s="106" t="inlineStr">
        <is>
          <t>Leave ~14:15</t>
        </is>
      </c>
      <c r="F56" s="107" t="n"/>
      <c r="G56" s="107" t="n"/>
      <c r="H56" s="107" t="n"/>
      <c r="I56" s="107" t="n"/>
      <c r="J56" s="107" t="n"/>
      <c r="K56" s="107" t="n"/>
      <c r="L56" s="107" t="n"/>
    </row>
    <row r="57" s="56">
      <c r="A57" s="105" t="inlineStr">
        <is>
          <t>13 Nov</t>
        </is>
      </c>
      <c r="B57" s="105" t="inlineStr">
        <is>
          <t>Ulaanbaatar → Beijing (PEK)</t>
        </is>
      </c>
      <c r="C57" s="82" t="inlineStr">
        <is>
          <t>MIAT OM223 17:15–19:30</t>
        </is>
      </c>
      <c r="D57" s="104" t="n">
        <v>0.09375</v>
      </c>
      <c r="E57" s="106" t="n"/>
      <c r="F57" s="107" t="n"/>
      <c r="G57" s="107" t="n"/>
      <c r="H57" s="107" t="n"/>
      <c r="I57" s="107" t="n"/>
      <c r="J57" s="107" t="n"/>
      <c r="K57" s="107" t="n"/>
      <c r="L57" s="107" t="n"/>
    </row>
    <row r="58" s="56">
      <c r="A58" s="105" t="inlineStr">
        <is>
          <t>13 Nov</t>
        </is>
      </c>
      <c r="B58" s="105" t="inlineStr">
        <is>
          <t>PEK arrival: immigration, bags</t>
        </is>
      </c>
      <c r="C58" s="82" t="inlineStr">
        <is>
          <t>—</t>
        </is>
      </c>
      <c r="D58" s="104" t="n">
        <v>0.03125</v>
      </c>
      <c r="E58" s="106" t="inlineStr">
        <is>
          <t>Estimate</t>
        </is>
      </c>
      <c r="F58" s="107" t="n"/>
      <c r="G58" s="107" t="n"/>
      <c r="H58" s="107" t="n"/>
      <c r="I58" s="107" t="n"/>
      <c r="J58" s="107" t="n"/>
      <c r="K58" s="107" t="n"/>
      <c r="L58" s="107" t="n"/>
    </row>
    <row r="59" s="56">
      <c r="A59" s="105" t="inlineStr">
        <is>
          <t>13 Nov</t>
        </is>
      </c>
      <c r="B59" s="105" t="inlineStr">
        <is>
          <t>PEK → Beijing station</t>
        </is>
      </c>
      <c r="C59" s="82" t="inlineStr">
        <is>
          <t>Airport Express + metro line 2</t>
        </is>
      </c>
      <c r="D59" s="104" t="n">
        <v>0.04166666666666666</v>
      </c>
      <c r="E59" s="106" t="inlineStr">
        <is>
          <t>Estimate</t>
        </is>
      </c>
      <c r="F59" s="107" t="n"/>
      <c r="G59" s="107" t="n"/>
      <c r="H59" s="107" t="n"/>
      <c r="I59" s="107" t="n"/>
      <c r="J59" s="107" t="n"/>
      <c r="K59" s="107" t="n"/>
      <c r="L59" s="107" t="n"/>
    </row>
    <row r="60" s="56">
      <c r="A60" s="105" t="inlineStr">
        <is>
          <t>13–14 Nov</t>
        </is>
      </c>
      <c r="B60" s="105" t="inlineStr">
        <is>
          <t>Beijing → Shenyang</t>
        </is>
      </c>
      <c r="C60" s="82" t="inlineStr">
        <is>
          <t>K341 hard seat 23:00–08:47</t>
        </is>
      </c>
      <c r="D60" s="104" t="n">
        <v>0.4076388888888889</v>
      </c>
      <c r="E60" s="106" t="inlineStr">
        <is>
          <t>Overnight</t>
        </is>
      </c>
      <c r="F60" s="107" t="n"/>
      <c r="G60" s="107" t="n"/>
      <c r="H60" s="107" t="n"/>
      <c r="I60" s="107" t="n"/>
      <c r="J60" s="107" t="n"/>
      <c r="K60" s="107" t="n"/>
      <c r="L60" s="107" t="n"/>
    </row>
    <row r="61" s="56">
      <c r="A61" s="105" t="inlineStr">
        <is>
          <t>14 Nov</t>
        </is>
      </c>
      <c r="B61" s="105" t="inlineStr">
        <is>
          <t>Shenyang station → NEU Nanhu</t>
        </is>
      </c>
      <c r="C61" s="82" t="inlineStr">
        <is>
          <t>Taxi</t>
        </is>
      </c>
      <c r="D61" s="104" t="n">
        <v>0.01388888888888889</v>
      </c>
      <c r="E61" s="106" t="inlineStr">
        <is>
          <t>Registration day</t>
        </is>
      </c>
      <c r="F61" s="107" t="n"/>
      <c r="G61" s="107" t="n"/>
      <c r="H61" s="107" t="n"/>
      <c r="I61" s="107" t="n"/>
      <c r="J61" s="107" t="n"/>
      <c r="K61" s="107" t="n"/>
      <c r="L61" s="107" t="n"/>
    </row>
    <row r="62" s="56">
      <c r="A62" s="105" t="inlineStr">
        <is>
          <t>15 Nov</t>
        </is>
      </c>
      <c r="B62" s="105" t="inlineStr">
        <is>
          <t>NEU Nanhu → Shenyang station</t>
        </is>
      </c>
      <c r="C62" s="82" t="inlineStr">
        <is>
          <t>Taxi</t>
        </is>
      </c>
      <c r="D62" s="104" t="n">
        <v>0.01388888888888889</v>
      </c>
      <c r="E62" s="106" t="n"/>
      <c r="F62" s="107" t="n"/>
      <c r="G62" s="107" t="n"/>
      <c r="H62" s="107" t="n"/>
      <c r="I62" s="107" t="n"/>
      <c r="J62" s="107" t="n"/>
      <c r="K62" s="107" t="n"/>
      <c r="L62" s="107" t="n"/>
    </row>
    <row r="63" s="56">
      <c r="A63" s="105" t="inlineStr">
        <is>
          <t>15–16 Nov</t>
        </is>
      </c>
      <c r="B63" s="105" t="inlineStr">
        <is>
          <t>Shenyang → Beijing</t>
        </is>
      </c>
      <c r="C63" s="82" t="inlineStr">
        <is>
          <t>K28 hard seat 22:24–08:40</t>
        </is>
      </c>
      <c r="D63" s="104" t="n">
        <v>0.4277777777777778</v>
      </c>
      <c r="E63" s="106" t="inlineStr">
        <is>
          <t>Overnight, after the contest</t>
        </is>
      </c>
      <c r="F63" s="107" t="n"/>
      <c r="G63" s="107" t="n"/>
      <c r="H63" s="107" t="n"/>
      <c r="I63" s="107" t="n"/>
      <c r="J63" s="107" t="n"/>
      <c r="K63" s="107" t="n"/>
      <c r="L63" s="107" t="n"/>
    </row>
    <row r="64" s="56">
      <c r="A64" s="105" t="inlineStr">
        <is>
          <t>16 Nov</t>
        </is>
      </c>
      <c r="B64" s="105" t="inlineStr">
        <is>
          <t>Beijing station → PEK</t>
        </is>
      </c>
      <c r="C64" s="82" t="inlineStr">
        <is>
          <t>Metro line 2 + Airport Express</t>
        </is>
      </c>
      <c r="D64" s="104" t="n">
        <v>0.04166666666666666</v>
      </c>
      <c r="E64" s="106" t="inlineStr">
        <is>
          <t>Be at PEK by ~10:55</t>
        </is>
      </c>
      <c r="F64" s="107" t="n"/>
      <c r="G64" s="107" t="n"/>
      <c r="H64" s="107" t="n"/>
      <c r="I64" s="107" t="n"/>
      <c r="J64" s="107" t="n"/>
      <c r="K64" s="107" t="n"/>
      <c r="L64" s="107" t="n"/>
    </row>
    <row r="65" s="56">
      <c r="A65" s="105" t="inlineStr">
        <is>
          <t>16 Nov</t>
        </is>
      </c>
      <c r="B65" s="105" t="inlineStr">
        <is>
          <t>Beijing (PEK) → Ulaanbaatar</t>
        </is>
      </c>
      <c r="C65" s="82" t="inlineStr">
        <is>
          <t>Air China 12:55–15:05</t>
        </is>
      </c>
      <c r="D65" s="104" t="n">
        <v>0.09027777777777778</v>
      </c>
      <c r="E65" s="106" t="n"/>
      <c r="F65" s="107" t="n"/>
      <c r="G65" s="107" t="n"/>
      <c r="H65" s="107" t="n"/>
      <c r="I65" s="107" t="n"/>
      <c r="J65" s="107" t="n"/>
      <c r="K65" s="107" t="n"/>
      <c r="L65" s="107" t="n"/>
    </row>
    <row r="66" s="56">
      <c r="A66" s="105" t="inlineStr">
        <is>
          <t>16 Nov</t>
        </is>
      </c>
      <c r="B66" s="105" t="inlineStr">
        <is>
          <t>Chinggis Khaan airport → home</t>
        </is>
      </c>
      <c r="C66" s="82" t="inlineStr">
        <is>
          <t>Taxi</t>
        </is>
      </c>
      <c r="D66" s="104" t="n">
        <v>0.04166666666666666</v>
      </c>
      <c r="E66" s="106" t="n"/>
      <c r="F66" s="107" t="n"/>
      <c r="G66" s="107" t="n"/>
      <c r="H66" s="107" t="n"/>
      <c r="I66" s="107" t="n"/>
      <c r="J66" s="107" t="n"/>
      <c r="K66" s="107" t="n"/>
      <c r="L66" s="107" t="n"/>
    </row>
    <row r="67" s="56"/>
    <row r="68" s="56">
      <c r="C68" s="59" t="inlineStr">
        <is>
          <t>Total door-to-door</t>
        </is>
      </c>
      <c r="D68" s="109">
        <f>SUM(D56:D66)</f>
        <v/>
      </c>
    </row>
    <row r="69" s="56"/>
    <row r="70" s="56"/>
    <row r="71" s="56"/>
  </sheetData>
  <mergeCells count="19">
    <mergeCell ref="E56:L56"/>
    <mergeCell ref="E58:L58"/>
    <mergeCell ref="C52:L52"/>
    <mergeCell ref="E62:L62"/>
    <mergeCell ref="B43:L4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Hunnu Erenhot</t>
        </is>
      </c>
    </row>
    <row r="2" ht="15" customHeight="1" s="56">
      <c r="A2" s="62" t="inlineStr">
        <is>
          <t>Hunnu Air to Erenhot on Fri 13 Nov, then 4654 and the T301 overnight in hard seats; arrive on day 1 morning, one hotel night; K28 seat + Air China home.</t>
        </is>
      </c>
    </row>
    <row r="4" ht="15" customHeight="1" s="56">
      <c r="A4" s="60" t="inlineStr">
        <is>
          <t>Days in destination (meals &amp; local transport)</t>
        </is>
      </c>
      <c r="B4" s="76" t="n">
        <v>3.5</v>
      </c>
      <c r="C4" s="62" t="inlineStr">
        <is>
          <t>13 Nov morning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Hunnu Air MR861 Ulaanbaatar 08:45 → Erenhot 10:00, nonstop</t>
        </is>
      </c>
      <c r="C10" s="83" t="inlineStr">
        <is>
          <t>Fri 13 Nov</t>
        </is>
      </c>
      <c r="D10" s="84" t="n">
        <v>0.05208333333333334</v>
      </c>
      <c r="E10" s="85" t="n">
        <v>136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22 Oct: $136 on 11, 12 and 13 Nov (usual $120–140). Checked bag ~20 kg per travel guides (not confirmed).</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 &amp; border crossing</t>
        </is>
      </c>
      <c r="B12" s="80" t="n"/>
      <c r="C12" s="80" t="n"/>
      <c r="D12" s="80" t="n"/>
      <c r="E12" s="80" t="n"/>
      <c r="F12" s="80" t="n"/>
      <c r="G12" s="80" t="n"/>
      <c r="H12" s="80" t="n"/>
      <c r="I12" s="80" t="n"/>
      <c r="J12" s="80" t="n"/>
      <c r="K12" s="80" t="n"/>
      <c r="L12" s="80" t="n"/>
    </row>
    <row r="13" ht="30" customHeight="1" s="56">
      <c r="B13" s="111" t="inlineStr">
        <is>
          <t>Train 4654 Erenhot 12:45 → Jining South 18:11, hard seat</t>
        </is>
      </c>
      <c r="C13" s="83" t="inlineStr">
        <is>
          <t>13 Nov</t>
        </is>
      </c>
      <c r="D13" s="84" t="n">
        <v>0.2263888888888889</v>
      </c>
      <c r="E13" s="85" t="n">
        <v>44.5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¥44.5, hard sleeper ¥90.5. ChinaTicketOnline confirms 11 and 13 Nov; on sale 30 Oct 15:00 for 13 Nov.</t>
        </is>
      </c>
    </row>
    <row r="14" ht="39" customHeight="1" s="56">
      <c r="B14" s="111" t="inlineStr">
        <is>
          <t>Overnight train T301 Jining South 19:30 → Shenyang 10:16, hard seat</t>
        </is>
      </c>
      <c r="C14" s="83" t="inlineStr">
        <is>
          <t>13–14 Nov</t>
        </is>
      </c>
      <c r="D14" s="84" t="n">
        <v>0.6152777777777778</v>
      </c>
      <c r="E14" s="85" t="n">
        <v>163.5</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seat ¥163.5, hard sleeper ¥280.5, soft ¥438.5; 1 h 19 min change at Jining South. ChinaTicketOnline confirms 13 Nov, on sale 30 Oct 15:00. Also K1567 17:31 → 09:38 (same fares).</t>
        </is>
      </c>
    </row>
    <row r="15" ht="51" customHeight="1" s="56">
      <c r="B15" s="111" t="inlineStr">
        <is>
          <t>Overnight train K28 Shenyang 22:24 → Beijing 08:40, hard seat (after the contest)</t>
        </is>
      </c>
      <c r="C15" s="83" t="inlineStr">
        <is>
          <t>15 Nov (night)</t>
        </is>
      </c>
      <c r="D15" s="84" t="n">
        <v>0.4277777777777778</v>
      </c>
      <c r="E15" s="85" t="n">
        <v>112</v>
      </c>
      <c r="F15" s="86" t="inlineStr">
        <is>
          <t>CNY</t>
        </is>
      </c>
      <c r="G15" s="87">
        <f>Compare!$B$6</f>
        <v/>
      </c>
      <c r="H15" s="88">
        <f>E15*G15*IF(F15="USD",Compare!$B$8,IF(F15="CNY",Compare!$B$9,IF(F15="HKD",Compare!$B$10,1)))</f>
        <v/>
      </c>
      <c r="I15" s="89">
        <f>E15</f>
        <v/>
      </c>
      <c r="J15" s="87">
        <f>Compare!$B$7</f>
        <v/>
      </c>
      <c r="K15" s="88">
        <f>I15*J15*IF(F15="USD",Compare!$B$8,IF(F15="CNY",Compare!$B$9,IF(F15="HKD",Compare!$B$10,1)))</f>
        <v/>
      </c>
      <c r="L15"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6" s="56">
      <c r="A16" s="79" t="inlineStr">
        <is>
          <t>Accommodation</t>
        </is>
      </c>
      <c r="B16" s="80" t="n"/>
      <c r="C16" s="80" t="n"/>
      <c r="D16" s="80" t="n"/>
      <c r="E16" s="80" t="n"/>
      <c r="F16" s="80" t="n"/>
      <c r="G16" s="80" t="n"/>
      <c r="H16" s="80" t="n"/>
      <c r="I16" s="80" t="n"/>
      <c r="J16" s="80" t="n"/>
      <c r="K16" s="80" t="n"/>
      <c r="L16" s="80" t="n"/>
    </row>
    <row r="17" ht="60" customHeight="1" s="56">
      <c r="B17" s="111" t="inlineStr">
        <is>
          <t>Ji Hotel Sanhao Street, 55 Sanhao St (~940 m to NEU Nanhu, ~15 min walk): 2 Budget Twin rooms, King Koil mattresses, windows, floors 4–16 – a bed each</t>
        </is>
      </c>
      <c r="C17" s="83" t="inlineStr">
        <is>
          <t>14–15 Nov (1 night)</t>
        </is>
      </c>
      <c r="D17" s="84" t="n"/>
      <c r="E17" s="85" t="n">
        <v>457</v>
      </c>
      <c r="F17" s="86" t="inlineStr">
        <is>
          <t>CNY</t>
        </is>
      </c>
      <c r="G17" s="91" t="n">
        <v>1</v>
      </c>
      <c r="H17" s="88">
        <f>E17*G17*IF(F17="USD",Compare!$B$8,IF(F17="CNY",Compare!$B$9,IF(F17="HKD",Compare!$B$10,1)))</f>
        <v/>
      </c>
      <c r="I17" s="85" t="n">
        <v>457</v>
      </c>
      <c r="J17" s="91" t="n">
        <v>1</v>
      </c>
      <c r="K17" s="88">
        <f>I17*J17*IF(F17="USD",Compare!$B$8,IF(F17="CNY",Compare!$B$9,IF(F17="HKD",Compare!$B$10,1)))</f>
        <v/>
      </c>
      <c r="L17" s="112" t="inlineStr">
        <is>
          <t>Trip.com 22 Oct: ¥457 for 2 Budget Twin rooms × 1 night (14–15 Nov) incl. taxes, free cancellation until 18:00 on 13 Nov; same hotel as 'Sleep value' (9.0, King Koil mattresses).</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 Erenhot airport → Erenhot station</t>
        </is>
      </c>
      <c r="C21" s="83" t="inlineStr">
        <is>
          <t>13 Nov</t>
        </is>
      </c>
      <c r="D21" s="84" t="n"/>
      <c r="E21" s="113" t="n">
        <v>30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~¥30 per car</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SUM(D10:D11)+SUM(D13:D15)</f>
        <v/>
      </c>
      <c r="K40" s="104">
        <f>SUM(D10:D11)+SUM(D13:D15)</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45" customHeight="1" s="56">
      <c r="A44" s="75" t="inlineStr">
        <is>
          <t>Why this plan</t>
        </is>
      </c>
      <c r="B44" s="74" t="inlineStr">
        <is>
          <t>Flies over the border instead of the jeep: ~₮0.61M per person, the same trains as the overland plans. Cheaper way out than the Air China + G153 route of 'Sleep value' (₮0.91M per person); the rest of the trip is the same (Ji Hotel twin rooms, K28 hard seat + Air China 12:55 home), with hotel nights set by the arrival time.</t>
        </is>
      </c>
    </row>
    <row r="45" ht="30" customHeight="1" s="56">
      <c r="A45" s="75" t="inlineStr">
        <is>
          <t>Trade-off</t>
        </is>
      </c>
      <c r="B45" s="74" t="inlineStr">
        <is>
          <t>Wake ~05:30 for the 08:45 flight, then a seated night on T301 before day 1 (POOR for sleep). Costs ~₮0.42M pp more than the overland seats for a safer border crossing.</t>
        </is>
      </c>
    </row>
    <row r="46" ht="15" customHeight="1" s="56">
      <c r="A46" s="75" t="inlineStr">
        <is>
          <t>Book</t>
        </is>
      </c>
      <c r="B46" s="74" t="inlineStr">
        <is>
          <t>Hunnu on SlickTrip / Ctrip now; 4654 and T301 on 12306 at 15:00 on 30 Oct;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15" customHeight="1" s="56">
      <c r="A50" s="74" t="inlineStr">
        <is>
          <t>Fri 13 Nov</t>
        </is>
      </c>
      <c r="B50" s="74" t="inlineStr">
        <is>
          <t>Train (seat)</t>
        </is>
      </c>
      <c r="C50" s="74" t="inlineStr">
        <is>
          <t>Hunnu MR861 UB 08:45 → Erenhot 10:00; taxi to Erenhot station; 4654 12:45 → Jining South 18:11; T301 19:30 → Shenyang (overnight).</t>
        </is>
      </c>
    </row>
    <row r="51" ht="15" customHeight="1" s="56">
      <c r="A51" s="74" t="inlineStr">
        <is>
          <t>Sat 14 Nov</t>
        </is>
      </c>
      <c r="B51" s="74" t="inlineStr">
        <is>
          <t>Shenyang</t>
        </is>
      </c>
      <c r="C51" s="74" t="inlineStr">
        <is>
          <t>Taxi from the station to NEU Nanhu for registration and practice; check in at Ji Hotel (twin rooms). Lights out ~22:30.</t>
        </is>
      </c>
    </row>
    <row r="52" ht="30" customHeight="1" s="56">
      <c r="A52" s="74" t="inlineStr">
        <is>
          <t>Sun 15 Nov</t>
        </is>
      </c>
      <c r="B52" s="74" t="inlineStr">
        <is>
          <t>Train (seat)</t>
        </is>
      </c>
      <c r="C52" s="74" t="inlineStr">
        <is>
          <t>CONTEST. Wake ~06:50, walk ~15 min. Check out before leaving, luggage stored at the hotel. Awards ~17:00; taxi to Shenyang station; K28 22:24 hard seat → Beijing 08:40.</t>
        </is>
      </c>
    </row>
    <row r="53" ht="15" customHeight="1" s="56">
      <c r="A53" s="74" t="inlineStr">
        <is>
          <t>Mon 16 Nov</t>
        </is>
      </c>
      <c r="B53" s="74" t="inlineStr">
        <is>
          <t>Home</t>
        </is>
      </c>
      <c r="C53" s="74" t="inlineStr">
        <is>
          <t>Metro line 2 + Airport Express to PEK T3 (~1 h). Air China 12:55 → UB 15:05.</t>
        </is>
      </c>
    </row>
    <row r="54" s="56"/>
    <row r="55" s="56">
      <c r="A55" s="72" t="inlineStr">
        <is>
          <t>Door-to-door travel times</t>
        </is>
      </c>
    </row>
    <row r="56" s="56">
      <c r="A56" s="96" t="inlineStr">
        <is>
          <t>Date</t>
        </is>
      </c>
      <c r="B56" s="96" t="inlineStr">
        <is>
          <t>Leg</t>
        </is>
      </c>
      <c r="C56" s="96" t="inlineStr">
        <is>
          <t>Mode</t>
        </is>
      </c>
      <c r="D56" s="96" t="inlineStr">
        <is>
          <t>Expected time</t>
        </is>
      </c>
      <c r="E56" s="96" t="inlineStr">
        <is>
          <t>Notes</t>
        </is>
      </c>
    </row>
    <row r="57" s="56">
      <c r="A57" s="105" t="inlineStr">
        <is>
          <t>13 Nov</t>
        </is>
      </c>
      <c r="B57" s="105" t="inlineStr">
        <is>
          <t>Home → Chinggis Khaan airport</t>
        </is>
      </c>
      <c r="C57" s="82" t="inlineStr">
        <is>
          <t>Taxi (~50 km)</t>
        </is>
      </c>
      <c r="D57" s="104" t="n">
        <v>0.04166666666666666</v>
      </c>
      <c r="E57" s="106" t="inlineStr">
        <is>
          <t>Leave ~06:15</t>
        </is>
      </c>
      <c r="F57" s="107" t="n"/>
      <c r="G57" s="107" t="n"/>
      <c r="H57" s="107" t="n"/>
      <c r="I57" s="107" t="n"/>
      <c r="J57" s="107" t="n"/>
      <c r="K57" s="107" t="n"/>
      <c r="L57" s="107" t="n"/>
    </row>
    <row r="58" s="56">
      <c r="A58" s="105" t="inlineStr">
        <is>
          <t>13 Nov</t>
        </is>
      </c>
      <c r="B58" s="105" t="inlineStr">
        <is>
          <t>Ulaanbaatar → Erenhot</t>
        </is>
      </c>
      <c r="C58" s="82" t="inlineStr">
        <is>
          <t>Hunnu MR861 08:45–10:00</t>
        </is>
      </c>
      <c r="D58" s="104" t="n">
        <v>0.05208333333333334</v>
      </c>
      <c r="E58" s="106" t="n"/>
      <c r="F58" s="107" t="n"/>
      <c r="G58" s="107" t="n"/>
      <c r="H58" s="107" t="n"/>
      <c r="I58" s="107" t="n"/>
      <c r="J58" s="107" t="n"/>
      <c r="K58" s="107" t="n"/>
      <c r="L58" s="107" t="n"/>
    </row>
    <row r="59" s="56">
      <c r="A59" s="105" t="inlineStr">
        <is>
          <t>13 Nov</t>
        </is>
      </c>
      <c r="B59" s="105" t="inlineStr">
        <is>
          <t>Erenhot arrival + taxi to the station</t>
        </is>
      </c>
      <c r="C59" s="82" t="inlineStr">
        <is>
          <t>Taxi</t>
        </is>
      </c>
      <c r="D59" s="104" t="n">
        <v>0.03125</v>
      </c>
      <c r="E59" s="106" t="inlineStr">
        <is>
          <t>Estimate</t>
        </is>
      </c>
      <c r="F59" s="107" t="n"/>
      <c r="G59" s="107" t="n"/>
      <c r="H59" s="107" t="n"/>
      <c r="I59" s="107" t="n"/>
      <c r="J59" s="107" t="n"/>
      <c r="K59" s="107" t="n"/>
      <c r="L59" s="107" t="n"/>
    </row>
    <row r="60" s="56">
      <c r="A60" s="105" t="inlineStr">
        <is>
          <t>13 Nov</t>
        </is>
      </c>
      <c r="B60" s="105" t="inlineStr">
        <is>
          <t>Erenhot → Jining South</t>
        </is>
      </c>
      <c r="C60" s="82" t="inlineStr">
        <is>
          <t>4654 hard seat 12:45–18:11</t>
        </is>
      </c>
      <c r="D60" s="104" t="n">
        <v>0.2263888888888889</v>
      </c>
      <c r="E60" s="106" t="n"/>
      <c r="F60" s="107" t="n"/>
      <c r="G60" s="107" t="n"/>
      <c r="H60" s="107" t="n"/>
      <c r="I60" s="107" t="n"/>
      <c r="J60" s="107" t="n"/>
      <c r="K60" s="107" t="n"/>
      <c r="L60" s="107" t="n"/>
    </row>
    <row r="61" s="56">
      <c r="A61" s="105" t="inlineStr">
        <is>
          <t>13–14 Nov</t>
        </is>
      </c>
      <c r="B61" s="105" t="inlineStr">
        <is>
          <t>Jining South → Shenyang</t>
        </is>
      </c>
      <c r="C61" s="82" t="inlineStr">
        <is>
          <t>T301 hard seat 19:30–10:16</t>
        </is>
      </c>
      <c r="D61" s="104" t="n">
        <v>0.6152777777777778</v>
      </c>
      <c r="E61" s="106" t="inlineStr">
        <is>
          <t>Overnight</t>
        </is>
      </c>
      <c r="F61" s="107" t="n"/>
      <c r="G61" s="107" t="n"/>
      <c r="H61" s="107" t="n"/>
      <c r="I61" s="107" t="n"/>
      <c r="J61" s="107" t="n"/>
      <c r="K61" s="107" t="n"/>
      <c r="L61" s="107" t="n"/>
    </row>
    <row r="62" s="56">
      <c r="A62" s="105" t="inlineStr">
        <is>
          <t>14 Nov</t>
        </is>
      </c>
      <c r="B62" s="105" t="inlineStr">
        <is>
          <t>Shenyang station → NEU Nanhu</t>
        </is>
      </c>
      <c r="C62" s="82" t="inlineStr">
        <is>
          <t>Taxi</t>
        </is>
      </c>
      <c r="D62" s="104" t="n">
        <v>0.01388888888888889</v>
      </c>
      <c r="E62" s="106" t="inlineStr">
        <is>
          <t>Registration day</t>
        </is>
      </c>
      <c r="F62" s="107" t="n"/>
      <c r="G62" s="107" t="n"/>
      <c r="H62" s="107" t="n"/>
      <c r="I62" s="107" t="n"/>
      <c r="J62" s="107" t="n"/>
      <c r="K62" s="107" t="n"/>
      <c r="L62" s="107" t="n"/>
    </row>
    <row r="63" s="56">
      <c r="A63" s="105" t="inlineStr">
        <is>
          <t>15 Nov</t>
        </is>
      </c>
      <c r="B63" s="105" t="inlineStr">
        <is>
          <t>NEU Nanhu → Shenyang station</t>
        </is>
      </c>
      <c r="C63" s="82" t="inlineStr">
        <is>
          <t>Taxi</t>
        </is>
      </c>
      <c r="D63" s="104" t="n">
        <v>0.01388888888888889</v>
      </c>
      <c r="E63" s="106" t="n"/>
      <c r="F63" s="107" t="n"/>
      <c r="G63" s="107" t="n"/>
      <c r="H63" s="107" t="n"/>
      <c r="I63" s="107" t="n"/>
      <c r="J63" s="107" t="n"/>
      <c r="K63" s="107" t="n"/>
      <c r="L63" s="107" t="n"/>
    </row>
    <row r="64" s="56">
      <c r="A64" s="105" t="inlineStr">
        <is>
          <t>15–16 Nov</t>
        </is>
      </c>
      <c r="B64" s="105" t="inlineStr">
        <is>
          <t>Shenyang → Beijing</t>
        </is>
      </c>
      <c r="C64" s="82" t="inlineStr">
        <is>
          <t>K28 hard seat 22:24–08:40</t>
        </is>
      </c>
      <c r="D64" s="104" t="n">
        <v>0.4277777777777778</v>
      </c>
      <c r="E64" s="106" t="inlineStr">
        <is>
          <t>Overnight, after the contest</t>
        </is>
      </c>
      <c r="F64" s="107" t="n"/>
      <c r="G64" s="107" t="n"/>
      <c r="H64" s="107" t="n"/>
      <c r="I64" s="107" t="n"/>
      <c r="J64" s="107" t="n"/>
      <c r="K64" s="107" t="n"/>
      <c r="L64" s="107" t="n"/>
    </row>
    <row r="65" s="56">
      <c r="A65" s="105" t="inlineStr">
        <is>
          <t>16 Nov</t>
        </is>
      </c>
      <c r="B65" s="105" t="inlineStr">
        <is>
          <t>Beijing station → PEK</t>
        </is>
      </c>
      <c r="C65" s="82" t="inlineStr">
        <is>
          <t>Metro line 2 + Airport Express</t>
        </is>
      </c>
      <c r="D65" s="104" t="n">
        <v>0.04166666666666666</v>
      </c>
      <c r="E65" s="106" t="inlineStr">
        <is>
          <t>Be at PEK by ~10:55</t>
        </is>
      </c>
      <c r="F65" s="107" t="n"/>
      <c r="G65" s="107" t="n"/>
      <c r="H65" s="107" t="n"/>
      <c r="I65" s="107" t="n"/>
      <c r="J65" s="107" t="n"/>
      <c r="K65" s="107" t="n"/>
      <c r="L65" s="107" t="n"/>
    </row>
    <row r="66" s="56">
      <c r="A66" s="105" t="inlineStr">
        <is>
          <t>16 Nov</t>
        </is>
      </c>
      <c r="B66" s="105" t="inlineStr">
        <is>
          <t>Beijing (PEK) → Ulaanbaatar</t>
        </is>
      </c>
      <c r="C66" s="82" t="inlineStr">
        <is>
          <t>Air China 12:55–15:05</t>
        </is>
      </c>
      <c r="D66" s="104" t="n">
        <v>0.09027777777777778</v>
      </c>
      <c r="E66" s="106" t="n"/>
      <c r="F66" s="107" t="n"/>
      <c r="G66" s="107" t="n"/>
      <c r="H66" s="107" t="n"/>
      <c r="I66" s="107" t="n"/>
      <c r="J66" s="107" t="n"/>
      <c r="K66" s="107" t="n"/>
      <c r="L66" s="107" t="n"/>
    </row>
    <row r="67" s="56">
      <c r="A67" s="105" t="inlineStr">
        <is>
          <t>16 Nov</t>
        </is>
      </c>
      <c r="B67" s="105" t="inlineStr">
        <is>
          <t>Chinggis Khaan airport → home</t>
        </is>
      </c>
      <c r="C67" s="82" t="inlineStr">
        <is>
          <t>Taxi</t>
        </is>
      </c>
      <c r="D67" s="104" t="n">
        <v>0.04166666666666666</v>
      </c>
      <c r="E67" s="106" t="n"/>
      <c r="F67" s="107" t="n"/>
      <c r="G67" s="107" t="n"/>
      <c r="H67" s="107" t="n"/>
      <c r="I67" s="107" t="n"/>
      <c r="J67" s="107" t="n"/>
      <c r="K67" s="107" t="n"/>
      <c r="L67" s="107" t="n"/>
    </row>
    <row r="68" s="56"/>
    <row r="69" s="56">
      <c r="C69" s="59" t="inlineStr">
        <is>
          <t>Total door-to-door</t>
        </is>
      </c>
      <c r="D69" s="109">
        <f>SUM(D57:D67)</f>
        <v/>
      </c>
    </row>
    <row r="70" s="56"/>
    <row r="71" s="56"/>
  </sheetData>
  <mergeCells count="19">
    <mergeCell ref="E58:L58"/>
    <mergeCell ref="C52:L52"/>
    <mergeCell ref="E62:L62"/>
    <mergeCell ref="B46:L46"/>
    <mergeCell ref="E67:L67"/>
    <mergeCell ref="B43:L43"/>
    <mergeCell ref="C53:L53"/>
    <mergeCell ref="E64:L64"/>
    <mergeCell ref="E63:L63"/>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72"/>
  <sheetViews>
    <sheetView workbookViewId="0">
      <selection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Shenyang – Hohhot red-eye</t>
        </is>
      </c>
    </row>
    <row r="2" ht="15" customHeight="1" s="56">
      <c r="A2" s="62" t="inlineStr">
        <is>
          <t>MIAT red-eye to Hohhot (Wed 11 Nov 22:25), a short hotel night, T304 overnight to Shenyang in a hard seat; two hotel nights before the contest; K28 seat + Air China home.</t>
        </is>
      </c>
    </row>
    <row r="4" ht="15" customHeight="1" s="56">
      <c r="A4" s="60" t="inlineStr">
        <is>
          <t>Days in destination (meals &amp; local transport)</t>
        </is>
      </c>
      <c r="B4" s="76" t="n">
        <v>4.5</v>
      </c>
      <c r="C4" s="62" t="inlineStr">
        <is>
          <t>12 Nov → 16 Nov midday</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s="56">
      <c r="A8" s="77" t="inlineStr">
        <is>
          <t>PAID BY UNIVERSITY</t>
        </is>
      </c>
      <c r="B8" s="78" t="n"/>
      <c r="C8" s="78" t="n"/>
      <c r="D8" s="78" t="n"/>
      <c r="E8" s="78" t="n"/>
      <c r="F8" s="78" t="n"/>
      <c r="G8" s="78" t="n"/>
      <c r="H8" s="78" t="n"/>
      <c r="I8" s="78" t="n"/>
      <c r="J8" s="78" t="n"/>
      <c r="K8" s="78" t="n"/>
      <c r="L8" s="78" t="n"/>
    </row>
    <row r="9" s="56">
      <c r="A9" s="79" t="inlineStr">
        <is>
          <t>Flights</t>
        </is>
      </c>
      <c r="B9" s="80" t="n"/>
      <c r="C9" s="80" t="n"/>
      <c r="D9" s="80" t="n"/>
      <c r="E9" s="80" t="n"/>
      <c r="F9" s="80" t="n"/>
      <c r="G9" s="80" t="n"/>
      <c r="H9" s="80" t="n"/>
      <c r="I9" s="80" t="n"/>
      <c r="J9" s="80" t="n"/>
      <c r="K9" s="80" t="n"/>
      <c r="L9" s="80" t="n"/>
    </row>
    <row r="10" ht="30" customHeight="1" s="56">
      <c r="B10" s="111" t="inlineStr">
        <is>
          <t>MIAT OM257 Ulaanbaatar 22:25 → Hohhot 00:15 (+1), nonstop (red-eye)</t>
        </is>
      </c>
      <c r="C10" s="83" t="inlineStr">
        <is>
          <t>Wed 11 Nov</t>
        </is>
      </c>
      <c r="D10" s="84" t="n">
        <v>0.0763888888888889</v>
      </c>
      <c r="E10" s="85" t="n">
        <v>946</v>
      </c>
      <c r="F10" s="86" t="inlineStr">
        <is>
          <t>CNY</t>
        </is>
      </c>
      <c r="G10" s="87">
        <f>Compare!$B$6</f>
        <v/>
      </c>
      <c r="H10" s="88">
        <f>E10*G10*IF(F10="USD",Compare!$B$8,IF(F10="CNY",Compare!$B$9,IF(F10="HKD",Compare!$B$10,1)))</f>
        <v/>
      </c>
      <c r="I10" s="89">
        <f>E10</f>
        <v/>
      </c>
      <c r="J10" s="87">
        <f>Compare!$B$7</f>
        <v/>
      </c>
      <c r="K10" s="88">
        <f>I10*J10*IF(F10="USD",Compare!$B$8,IF(F10="CNY",Compare!$B$9,IF(F10="HKD",Compare!$B$10,1)))</f>
        <v/>
      </c>
      <c r="L10" s="112" t="inlineStr">
        <is>
          <t>Ctrip 22 Oct: ¥946 on 11 and 13 Nov (SlickTrip $148). Air China CA758 13:00 is ¥1,011.</t>
        </is>
      </c>
    </row>
    <row r="11" ht="39" customHeight="1" s="56">
      <c r="B11" s="111" t="inlineStr">
        <is>
          <t>Air China CA955 Beijing Capital (PEK) 12:55 → Ulaanbaatar 15:05, nonstop</t>
        </is>
      </c>
      <c r="C11" s="83" t="inlineStr">
        <is>
          <t>16 Nov</t>
        </is>
      </c>
      <c r="D11" s="84" t="n">
        <v>0.09027777777777778</v>
      </c>
      <c r="E11" s="85" t="n">
        <v>171</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22 Oct: US$171 pp, cheapest that day (MIAT OM224 11:30 US$193 on Trip.com / $176 on SlickTrip; Air China 08:25 $215; Capital + Hunnu via Erenhot $196)</t>
        </is>
      </c>
    </row>
    <row r="12" s="56">
      <c r="A12" s="79" t="inlineStr">
        <is>
          <t>Trains</t>
        </is>
      </c>
      <c r="B12" s="80" t="n"/>
      <c r="C12" s="80" t="n"/>
      <c r="D12" s="80" t="n"/>
      <c r="E12" s="80" t="n"/>
      <c r="F12" s="80" t="n"/>
      <c r="G12" s="80" t="n"/>
      <c r="H12" s="80" t="n"/>
      <c r="I12" s="80" t="n"/>
      <c r="J12" s="80" t="n"/>
      <c r="K12" s="80" t="n"/>
      <c r="L12" s="80" t="n"/>
    </row>
    <row r="13" ht="30" customHeight="1" s="56">
      <c r="B13" s="111" t="inlineStr">
        <is>
          <t>Overnight train T304 Hohhot East 17:36 → Shenyang 10:16, hard seat</t>
        </is>
      </c>
      <c r="C13" s="83" t="inlineStr">
        <is>
          <t>12–13 Nov</t>
        </is>
      </c>
      <c r="D13" s="84" t="n">
        <v>0.6944444444444444</v>
      </c>
      <c r="E13" s="85" t="n">
        <v>173.5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(5 Nov query): seat ¥173.5, hard sleeper ¥296.5, soft ¥464.5. ChinaTicketOnline confirms 12 Nov, on sale 29 Oct 14:00.</t>
        </is>
      </c>
    </row>
    <row r="14" ht="51" customHeight="1" s="56">
      <c r="B14" s="111" t="inlineStr">
        <is>
          <t>Overnight train K28 Shenyang 22:24 → Beijing 08:40, hard seat (after the contest)</t>
        </is>
      </c>
      <c r="C14" s="83" t="inlineStr">
        <is>
          <t>15 Nov (night)</t>
        </is>
      </c>
      <c r="D14" s="84" t="n">
        <v>0.4277777777777778</v>
      </c>
      <c r="E14" s="85" t="n">
        <v>112</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(5 Nov query): hard seat ¥112 (hard sleeper ¥194). Cheapest train that still makes the 12:55 flight (K96 23:39 ¥102 arrives 11:19 – too late). Lie-flat upgrade: K54 Shenyang North 22:00 → 06:58 hard sleeper ¥171 (+¥59 pp). On sale 1 Nov 09:30 (ChinaTicketOnline confirms 15 Nov).</t>
        </is>
      </c>
    </row>
    <row r="15" s="56">
      <c r="A15" s="79" t="inlineStr">
        <is>
          <t>Accommodation</t>
        </is>
      </c>
      <c r="B15" s="80" t="n"/>
      <c r="C15" s="80" t="n"/>
      <c r="D15" s="80" t="n"/>
      <c r="E15" s="80" t="n"/>
      <c r="F15" s="80" t="n"/>
      <c r="G15" s="80" t="n"/>
      <c r="H15" s="80" t="n"/>
      <c r="I15" s="80" t="n"/>
      <c r="J15" s="80" t="n"/>
      <c r="K15" s="80" t="n"/>
      <c r="L15" s="80" t="n"/>
    </row>
    <row r="16" ht="30" customHeight="1" s="56">
      <c r="B16" s="111" t="inlineStr">
        <is>
          <t>Budget hotel in Hohhot for the rest of the night after the red-eye</t>
        </is>
      </c>
      <c r="C16" s="83" t="inlineStr">
        <is>
          <t>12 Nov (00:30–noon)</t>
        </is>
      </c>
      <c r="D16" s="84" t="n"/>
      <c r="E16" s="113" t="n">
        <v>200</v>
      </c>
      <c r="F16" s="86" t="inlineStr">
        <is>
          <t>CNY</t>
        </is>
      </c>
      <c r="G16" s="91" t="n">
        <v>1</v>
      </c>
      <c r="H16" s="88">
        <f>E16*G16*IF(F16="USD",Compare!$B$8,IF(F16="CNY",Compare!$B$9,IF(F16="HKD",Compare!$B$10,1)))</f>
        <v/>
      </c>
      <c r="I16" s="113" t="n">
        <v>200</v>
      </c>
      <c r="J16" s="91" t="n">
        <v>2</v>
      </c>
      <c r="K16" s="88">
        <f>I16*J16*IF(F16="USD",Compare!$B$8,IF(F16="CNY",Compare!$B$9,IF(F16="HKD",Compare!$B$10,1)))</f>
        <v/>
      </c>
      <c r="L16" s="112" t="inlineStr">
        <is>
          <t>ASSUMPTION ~¥200 per room (1 room for 3, 2 rooms for 4); not searched</t>
        </is>
      </c>
    </row>
    <row r="17" ht="60" customHeight="1" s="56">
      <c r="B17" s="111" t="inlineStr">
        <is>
          <t>Ji Hotel Sanhao Street, 55 Sanhao St (~940 m to NEU Nanhu, ~15 min walk): 2 Budget Twin rooms, King Koil mattresses, windows, floors 4–16 – a bed each</t>
        </is>
      </c>
      <c r="C17" s="83" t="inlineStr">
        <is>
          <t>13–15 Nov (2 nights)</t>
        </is>
      </c>
      <c r="D17" s="84" t="n"/>
      <c r="E17" s="113" t="n">
        <v>457</v>
      </c>
      <c r="F17" s="86" t="inlineStr">
        <is>
          <t>CNY</t>
        </is>
      </c>
      <c r="G17" s="91" t="n">
        <v>2</v>
      </c>
      <c r="H17" s="88">
        <f>E17*G17*IF(F17="USD",Compare!$B$8,IF(F17="CNY",Compare!$B$9,IF(F17="HKD",Compare!$B$10,1)))</f>
        <v/>
      </c>
      <c r="I17" s="113" t="n">
        <v>457</v>
      </c>
      <c r="J17" s="91" t="n">
        <v>2</v>
      </c>
      <c r="K17" s="88">
        <f>I17*J17*IF(F17="USD",Compare!$B$8,IF(F17="CNY",Compare!$B$9,IF(F17="HKD",Compare!$B$10,1)))</f>
        <v/>
      </c>
      <c r="L17" s="112" t="inlineStr">
        <is>
          <t>ASSUMPTION 2 nights at ¥457 per night for 2 Budget Twin rooms (Trip.com 22 Oct: ¥457 for 14–15 Nov, ¥1,371 for 12–15 Nov).</t>
        </is>
      </c>
    </row>
    <row r="18" s="56">
      <c r="A18" s="79" t="inlineStr">
        <is>
          <t>Meals &amp; local transport</t>
        </is>
      </c>
      <c r="B18" s="80" t="n"/>
      <c r="C18" s="80" t="n"/>
      <c r="D18" s="80" t="n"/>
      <c r="E18" s="80" t="n"/>
      <c r="F18" s="80" t="n"/>
      <c r="G18" s="80" t="n"/>
      <c r="H18" s="80" t="n"/>
      <c r="I18" s="80" t="n"/>
      <c r="J18" s="80" t="n"/>
      <c r="K18" s="80" t="n"/>
      <c r="L18" s="80" t="n"/>
    </row>
    <row r="19" ht="30" customHeight="1" s="56">
      <c r="B19" s="111" t="inlineStr">
        <is>
          <t>Meals</t>
        </is>
      </c>
      <c r="C19" s="83" t="inlineStr">
        <is>
          <t>in destination</t>
        </is>
      </c>
      <c r="D19" s="84"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30" customHeight="1" s="56">
      <c r="B20" s="111" t="inlineStr">
        <is>
          <t>Local transport (metro, taxis)</t>
        </is>
      </c>
      <c r="C20" s="83" t="inlineStr">
        <is>
          <t>in destination</t>
        </is>
      </c>
      <c r="D20" s="84"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30" customHeight="1" s="56">
      <c r="B21" s="111" t="inlineStr">
        <is>
          <t>Taxis Hohhot airport → hotel → Hohhot East station</t>
        </is>
      </c>
      <c r="C21" s="83" t="inlineStr">
        <is>
          <t>12 Nov</t>
        </is>
      </c>
      <c r="D21" s="84" t="n"/>
      <c r="E21" s="113" t="n">
        <v>60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~¥60 per car for both rides</t>
        </is>
      </c>
    </row>
    <row r="22" ht="30" customHeight="1" s="56">
      <c r="B22" s="111" t="inlineStr">
        <is>
          <t>Metro line 2 + Airport Express, Beijing station → PEK T3</t>
        </is>
      </c>
      <c r="C22" s="83" t="inlineStr">
        <is>
          <t>16 Nov</t>
        </is>
      </c>
      <c r="D22" s="84" t="n"/>
      <c r="E22" s="113" t="n">
        <v>30</v>
      </c>
      <c r="F22" s="86" t="inlineStr">
        <is>
          <t>CNY</t>
        </is>
      </c>
      <c r="G22" s="87">
        <f>Compare!$B$6</f>
        <v/>
      </c>
      <c r="H22" s="88">
        <f>E22*G22*IF(F22="USD",Compare!$B$8,IF(F22="CNY",Compare!$B$9,IF(F22="HKD",Compare!$B$10,1)))</f>
        <v/>
      </c>
      <c r="I22" s="114">
        <f>E22</f>
        <v/>
      </c>
      <c r="J22" s="87">
        <f>Compare!$B$7</f>
        <v/>
      </c>
      <c r="K22" s="88">
        <f>I22*J22*IF(F22="USD",Compare!$B$8,IF(F22="CNY",Compare!$B$9,IF(F22="HKD",Compare!$B$10,1)))</f>
        <v/>
      </c>
      <c r="L22" s="112" t="inlineStr">
        <is>
          <t>ASSUMPTION Airport Express ¥25 + metro ¥4–5 pp</t>
        </is>
      </c>
    </row>
    <row r="23" s="56">
      <c r="A23" s="94" t="inlineStr">
        <is>
          <t>PAID PERSONALLY (university won't cover)</t>
        </is>
      </c>
      <c r="B23" s="95" t="n"/>
      <c r="C23" s="95" t="n"/>
      <c r="D23" s="95" t="n"/>
      <c r="E23" s="95" t="n"/>
      <c r="F23" s="95" t="n"/>
      <c r="G23" s="95" t="n"/>
      <c r="H23" s="95" t="n"/>
      <c r="I23" s="95" t="n"/>
      <c r="J23" s="95" t="n"/>
      <c r="K23" s="95" t="n"/>
      <c r="L23" s="95" t="n"/>
    </row>
    <row r="24" s="56">
      <c r="A24" s="79" t="inlineStr">
        <is>
          <t>Contest fee</t>
        </is>
      </c>
      <c r="B24" s="80" t="n"/>
      <c r="C24" s="80" t="n"/>
      <c r="D24" s="80" t="n"/>
      <c r="E24" s="80" t="n"/>
      <c r="F24" s="80" t="n"/>
      <c r="G24" s="80" t="n"/>
      <c r="H24" s="80" t="n"/>
      <c r="I24" s="80" t="n"/>
      <c r="J24" s="80" t="n"/>
      <c r="K24" s="80" t="n"/>
      <c r="L24" s="80" t="n"/>
    </row>
    <row r="25" ht="30" customHeight="1" s="56">
      <c r="B25" s="111" t="inlineStr">
        <is>
          <t>Shenyang regional registration fee (per team)</t>
        </is>
      </c>
      <c r="C25" s="83" t="inlineStr">
        <is>
          <t>pay when invited</t>
        </is>
      </c>
      <c r="D25" s="84"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112" t="inlineStr">
        <is>
          <t>ASSUMPTION: 1,500 CNY/team like recent EC regionals; the 2026 Shenyang invitation was not found on 22 Oct</t>
        </is>
      </c>
    </row>
    <row r="26" s="56">
      <c r="A26" s="79" t="inlineStr">
        <is>
          <t>Other</t>
        </is>
      </c>
      <c r="B26" s="80" t="n"/>
      <c r="C26" s="80" t="n"/>
      <c r="D26" s="80" t="n"/>
      <c r="E26" s="80" t="n"/>
      <c r="F26" s="80" t="n"/>
      <c r="G26" s="80" t="n"/>
      <c r="H26" s="80" t="n"/>
      <c r="I26" s="80" t="n"/>
      <c r="J26" s="80" t="n"/>
      <c r="K26" s="80" t="n"/>
      <c r="L26" s="80" t="n"/>
    </row>
    <row r="27" ht="30" customHeight="1" s="56">
      <c r="B27" s="111" t="inlineStr">
        <is>
          <t>Taxi to/from Chinggis Khaan airport (UB), per trip</t>
        </is>
      </c>
      <c r="C27" s="83" t="inlineStr">
        <is>
          <t>out &amp; back</t>
        </is>
      </c>
      <c r="D27" s="84" t="n">
        <v>0.04166666666666666</v>
      </c>
      <c r="E27" s="113" t="n">
        <v>100000</v>
      </c>
      <c r="F27" s="86" t="inlineStr">
        <is>
          <t>MNT</t>
        </is>
      </c>
      <c r="G27" s="91" t="n">
        <v>2</v>
      </c>
      <c r="H27" s="88">
        <f>E27*G27*IF(F27="USD",Compare!$B$8,IF(F27="CNY",Compare!$B$9,IF(F27="HKD",Compare!$B$10,1)))</f>
        <v/>
      </c>
      <c r="I27" s="114">
        <f>E27</f>
        <v/>
      </c>
      <c r="J27" s="91" t="n">
        <v>2</v>
      </c>
      <c r="K27" s="88">
        <f>I27*J27*IF(F27="USD",Compare!$B$8,IF(F27="CNY",Compare!$B$9,IF(F27="HKD",Compare!$B$10,1)))</f>
        <v/>
      </c>
      <c r="L27" s="112" t="inlineStr">
        <is>
          <t>ASSUMPTION 100k MNT per trip for the group</t>
        </is>
      </c>
    </row>
    <row r="28" ht="30" customHeight="1" s="56">
      <c r="B28" s="111" t="inlineStr">
        <is>
          <t>Travel medical insurance</t>
        </is>
      </c>
      <c r="C28" s="83" t="n"/>
      <c r="D28" s="84" t="n"/>
      <c r="E28" s="113" t="n">
        <v>30000</v>
      </c>
      <c r="F28" s="86" t="inlineStr">
        <is>
          <t>MNT</t>
        </is>
      </c>
      <c r="G28" s="87">
        <f>Compare!$B$6</f>
        <v/>
      </c>
      <c r="H28" s="88">
        <f>E28*G28*IF(F28="USD",Compare!$B$8,IF(F28="CNY",Compare!$B$9,IF(F28="HKD",Compare!$B$10,1)))</f>
        <v/>
      </c>
      <c r="I28" s="114">
        <f>E28</f>
        <v/>
      </c>
      <c r="J28" s="87">
        <f>Compare!$B$7</f>
        <v/>
      </c>
      <c r="K28" s="88">
        <f>I28*J28*IF(F28="USD",Compare!$B$8,IF(F28="CNY",Compare!$B$9,IF(F28="HKD",Compare!$B$10,1)))</f>
        <v/>
      </c>
      <c r="L28" s="112" t="inlineStr">
        <is>
          <t>ASSUMPTION ~30k MNT per person, Mongolian insurer</t>
        </is>
      </c>
    </row>
    <row r="29" ht="30" customHeight="1" s="56">
      <c r="B29" s="111" t="inlineStr">
        <is>
          <t>Mobile data eSIM</t>
        </is>
      </c>
      <c r="C29" s="83" t="n"/>
      <c r="D29" s="84" t="n"/>
      <c r="E29" s="113" t="n">
        <v>10</v>
      </c>
      <c r="F29" s="86" t="inlineStr">
        <is>
          <t>USD</t>
        </is>
      </c>
      <c r="G29" s="87">
        <f>Compare!$B$6</f>
        <v/>
      </c>
      <c r="H29" s="88">
        <f>E29*G29*IF(F29="USD",Compare!$B$8,IF(F29="CNY",Compare!$B$9,IF(F29="HKD",Compare!$B$10,1)))</f>
        <v/>
      </c>
      <c r="I29" s="114">
        <f>E29</f>
        <v/>
      </c>
      <c r="J29" s="87">
        <f>Compare!$B$7</f>
        <v/>
      </c>
      <c r="K29" s="88">
        <f>I29*J29*IF(F29="USD",Compare!$B$8,IF(F29="CNY",Compare!$B$9,IF(F29="HKD",Compare!$B$10,1)))</f>
        <v/>
      </c>
      <c r="L29" s="112" t="inlineStr">
        <is>
          <t>ASSUMPTION ~$10 pp</t>
        </is>
      </c>
    </row>
    <row r="30" ht="30" customHeight="1" s="56">
      <c r="B30" s="111" t="inlineStr">
        <is>
          <t>Visa</t>
        </is>
      </c>
      <c r="C30" s="83" t="n"/>
      <c r="D30" s="84"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112" t="inlineStr">
        <is>
          <t>Mongolian passports: visa-free (mainland China up to 30 days; Hong Kong up to 14 days)</t>
        </is>
      </c>
    </row>
    <row r="31" s="56"/>
    <row r="32" s="56">
      <c r="G32" s="60" t="n"/>
      <c r="H32" s="96" t="inlineStr">
        <is>
          <t>3 people – UNFUNDED</t>
        </is>
      </c>
      <c r="K32" s="96" t="inlineStr">
        <is>
          <t>4 people – FUNDED ₮12M</t>
        </is>
      </c>
    </row>
    <row r="33" s="56">
      <c r="G33" s="97" t="inlineStr">
        <is>
          <t>University-paid subtotal</t>
        </is>
      </c>
      <c r="H33" s="98">
        <f>SUM(H9:H22)</f>
        <v/>
      </c>
      <c r="K33" s="98">
        <f>SUM(K9:K22)</f>
        <v/>
      </c>
    </row>
    <row r="34" s="56">
      <c r="G34" s="99" t="inlineStr">
        <is>
          <t>Contingency</t>
        </is>
      </c>
      <c r="H34" s="100">
        <f>H33*Compare!$B$11</f>
        <v/>
      </c>
      <c r="K34" s="100">
        <f>K33*Compare!$B$11</f>
        <v/>
      </c>
    </row>
    <row r="35" s="56">
      <c r="G35" s="97" t="inlineStr">
        <is>
          <t>University-paid total incl. contingency</t>
        </is>
      </c>
      <c r="H35" s="98">
        <f>H33+H34</f>
        <v/>
      </c>
      <c r="K35" s="98">
        <f>K33+K34</f>
        <v/>
      </c>
    </row>
    <row r="36" s="56">
      <c r="G36" s="97" t="inlineStr">
        <is>
          <t>Funding left (negative = over)</t>
        </is>
      </c>
      <c r="H36" s="101">
        <f>Compare!$B$12-H35</f>
        <v/>
      </c>
      <c r="K36" s="101">
        <f>Compare!$B$5-K35</f>
        <v/>
      </c>
    </row>
    <row r="37" s="56">
      <c r="G37" s="97" t="inlineStr">
        <is>
          <t>Personal costs – team</t>
        </is>
      </c>
      <c r="H37" s="102">
        <f>SUM(H24:H30)</f>
        <v/>
      </c>
      <c r="K37" s="102">
        <f>SUM(K24:K30)</f>
        <v/>
      </c>
    </row>
    <row r="38" s="56">
      <c r="G38" s="97" t="inlineStr">
        <is>
          <t>Out-of-pocket per person (personal + any overrun)</t>
        </is>
      </c>
      <c r="H38" s="102">
        <f>(H37+MAX(0,-H36))/Compare!$B$6</f>
        <v/>
      </c>
      <c r="K38" s="102">
        <f>(K37+MAX(0,-K36))/Compare!$B$7</f>
        <v/>
      </c>
    </row>
    <row r="39" s="56">
      <c r="G39" s="97" t="inlineStr">
        <is>
          <t>Whole trip cost (university + personal)</t>
        </is>
      </c>
      <c r="H39" s="103">
        <f>H35+H37</f>
        <v/>
      </c>
      <c r="K39" s="103">
        <f>K35+K37</f>
        <v/>
      </c>
    </row>
    <row r="40" s="56">
      <c r="G40" s="99" t="inlineStr">
        <is>
          <t>Time in planes &amp; trains</t>
        </is>
      </c>
      <c r="H40" s="104">
        <f>SUM(D10:D11)+SUM(D13:D14)</f>
        <v/>
      </c>
      <c r="K40" s="104">
        <f>SUM(D10:D11)+SUM(D13:D14)</f>
        <v/>
      </c>
    </row>
    <row r="41" s="56"/>
    <row r="42" s="56">
      <c r="A42" s="72" t="inlineStr">
        <is>
          <t>Key facts</t>
        </is>
      </c>
    </row>
    <row r="43" ht="30" customHeight="1" s="56">
      <c r="A43" s="75" t="inlineStr">
        <is>
          <t>Contest</t>
        </is>
      </c>
      <c r="B43" s="74" t="inlineStr">
        <is>
          <t>Asia Shenyang Regional, 14–15 Nov 2026 (provisional; the 2026 invitation was not found on 22 Oct), Northeastern University Nanhu campus (2024 and 2025 venue). Assumed: day 1 registration + practice, contest 15 Nov 09:00–14:00, awards ~17:00.</t>
        </is>
      </c>
    </row>
    <row r="44" ht="30" customHeight="1" s="56">
      <c r="A44" s="75" t="inlineStr">
        <is>
          <t>Why this plan</t>
        </is>
      </c>
      <c r="B44" s="74" t="inlineStr">
        <is>
          <t>~₮0.61M per person to Shenyang by the cheapest flight into Hohhot. Cheaper way out than the Air China + G153 route of 'Sleep value' (₮0.91M per person); the rest of the trip is the same (Ji Hotel twin rooms, K28 hard seat + Air China 12:55 home), with hotel nights set by the arrival time.</t>
        </is>
      </c>
    </row>
    <row r="45" ht="15" customHeight="1" s="56">
      <c r="A45" s="75" t="inlineStr">
        <is>
          <t>Trade-off</t>
        </is>
      </c>
      <c r="B45" s="74" t="inlineStr">
        <is>
          <t>Red-eye landing at 00:15 (bed ~01:30) and a seated night on T304 three nights before the contest; two hotel nights after it. Hohhot hotel price is a guess.</t>
        </is>
      </c>
    </row>
    <row r="46" ht="15" customHeight="1" s="56">
      <c r="A46" s="75" t="inlineStr">
        <is>
          <t>Book</t>
        </is>
      </c>
      <c r="B46" s="74" t="inlineStr">
        <is>
          <t>MIAT on Ctrip now; T304 on 12306 at 14:00 on 29 Oct; K28 on 12306 at 09:30 on 1 Nov; Air China home on Trip.com.</t>
        </is>
      </c>
    </row>
    <row r="47" s="56"/>
    <row r="48" s="56">
      <c r="A48" s="72" t="inlineStr">
        <is>
          <t>Day-by-day plan</t>
        </is>
      </c>
    </row>
    <row r="49" s="56">
      <c r="A49" s="96" t="inlineStr">
        <is>
          <t>Date</t>
        </is>
      </c>
      <c r="B49" s="96" t="inlineStr">
        <is>
          <t>Sleep in</t>
        </is>
      </c>
      <c r="C49" s="96" t="inlineStr">
        <is>
          <t>What happens</t>
        </is>
      </c>
    </row>
    <row r="50" ht="15" customHeight="1" s="56">
      <c r="A50" s="74" t="inlineStr">
        <is>
          <t>Wed 11 Nov</t>
        </is>
      </c>
      <c r="B50" s="74" t="inlineStr">
        <is>
          <t>Hohhot (budget hotel)</t>
        </is>
      </c>
      <c r="C50" s="74" t="inlineStr">
        <is>
          <t>MIAT OM257 UB 22:25 → Hohhot 00:15; taxi to a budget hotel; bed ~01:30.</t>
        </is>
      </c>
    </row>
    <row r="51" ht="15" customHeight="1" s="56">
      <c r="A51" s="74" t="inlineStr">
        <is>
          <t>Thu 12 Nov</t>
        </is>
      </c>
      <c r="B51" s="74" t="inlineStr">
        <is>
          <t>Train (seat)</t>
        </is>
      </c>
      <c r="C51" s="74" t="inlineStr">
        <is>
          <t>Late morning in Hohhot; taxi to Hohhot East; T304 17:36 → Shenyang (overnight).</t>
        </is>
      </c>
    </row>
    <row r="52" ht="15" customHeight="1" s="56">
      <c r="A52" s="74" t="inlineStr">
        <is>
          <t>Fri 13 Nov</t>
        </is>
      </c>
      <c r="B52" s="74" t="inlineStr">
        <is>
          <t>Shenyang</t>
        </is>
      </c>
      <c r="C52" s="74" t="inlineStr">
        <is>
          <t>Arrive Shenyang 10:16; taxi to Ji Hotel; rest.</t>
        </is>
      </c>
    </row>
    <row r="53" ht="15" customHeight="1" s="56">
      <c r="A53" s="74" t="inlineStr">
        <is>
          <t>Sat 14 Nov</t>
        </is>
      </c>
      <c r="B53" s="74" t="inlineStr">
        <is>
          <t>Shenyang</t>
        </is>
      </c>
      <c r="C53" s="74" t="inlineStr">
        <is>
          <t>Registration, opening and practice at NEU Nanhu. Lights out ~22:30.</t>
        </is>
      </c>
    </row>
    <row r="54" ht="30" customHeight="1" s="56">
      <c r="A54" s="74" t="inlineStr">
        <is>
          <t>Sun 15 Nov</t>
        </is>
      </c>
      <c r="B54" s="74" t="inlineStr">
        <is>
          <t>Train (seat)</t>
        </is>
      </c>
      <c r="C54" s="74" t="inlineStr">
        <is>
          <t>CONTEST. Wake ~06:50, walk ~15 min. Check out before leaving, luggage stored at the hotel. Awards ~17:00; taxi to Shenyang station; K28 22:24 hard seat → Beijing 08:40.</t>
        </is>
      </c>
    </row>
    <row r="55" ht="15" customHeight="1" s="56">
      <c r="A55" s="74" t="inlineStr">
        <is>
          <t>Mon 16 Nov</t>
        </is>
      </c>
      <c r="B55" s="74" t="inlineStr">
        <is>
          <t>Home</t>
        </is>
      </c>
      <c r="C55" s="74" t="inlineStr">
        <is>
          <t>Metro line 2 + Airport Express to PEK T3 (~1 h). Air China 12:55 → UB 15:05.</t>
        </is>
      </c>
    </row>
    <row r="56" s="56"/>
    <row r="57" s="56">
      <c r="A57" s="72" t="inlineStr">
        <is>
          <t>Door-to-door travel times</t>
        </is>
      </c>
    </row>
    <row r="58" s="56">
      <c r="A58" s="96" t="inlineStr">
        <is>
          <t>Date</t>
        </is>
      </c>
      <c r="B58" s="96" t="inlineStr">
        <is>
          <t>Leg</t>
        </is>
      </c>
      <c r="C58" s="96" t="inlineStr">
        <is>
          <t>Mode</t>
        </is>
      </c>
      <c r="D58" s="96" t="inlineStr">
        <is>
          <t>Expected time</t>
        </is>
      </c>
      <c r="E58" s="96" t="inlineStr">
        <is>
          <t>Notes</t>
        </is>
      </c>
    </row>
    <row r="59" s="56">
      <c r="A59" s="105" t="inlineStr">
        <is>
          <t>11 Nov</t>
        </is>
      </c>
      <c r="B59" s="105" t="inlineStr">
        <is>
          <t>Home → Chinggis Khaan airport</t>
        </is>
      </c>
      <c r="C59" s="82" t="inlineStr">
        <is>
          <t>Taxi (~50 km)</t>
        </is>
      </c>
      <c r="D59" s="104" t="n">
        <v>0.04166666666666666</v>
      </c>
      <c r="E59" s="106" t="inlineStr">
        <is>
          <t>Leave ~19:30</t>
        </is>
      </c>
      <c r="F59" s="107" t="n"/>
      <c r="G59" s="107" t="n"/>
      <c r="H59" s="107" t="n"/>
      <c r="I59" s="107" t="n"/>
      <c r="J59" s="107" t="n"/>
      <c r="K59" s="107" t="n"/>
      <c r="L59" s="107" t="n"/>
    </row>
    <row r="60" s="56">
      <c r="A60" s="105" t="inlineStr">
        <is>
          <t>11–12 Nov</t>
        </is>
      </c>
      <c r="B60" s="105" t="inlineStr">
        <is>
          <t>Ulaanbaatar → Hohhot</t>
        </is>
      </c>
      <c r="C60" s="82" t="inlineStr">
        <is>
          <t>MIAT OM257 22:25–00:15</t>
        </is>
      </c>
      <c r="D60" s="104" t="n">
        <v>0.0763888888888889</v>
      </c>
      <c r="E60" s="106" t="inlineStr">
        <is>
          <t>Red-eye</t>
        </is>
      </c>
      <c r="F60" s="107" t="n"/>
      <c r="G60" s="107" t="n"/>
      <c r="H60" s="107" t="n"/>
      <c r="I60" s="107" t="n"/>
      <c r="J60" s="107" t="n"/>
      <c r="K60" s="107" t="n"/>
      <c r="L60" s="107" t="n"/>
    </row>
    <row r="61" s="56">
      <c r="A61" s="105" t="inlineStr">
        <is>
          <t>12 Nov</t>
        </is>
      </c>
      <c r="B61" s="105" t="inlineStr">
        <is>
          <t>HET arrival + taxi to a hotel</t>
        </is>
      </c>
      <c r="C61" s="82" t="inlineStr">
        <is>
          <t>Taxi</t>
        </is>
      </c>
      <c r="D61" s="104" t="n">
        <v>0.04166666666666666</v>
      </c>
      <c r="E61" s="106" t="inlineStr">
        <is>
          <t>Estimate</t>
        </is>
      </c>
      <c r="F61" s="107" t="n"/>
      <c r="G61" s="107" t="n"/>
      <c r="H61" s="107" t="n"/>
      <c r="I61" s="107" t="n"/>
      <c r="J61" s="107" t="n"/>
      <c r="K61" s="107" t="n"/>
      <c r="L61" s="107" t="n"/>
    </row>
    <row r="62" s="56">
      <c r="A62" s="105" t="inlineStr">
        <is>
          <t>12 Nov</t>
        </is>
      </c>
      <c r="B62" s="105" t="inlineStr">
        <is>
          <t>Hotel → Hohhot East station</t>
        </is>
      </c>
      <c r="C62" s="82" t="inlineStr">
        <is>
          <t>Taxi</t>
        </is>
      </c>
      <c r="D62" s="104" t="n">
        <v>0.02083333333333333</v>
      </c>
      <c r="E62" s="106" t="inlineStr">
        <is>
          <t>Estimate</t>
        </is>
      </c>
      <c r="F62" s="107" t="n"/>
      <c r="G62" s="107" t="n"/>
      <c r="H62" s="107" t="n"/>
      <c r="I62" s="107" t="n"/>
      <c r="J62" s="107" t="n"/>
      <c r="K62" s="107" t="n"/>
      <c r="L62" s="107" t="n"/>
    </row>
    <row r="63" s="56">
      <c r="A63" s="105" t="inlineStr">
        <is>
          <t>12–13 Nov</t>
        </is>
      </c>
      <c r="B63" s="105" t="inlineStr">
        <is>
          <t>Hohhot East → Shenyang</t>
        </is>
      </c>
      <c r="C63" s="82" t="inlineStr">
        <is>
          <t>T304 hard seat 17:36–10:16</t>
        </is>
      </c>
      <c r="D63" s="104" t="n">
        <v>0.6944444444444444</v>
      </c>
      <c r="E63" s="106" t="inlineStr">
        <is>
          <t>Overnight</t>
        </is>
      </c>
      <c r="F63" s="107" t="n"/>
      <c r="G63" s="107" t="n"/>
      <c r="H63" s="107" t="n"/>
      <c r="I63" s="107" t="n"/>
      <c r="J63" s="107" t="n"/>
      <c r="K63" s="107" t="n"/>
      <c r="L63" s="107" t="n"/>
    </row>
    <row r="64" s="56">
      <c r="A64" s="105" t="inlineStr">
        <is>
          <t>13 Nov</t>
        </is>
      </c>
      <c r="B64" s="105" t="inlineStr">
        <is>
          <t>Shenyang station → Ji Hotel</t>
        </is>
      </c>
      <c r="C64" s="82" t="inlineStr">
        <is>
          <t>Taxi</t>
        </is>
      </c>
      <c r="D64" s="104" t="n">
        <v>0.01388888888888889</v>
      </c>
      <c r="E64" s="106" t="n"/>
      <c r="F64" s="107" t="n"/>
      <c r="G64" s="107" t="n"/>
      <c r="H64" s="107" t="n"/>
      <c r="I64" s="107" t="n"/>
      <c r="J64" s="107" t="n"/>
      <c r="K64" s="107" t="n"/>
      <c r="L64" s="107" t="n"/>
    </row>
    <row r="65" s="56">
      <c r="A65" s="105" t="inlineStr">
        <is>
          <t>14–15 Nov</t>
        </is>
      </c>
      <c r="B65" s="105" t="inlineStr">
        <is>
          <t>Hotel ↔ NEU Nanhu (each way)</t>
        </is>
      </c>
      <c r="C65" s="82" t="inlineStr">
        <is>
          <t>Walk</t>
        </is>
      </c>
      <c r="D65" s="104" t="inlineStr">
        <is>
          <t>daily</t>
        </is>
      </c>
      <c r="E65" s="106" t="inlineStr">
        <is>
          <t>~15 min walk</t>
        </is>
      </c>
      <c r="F65" s="107" t="n"/>
      <c r="G65" s="107" t="n"/>
      <c r="H65" s="107" t="n"/>
      <c r="I65" s="107" t="n"/>
      <c r="J65" s="107" t="n"/>
      <c r="K65" s="107" t="n"/>
      <c r="L65" s="107" t="n"/>
    </row>
    <row r="66" s="56">
      <c r="A66" s="105" t="inlineStr">
        <is>
          <t>15 Nov</t>
        </is>
      </c>
      <c r="B66" s="105" t="inlineStr">
        <is>
          <t>NEU Nanhu → Shenyang station</t>
        </is>
      </c>
      <c r="C66" s="82" t="inlineStr">
        <is>
          <t>Taxi</t>
        </is>
      </c>
      <c r="D66" s="104" t="n">
        <v>0.01388888888888889</v>
      </c>
      <c r="E66" s="106" t="n"/>
      <c r="F66" s="107" t="n"/>
      <c r="G66" s="107" t="n"/>
      <c r="H66" s="107" t="n"/>
      <c r="I66" s="107" t="n"/>
      <c r="J66" s="107" t="n"/>
      <c r="K66" s="107" t="n"/>
      <c r="L66" s="107" t="n"/>
    </row>
    <row r="67" s="56">
      <c r="A67" s="105" t="inlineStr">
        <is>
          <t>15–16 Nov</t>
        </is>
      </c>
      <c r="B67" s="105" t="inlineStr">
        <is>
          <t>Shenyang → Beijing</t>
        </is>
      </c>
      <c r="C67" s="82" t="inlineStr">
        <is>
          <t>K28 hard seat 22:24–08:40</t>
        </is>
      </c>
      <c r="D67" s="104" t="n">
        <v>0.4277777777777778</v>
      </c>
      <c r="E67" s="106" t="inlineStr">
        <is>
          <t>Overnight, after the contest</t>
        </is>
      </c>
      <c r="F67" s="107" t="n"/>
      <c r="G67" s="107" t="n"/>
      <c r="H67" s="107" t="n"/>
      <c r="I67" s="107" t="n"/>
      <c r="J67" s="107" t="n"/>
      <c r="K67" s="107" t="n"/>
      <c r="L67" s="107" t="n"/>
    </row>
    <row r="68" s="56">
      <c r="A68" s="105" t="inlineStr">
        <is>
          <t>16 Nov</t>
        </is>
      </c>
      <c r="B68" s="105" t="inlineStr">
        <is>
          <t>Beijing station → PEK</t>
        </is>
      </c>
      <c r="C68" s="82" t="inlineStr">
        <is>
          <t>Metro line 2 + Airport Express</t>
        </is>
      </c>
      <c r="D68" s="104" t="n">
        <v>0.04166666666666666</v>
      </c>
      <c r="E68" s="106" t="inlineStr">
        <is>
          <t>Be at PEK by ~10:55</t>
        </is>
      </c>
      <c r="F68" s="107" t="n"/>
      <c r="G68" s="107" t="n"/>
      <c r="H68" s="107" t="n"/>
      <c r="I68" s="107" t="n"/>
      <c r="J68" s="107" t="n"/>
      <c r="K68" s="107" t="n"/>
      <c r="L68" s="107" t="n"/>
    </row>
    <row r="69" s="56">
      <c r="A69" s="105" t="inlineStr">
        <is>
          <t>16 Nov</t>
        </is>
      </c>
      <c r="B69" s="105" t="inlineStr">
        <is>
          <t>Beijing (PEK) → Ulaanbaatar</t>
        </is>
      </c>
      <c r="C69" s="82" t="inlineStr">
        <is>
          <t>Air China 12:55–15:05</t>
        </is>
      </c>
      <c r="D69" s="104" t="n">
        <v>0.09027777777777778</v>
      </c>
      <c r="E69" s="106" t="n"/>
      <c r="F69" s="107" t="n"/>
      <c r="G69" s="107" t="n"/>
      <c r="H69" s="107" t="n"/>
      <c r="I69" s="107" t="n"/>
      <c r="J69" s="107" t="n"/>
      <c r="K69" s="107" t="n"/>
      <c r="L69" s="107" t="n"/>
    </row>
    <row r="70" s="56">
      <c r="A70" s="105" t="inlineStr">
        <is>
          <t>16 Nov</t>
        </is>
      </c>
      <c r="B70" s="105" t="inlineStr">
        <is>
          <t>Chinggis Khaan airport → home</t>
        </is>
      </c>
      <c r="C70" s="82" t="inlineStr">
        <is>
          <t>Taxi</t>
        </is>
      </c>
      <c r="D70" s="104" t="n">
        <v>0.04166666666666666</v>
      </c>
      <c r="E70" s="106" t="n"/>
      <c r="F70" s="107" t="n"/>
      <c r="G70" s="107" t="n"/>
      <c r="H70" s="107" t="n"/>
      <c r="I70" s="107" t="n"/>
      <c r="J70" s="107" t="n"/>
      <c r="K70" s="107" t="n"/>
      <c r="L70" s="107" t="n"/>
    </row>
    <row r="71" s="56"/>
    <row r="72">
      <c r="C72" s="59" t="inlineStr">
        <is>
          <t>Total door-to-door</t>
        </is>
      </c>
      <c r="D72" s="109">
        <f>SUM(D59:D70)</f>
        <v/>
      </c>
    </row>
  </sheetData>
  <mergeCells count="22">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E70:L70"/>
    <mergeCell ref="C50:L50"/>
    <mergeCell ref="E61:L61"/>
    <mergeCell ref="C55:L55"/>
    <mergeCell ref="E66:L66"/>
    <mergeCell ref="C51:L51"/>
    <mergeCell ref="B45:L4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1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2" customWidth="1" style="56" min="1" max="1"/>
    <col width="22" customWidth="1" style="56" min="2" max="2"/>
    <col width="18" customWidth="1" style="56" min="3" max="3"/>
    <col width="22" customWidth="1" style="56" min="4" max="4"/>
    <col width="12" customWidth="1" style="56" min="5" max="5"/>
    <col width="16" customWidth="1" style="56" min="6" max="6"/>
    <col width="16" customWidth="1" style="56" min="7" max="7"/>
    <col width="16" customWidth="1" style="56" min="8" max="8"/>
    <col width="18" customWidth="1" style="56" min="9" max="9"/>
    <col width="16" customWidth="1" style="56" min="10" max="10"/>
    <col width="10" customWidth="1" style="56" min="11" max="11"/>
    <col width="48" customWidth="1" style="56" min="12" max="12"/>
  </cols>
  <sheetData>
    <row r="1">
      <c r="A1" s="57" t="inlineStr">
        <is>
          <t>Shenyang – way out compared (UB → Shenyang, cheapest first)</t>
        </is>
      </c>
    </row>
    <row r="2" ht="45" customHeight="1" s="56">
      <c r="A2" s="59" t="inlineStr">
        <is>
          <t>Way out = the flights, trains, border jeep and transfer rows of each plan sheet up to arrival in Shenyang (UB home taxi and contingency not included). The rest of every new plan is 'Sleep value' (Ji Hotel twin rooms, K28 hard seat + Air China home) with hotel nights set by the arrival. Prices checked 22 Oct 2026.</t>
        </is>
      </c>
    </row>
    <row r="4" ht="48" customHeight="1" s="56">
      <c r="A4" s="66" t="inlineStr">
        <is>
          <t>Plan (sheet)</t>
        </is>
      </c>
      <c r="B4" s="66" t="inlineStr">
        <is>
          <t>Leave UB</t>
        </is>
      </c>
      <c r="C4" s="66" t="inlineStr">
        <is>
          <t>Arrive Shenyang</t>
        </is>
      </c>
      <c r="D4" s="66" t="inlineStr">
        <is>
          <t>Nights on a train before the contest</t>
        </is>
      </c>
      <c r="E4" s="66" t="inlineStr">
        <is>
          <t>Hotel nights before the contest</t>
        </is>
      </c>
      <c r="F4" s="66" t="inlineStr">
        <is>
          <t>Way out per person – 3 ppl</t>
        </is>
      </c>
      <c r="G4" s="66" t="inlineStr">
        <is>
          <t>Way out – team of 3</t>
        </is>
      </c>
      <c r="H4" s="66" t="inlineStr">
        <is>
          <t>Way out – 4 ppl (funded)</t>
        </is>
      </c>
      <c r="I4" s="66" t="inlineStr">
        <is>
          <t>Whole trip per person – 3 ppl (unfunded)</t>
        </is>
      </c>
      <c r="J4" s="66" t="inlineStr">
        <is>
          <t>Whole trip – team of 3</t>
        </is>
      </c>
      <c r="K4" s="66" t="inlineStr">
        <is>
          <t>Sleep check</t>
        </is>
      </c>
      <c r="L4" s="66" t="inlineStr">
        <is>
          <t>Notes</t>
        </is>
      </c>
    </row>
    <row r="5" ht="30" customHeight="1" s="56">
      <c r="A5" s="67" t="inlineStr">
        <is>
          <t>Shenyang – Overland out (seats)</t>
        </is>
      </c>
      <c r="B5" s="68" t="inlineStr">
        <is>
          <t>Thu 12 Nov 16:40 (train)</t>
        </is>
      </c>
      <c r="C5" s="68" t="inlineStr">
        <is>
          <t>Sat 14 Nov 10:16</t>
        </is>
      </c>
      <c r="D5" s="69" t="inlineStr">
        <is>
          <t>2 (seats)</t>
        </is>
      </c>
      <c r="E5" s="68" t="n">
        <v>1</v>
      </c>
      <c r="F5" s="68">
        <f>('Shenyang – Overland out (seats)'!H12+'Shenyang – Overland out (seats)'!H13+'Shenyang – Overland out (seats)'!H14+'Shenyang – Overland out (seats)'!H15)/Compare!$B$6</f>
        <v/>
      </c>
      <c r="G5" s="69">
        <f>'Shenyang – Overland out (seats)'!H12+'Shenyang – Overland out (seats)'!H13+'Shenyang – Overland out (seats)'!H14+'Shenyang – Overland out (seats)'!H15</f>
        <v/>
      </c>
      <c r="H5" s="70">
        <f>'Shenyang – Overland out (seats)'!K12+'Shenyang – Overland out (seats)'!K13+'Shenyang – Overland out (seats)'!K14+'Shenyang – Overland out (seats)'!K15</f>
        <v/>
      </c>
      <c r="I5" s="70">
        <f>'Shenyang – Overland out (seats)'!H39</f>
        <v/>
      </c>
      <c r="J5" s="124">
        <f>'Shenyang – Overland out (seats)'!H40</f>
        <v/>
      </c>
      <c r="K5" s="71" t="inlineStr">
        <is>
          <t>POOR</t>
        </is>
      </c>
      <c r="L5" s="123" t="inlineStr">
        <is>
          <t>Jeep fare and border hours not verified; missing 4654 at 12:45 costs a day</t>
        </is>
      </c>
    </row>
    <row r="6" ht="30" customHeight="1" s="56">
      <c r="A6" s="67" t="inlineStr">
        <is>
          <t>Shenyang – Overland out, berths</t>
        </is>
      </c>
      <c r="B6" s="68" t="inlineStr">
        <is>
          <t>Thu 12 Nov 16:40 (train)</t>
        </is>
      </c>
      <c r="C6" s="68" t="inlineStr">
        <is>
          <t>Sat 14 Nov 10:16</t>
        </is>
      </c>
      <c r="D6" s="69" t="inlineStr">
        <is>
          <t>2 (berths)</t>
        </is>
      </c>
      <c r="E6" s="68" t="n">
        <v>1</v>
      </c>
      <c r="F6" s="68">
        <f>('Shenyang – Overland out, berths'!H12+'Shenyang – Overland out, berths'!H13+'Shenyang – Overland out, berths'!H14+'Shenyang – Overland out, berths'!H15)/Compare!$B$6</f>
        <v/>
      </c>
      <c r="G6" s="69">
        <f>'Shenyang – Overland out, berths'!H12+'Shenyang – Overland out, berths'!H13+'Shenyang – Overland out, berths'!H14+'Shenyang – Overland out, berths'!H15</f>
        <v/>
      </c>
      <c r="H6" s="70">
        <f>'Shenyang – Overland out, berths'!K12+'Shenyang – Overland out, berths'!K13+'Shenyang – Overland out, berths'!K14+'Shenyang – Overland out, berths'!K15</f>
        <v/>
      </c>
      <c r="I6" s="70">
        <f>'Shenyang – Overland out, berths'!H39</f>
        <v/>
      </c>
      <c r="J6" s="124">
        <f>'Shenyang – Overland out, berths'!H40</f>
        <v/>
      </c>
      <c r="K6" s="71" t="inlineStr">
        <is>
          <t>POOR</t>
        </is>
      </c>
      <c r="L6" s="123" t="inlineStr">
        <is>
          <t>Same timing; platskart + T301 hard sleeper</t>
        </is>
      </c>
    </row>
    <row r="7" ht="30" customHeight="1" s="56">
      <c r="A7" s="67" t="inlineStr">
        <is>
          <t>Shenyang – Manzhouli seats</t>
        </is>
      </c>
      <c r="B7" s="68" t="inlineStr">
        <is>
          <t>Wed 11 Nov 13:20</t>
        </is>
      </c>
      <c r="C7" s="68" t="inlineStr">
        <is>
          <t>Thu 12 Nov 14:32</t>
        </is>
      </c>
      <c r="D7" s="69" t="inlineStr">
        <is>
          <t>1 (seat, 11 Nov)</t>
        </is>
      </c>
      <c r="E7" s="68" t="n">
        <v>3</v>
      </c>
      <c r="F7" s="68">
        <f>('Shenyang – Manzhouli seats'!H10+'Shenyang – Manzhouli seats'!H13+'Shenyang – Manzhouli seats'!H14+'Shenyang – Manzhouli seats'!H21)/Compare!$B$6</f>
        <v/>
      </c>
      <c r="G7" s="69">
        <f>'Shenyang – Manzhouli seats'!H10+'Shenyang – Manzhouli seats'!H13+'Shenyang – Manzhouli seats'!H14+'Shenyang – Manzhouli seats'!H21</f>
        <v/>
      </c>
      <c r="H7" s="70">
        <f>'Shenyang – Manzhouli seats'!K10+'Shenyang – Manzhouli seats'!K13+'Shenyang – Manzhouli seats'!K14+'Shenyang – Manzhouli seats'!K21</f>
        <v/>
      </c>
      <c r="I7" s="70">
        <f>'Shenyang – Manzhouli seats'!H38</f>
        <v/>
      </c>
      <c r="J7" s="124">
        <f>'Shenyang – Manzhouli seats'!H39</f>
        <v/>
      </c>
      <c r="K7" s="71" t="inlineStr">
        <is>
          <t>OK</t>
        </is>
      </c>
      <c r="L7" s="123" t="inlineStr">
        <is>
          <t>Hunnu flies Wed / Sat only; Manzhouli always needs an overnight train</t>
        </is>
      </c>
    </row>
    <row r="8" ht="30" customHeight="1" s="56">
      <c r="A8" s="67" t="inlineStr">
        <is>
          <t>Shenyang – Hunnu Daxing + K341</t>
        </is>
      </c>
      <c r="B8" s="68" t="inlineStr">
        <is>
          <t>Fri 13 Nov 17:55</t>
        </is>
      </c>
      <c r="C8" s="68" t="inlineStr">
        <is>
          <t>Sat 14 Nov 08:47</t>
        </is>
      </c>
      <c r="D8" s="69" t="inlineStr">
        <is>
          <t>1 (seat, eve of day 1)</t>
        </is>
      </c>
      <c r="E8" s="68" t="n">
        <v>1</v>
      </c>
      <c r="F8" s="68">
        <f>('Shenyang – Hunnu Daxing + K341'!H10+'Shenyang – Hunnu Daxing + K341'!H13+'Shenyang – Hunnu Daxing + K341'!H20)/Compare!$B$6</f>
        <v/>
      </c>
      <c r="G8" s="69">
        <f>'Shenyang – Hunnu Daxing + K341'!H10+'Shenyang – Hunnu Daxing + K341'!H13+'Shenyang – Hunnu Daxing + K341'!H20</f>
        <v/>
      </c>
      <c r="H8" s="70">
        <f>'Shenyang – Hunnu Daxing + K341'!K10+'Shenyang – Hunnu Daxing + K341'!K13+'Shenyang – Hunnu Daxing + K341'!K20</f>
        <v/>
      </c>
      <c r="I8" s="70">
        <f>'Shenyang – Hunnu Daxing + K341'!H37</f>
        <v/>
      </c>
      <c r="J8" s="124">
        <f>'Shenyang – Hunnu Daxing + K341'!H38</f>
        <v/>
      </c>
      <c r="K8" s="71" t="inlineStr">
        <is>
          <t>POOR</t>
        </is>
      </c>
      <c r="L8" s="123" t="inlineStr">
        <is>
          <t>~45 min spare between Daxing landing and K341</t>
        </is>
      </c>
    </row>
    <row r="9" ht="30" customHeight="1" s="56">
      <c r="A9" s="67" t="inlineStr">
        <is>
          <t>Shenyang – MIAT 13 Nov + K341</t>
        </is>
      </c>
      <c r="B9" s="68" t="inlineStr">
        <is>
          <t>Fri 13 Nov 17:15</t>
        </is>
      </c>
      <c r="C9" s="68" t="inlineStr">
        <is>
          <t>Sat 14 Nov 08:47</t>
        </is>
      </c>
      <c r="D9" s="69" t="inlineStr">
        <is>
          <t>1 (seat, eve of day 1)</t>
        </is>
      </c>
      <c r="E9" s="68" t="n">
        <v>1</v>
      </c>
      <c r="F9" s="68">
        <f>('Shenyang – MIAT 13 Nov + K341'!H10+'Shenyang – MIAT 13 Nov + K341'!H13+'Shenyang – MIAT 13 Nov + K341'!H20)/Compare!$B$6</f>
        <v/>
      </c>
      <c r="G9" s="69">
        <f>'Shenyang – MIAT 13 Nov + K341'!H10+'Shenyang – MIAT 13 Nov + K341'!H13+'Shenyang – MIAT 13 Nov + K341'!H20</f>
        <v/>
      </c>
      <c r="H9" s="70">
        <f>'Shenyang – MIAT 13 Nov + K341'!K10+'Shenyang – MIAT 13 Nov + K341'!K13+'Shenyang – MIAT 13 Nov + K341'!K20</f>
        <v/>
      </c>
      <c r="I9" s="70">
        <f>'Shenyang – MIAT 13 Nov + K341'!H37</f>
        <v/>
      </c>
      <c r="J9" s="124">
        <f>'Shenyang – MIAT 13 Nov + K341'!H38</f>
        <v/>
      </c>
      <c r="K9" s="71" t="inlineStr">
        <is>
          <t>POOR</t>
        </is>
      </c>
      <c r="L9" s="123" t="inlineStr"/>
    </row>
    <row r="10" ht="30" customHeight="1" s="56">
      <c r="A10" s="67" t="inlineStr">
        <is>
          <t>Shenyang – Hunnu Erenhot</t>
        </is>
      </c>
      <c r="B10" s="68" t="inlineStr">
        <is>
          <t>Fri 13 Nov 08:45</t>
        </is>
      </c>
      <c r="C10" s="68" t="inlineStr">
        <is>
          <t>Sat 14 Nov 10:16</t>
        </is>
      </c>
      <c r="D10" s="69" t="inlineStr">
        <is>
          <t>1 (seat, eve of day 1)</t>
        </is>
      </c>
      <c r="E10" s="68" t="n">
        <v>1</v>
      </c>
      <c r="F10" s="68">
        <f>('Shenyang – Hunnu Erenhot'!H10+'Shenyang – Hunnu Erenhot'!H13+'Shenyang – Hunnu Erenhot'!H14+'Shenyang – Hunnu Erenhot'!H21)/Compare!$B$6</f>
        <v/>
      </c>
      <c r="G10" s="69">
        <f>'Shenyang – Hunnu Erenhot'!H10+'Shenyang – Hunnu Erenhot'!H13+'Shenyang – Hunnu Erenhot'!H14+'Shenyang – Hunnu Erenhot'!H21</f>
        <v/>
      </c>
      <c r="H10" s="70">
        <f>'Shenyang – Hunnu Erenhot'!K10+'Shenyang – Hunnu Erenhot'!K13+'Shenyang – Hunnu Erenhot'!K14+'Shenyang – Hunnu Erenhot'!K21</f>
        <v/>
      </c>
      <c r="I10" s="70">
        <f>'Shenyang – Hunnu Erenhot'!H38</f>
        <v/>
      </c>
      <c r="J10" s="124">
        <f>'Shenyang – Hunnu Erenhot'!H39</f>
        <v/>
      </c>
      <c r="K10" s="71" t="inlineStr">
        <is>
          <t>POOR</t>
        </is>
      </c>
      <c r="L10" s="123" t="inlineStr">
        <is>
          <t>Same trains as overland; wake ~05:30</t>
        </is>
      </c>
    </row>
    <row r="11" ht="30" customHeight="1" s="56">
      <c r="A11" s="67" t="inlineStr">
        <is>
          <t>Shenyang – Hohhot red-eye</t>
        </is>
      </c>
      <c r="B11" s="68" t="inlineStr">
        <is>
          <t>Wed 11 Nov 22:25</t>
        </is>
      </c>
      <c r="C11" s="68" t="inlineStr">
        <is>
          <t>Fri 13 Nov 10:16</t>
        </is>
      </c>
      <c r="D11" s="69" t="inlineStr">
        <is>
          <t>1 (seat, 12 Nov)</t>
        </is>
      </c>
      <c r="E11" s="68" t="n">
        <v>2</v>
      </c>
      <c r="F11" s="68">
        <f>('Shenyang – Hohhot red-eye'!H10+'Shenyang – Hohhot red-eye'!H13+'Shenyang – Hohhot red-eye'!H16+'Shenyang – Hohhot red-eye'!H21)/Compare!$B$6</f>
        <v/>
      </c>
      <c r="G11" s="69">
        <f>'Shenyang – Hohhot red-eye'!H10+'Shenyang – Hohhot red-eye'!H13+'Shenyang – Hohhot red-eye'!H16+'Shenyang – Hohhot red-eye'!H21</f>
        <v/>
      </c>
      <c r="H11" s="70">
        <f>'Shenyang – Hohhot red-eye'!K10+'Shenyang – Hohhot red-eye'!K13+'Shenyang – Hohhot red-eye'!K16+'Shenyang – Hohhot red-eye'!K21</f>
        <v/>
      </c>
      <c r="I11" s="70">
        <f>'Shenyang – Hohhot red-eye'!H38</f>
        <v/>
      </c>
      <c r="J11" s="124">
        <f>'Shenyang – Hohhot red-eye'!H39</f>
        <v/>
      </c>
      <c r="K11" s="71" t="inlineStr">
        <is>
          <t>WATCH</t>
        </is>
      </c>
      <c r="L11" s="123" t="inlineStr">
        <is>
          <t>Hohhot hotel price is a guess</t>
        </is>
      </c>
    </row>
    <row r="12" ht="30" customHeight="1" s="56">
      <c r="A12" s="67" t="inlineStr">
        <is>
          <t>Shenyang – Budget</t>
        </is>
      </c>
      <c r="B12" s="68" t="inlineStr">
        <is>
          <t>Fri 13 Nov 17:15</t>
        </is>
      </c>
      <c r="C12" s="68" t="inlineStr">
        <is>
          <t>Sat 14 Nov 07:00</t>
        </is>
      </c>
      <c r="D12" s="69" t="inlineStr">
        <is>
          <t>1 (soft sleeper, eve of day 1)</t>
        </is>
      </c>
      <c r="E12" s="68" t="n">
        <v>1</v>
      </c>
      <c r="F12" s="68">
        <f>('Shenyang – Budget'!H10+'Shenyang – Budget'!H13)/Compare!$B$6</f>
        <v/>
      </c>
      <c r="G12" s="69">
        <f>'Shenyang – Budget'!H10+'Shenyang – Budget'!H13</f>
        <v/>
      </c>
      <c r="H12" s="70">
        <f>'Shenyang – Budget'!K10+'Shenyang – Budget'!K13</f>
        <v/>
      </c>
      <c r="I12" s="70">
        <f>'Shenyang – Budget'!H37</f>
        <v/>
      </c>
      <c r="J12" s="124">
        <f>'Shenyang – Budget'!H38</f>
        <v/>
      </c>
      <c r="K12" s="71" t="inlineStr">
        <is>
          <t>WATCH</t>
        </is>
      </c>
      <c r="L12" s="123" t="inlineStr">
        <is>
          <t>Older plan (30 Sep – 3 Oct prices): MIAT $150 + K53 soft sleeper</t>
        </is>
      </c>
    </row>
    <row r="13" ht="30" customHeight="1" s="56">
      <c r="A13" s="67" t="inlineStr">
        <is>
          <t>Shenyang – Sleep value</t>
        </is>
      </c>
      <c r="B13" s="68" t="inlineStr">
        <is>
          <t>Thu 12 Nov 11:50</t>
        </is>
      </c>
      <c r="C13" s="68" t="inlineStr">
        <is>
          <t>Thu 12 Nov 20:04</t>
        </is>
      </c>
      <c r="D13" s="69" t="inlineStr">
        <is>
          <t>0</t>
        </is>
      </c>
      <c r="E13" s="68" t="n">
        <v>3</v>
      </c>
      <c r="F13" s="68">
        <f>('Shenyang – Sleep value'!H10+'Shenyang – Sleep value'!H13+'Shenyang – Sleep value'!H20)/Compare!$B$6</f>
        <v/>
      </c>
      <c r="G13" s="69">
        <f>'Shenyang – Sleep value'!H10+'Shenyang – Sleep value'!H13+'Shenyang – Sleep value'!H20</f>
        <v/>
      </c>
      <c r="H13" s="70">
        <f>'Shenyang – Sleep value'!K10+'Shenyang – Sleep value'!K13+'Shenyang – Sleep value'!K20</f>
        <v/>
      </c>
      <c r="I13" s="70">
        <f>'Shenyang – Sleep value'!H37</f>
        <v/>
      </c>
      <c r="J13" s="124">
        <f>'Shenyang – Sleep value'!H38</f>
        <v/>
      </c>
      <c r="K13" s="71" t="inlineStr">
        <is>
          <t>BEST</t>
        </is>
      </c>
      <c r="L13" s="123" t="inlineStr">
        <is>
          <t>Current sleep-first plan: Air China ¥1,291 + G153</t>
        </is>
      </c>
    </row>
    <row r="15" ht="32" customHeight="1" s="56">
      <c r="A15" s="58" t="inlineStr">
        <is>
          <t>Manzhouli needs overnight travel: Hunnu lands 15:00 and there is no same-day flight or fast train on (Ctrip 22 Oct: all Manzhouli → Harbin / Shenyang flights stop overnight in Hohhot or Beijing). Without a night train it costs two extra hotel nights (Manzhouli + Harbin) and arrives 13 Nov.</t>
        </is>
      </c>
    </row>
  </sheetData>
  <mergeCells count="2">
    <mergeCell ref="A2:L2"/>
    <mergeCell ref="A15:L1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Sleeper</t>
        </is>
      </c>
    </row>
    <row r="2" ht="15" customHeight="1" s="56">
      <c r="A2" s="62" t="inlineStr">
        <is>
          <t>MIAT + high-speed rail out two days before; D8 overnight seat back to Beijing and Air China home on 7 Dec; two cheap rooms 1.8 km from the venue.</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seat</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60" customHeight="1" s="56">
      <c r="A14" s="81" t="n"/>
      <c r="B14" s="111" t="inlineStr">
        <is>
          <t>Overnight train D8 Shanghai 19:08 → Beijing 07:17 (+1), 2nd-class seat (after the contest)</t>
        </is>
      </c>
      <c r="C14" s="83" t="inlineStr">
        <is>
          <t>6 Dec (night)</t>
        </is>
      </c>
      <c r="D14" s="84" t="n">
        <v>0.50625</v>
      </c>
      <c r="E14" s="85" t="n">
        <v>361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D8 2nd-class seat ¥361 (sleeper ¥440, saves ¥79 pp); D6 21:15 → 09:25 ¥450 seat. After the contest sleep no longer matters. Arrives 07:17 (Beijing station) – plenty of time for the 12:55 flight. Sales open 22 Nov 14:45</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South</t>
        </is>
      </c>
      <c r="C20" s="83" t="inlineStr">
        <is>
          <t>3 Dec</t>
        </is>
      </c>
      <c r="D20" s="84" t="n"/>
      <c r="E20" s="113" t="n">
        <v>120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~120 CNY per car (~45 km); Airport Express + metro is ~40 CNY pp</t>
        </is>
      </c>
    </row>
    <row r="21" ht="30" customHeight="1" s="56">
      <c r="A21" s="81" t="n"/>
      <c r="B21" s="111" t="inlineStr">
        <is>
          <t>Taxi Shanghai station ↔ hotel (arrival and departure)</t>
        </is>
      </c>
      <c r="C21" s="83" t="inlineStr">
        <is>
          <t>3 &amp; 6 Dec</t>
        </is>
      </c>
      <c r="D21" s="84" t="n"/>
      <c r="E21" s="113" t="n">
        <v>80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~80 CNY per car, ~25 km each way</t>
        </is>
      </c>
    </row>
    <row r="22" ht="30" customHeight="1" s="56">
      <c r="A22" s="81" t="n"/>
      <c r="B22" s="111" t="inlineStr">
        <is>
          <t>Metro/taxi Beijing station → PEK</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metro line 2 + Airport Express ~35 CNY pp</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D10+D11+D13+D14</f>
        <v/>
      </c>
      <c r="K40" s="104">
        <f>D10+D11+D13+D14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MIAT nonstop + 4 h 35 min train is the cheapest way to reach Shanghai; arriving 3 Dec gives two rest days. The D8 seat replaces a hotel night.</t>
        </is>
      </c>
    </row>
    <row r="46" ht="15" customHeight="1" s="56">
      <c r="A46" s="75" t="inlineStr">
        <is>
          <t>Trade-off</t>
        </is>
      </c>
      <c r="B46" s="74" t="inlineStr">
        <is>
          <t>Baoshan is far from Shanghai station (~50 min); the train leaves right after the awards (19:08).</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Thu 3 Dec</t>
        </is>
      </c>
      <c r="B50" s="74" t="inlineStr">
        <is>
          <t>Shanghai</t>
        </is>
      </c>
      <c r="C50" s="74" t="inlineStr">
        <is>
          <t>MIAT OM223 UB 07:30 → Beijing 09:45; taxi to Beijing South; G17 13:00 → Shanghai 17:35; taxi to Hi Inn (Hutai Road).</t>
        </is>
      </c>
    </row>
    <row r="51" ht="15" customHeight="1" s="56">
      <c r="A51" s="74" t="inlineStr">
        <is>
          <t>Fri 4 Dec</t>
        </is>
      </c>
      <c r="B51" s="74" t="inlineStr">
        <is>
          <t>Shanghai</t>
        </is>
      </c>
      <c r="C51" s="74" t="inlineStr">
        <is>
          <t>Rest / practice day.</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Taxi to Shanghai station; D8 19:08 → Beijing 07:17.</t>
        </is>
      </c>
    </row>
    <row r="54" ht="15" customHeight="1" s="56">
      <c r="A54" s="74" t="inlineStr">
        <is>
          <t>Mon 7 Dec</t>
        </is>
      </c>
      <c r="B54" s="74" t="inlineStr">
        <is>
          <t>Home</t>
        </is>
      </c>
      <c r="C54" s="74" t="inlineStr">
        <is>
          <t>Beijing station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3 Dec</t>
        </is>
      </c>
      <c r="B58" s="105" t="inlineStr">
        <is>
          <t>Home → Chinggis Khaan airport</t>
        </is>
      </c>
      <c r="C58" s="82" t="inlineStr">
        <is>
          <t>Taxi (~50 km)</t>
        </is>
      </c>
      <c r="D58" s="104" t="n">
        <v>0.04166666666666666</v>
      </c>
      <c r="E58" s="106" t="inlineStr">
        <is>
          <t>Leave ~04:30 for 07:30 flight</t>
        </is>
      </c>
      <c r="F58" s="107" t="n"/>
      <c r="G58" s="107" t="n"/>
      <c r="H58" s="107" t="n"/>
      <c r="I58" s="107" t="n"/>
      <c r="J58" s="107" t="n"/>
      <c r="K58" s="107" t="n"/>
      <c r="L58" s="107" t="n"/>
    </row>
    <row r="59" ht="15" customHeight="1" s="56">
      <c r="A59" s="105" t="inlineStr">
        <is>
          <t>3 Dec</t>
        </is>
      </c>
      <c r="B59" s="105" t="inlineStr">
        <is>
          <t>Ulaanbaatar → Beijing (PEK)</t>
        </is>
      </c>
      <c r="C59" s="82" t="inlineStr">
        <is>
          <t>MIAT OM223 07:30–09:45</t>
        </is>
      </c>
      <c r="D59" s="104" t="n">
        <v>0.09375</v>
      </c>
      <c r="E59" s="106" t="inlineStr"/>
      <c r="F59" s="107" t="n"/>
      <c r="G59" s="107" t="n"/>
      <c r="H59" s="107" t="n"/>
      <c r="I59" s="107" t="n"/>
      <c r="J59" s="107" t="n"/>
      <c r="K59" s="107" t="n"/>
      <c r="L59" s="107" t="n"/>
    </row>
    <row r="60" ht="15" customHeight="1" s="56">
      <c r="A60" s="105" t="inlineStr">
        <is>
          <t>3 Dec</t>
        </is>
      </c>
      <c r="B60" s="105" t="inlineStr">
        <is>
          <t>PEK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3 Dec</t>
        </is>
      </c>
      <c r="B61" s="105" t="inlineStr">
        <is>
          <t>PEK → Beijing South</t>
        </is>
      </c>
      <c r="C61" s="82" t="inlineStr">
        <is>
          <t>Taxi / Airport Express + metro</t>
        </is>
      </c>
      <c r="D61" s="104" t="n">
        <v>0.04166666666666666</v>
      </c>
      <c r="E61" s="106" t="inlineStr">
        <is>
          <t>Estimate; arrive by ~12:00</t>
        </is>
      </c>
      <c r="F61" s="107" t="n"/>
      <c r="G61" s="107" t="n"/>
      <c r="H61" s="107" t="n"/>
      <c r="I61" s="107" t="n"/>
      <c r="J61" s="107" t="n"/>
      <c r="K61" s="107" t="n"/>
      <c r="L61" s="107" t="n"/>
    </row>
    <row r="62" ht="15" customHeight="1" s="56">
      <c r="A62" s="105" t="inlineStr">
        <is>
          <t>3 Dec</t>
        </is>
      </c>
      <c r="B62" s="105" t="inlineStr">
        <is>
          <t>Beijing South → Shanghai</t>
        </is>
      </c>
      <c r="C62" s="82" t="inlineStr">
        <is>
          <t>G17 13:00–17:35</t>
        </is>
      </c>
      <c r="D62" s="104" t="n">
        <v>0.1909722222222222</v>
      </c>
      <c r="E62" s="106" t="inlineStr"/>
      <c r="F62" s="107" t="n"/>
      <c r="G62" s="107" t="n"/>
      <c r="H62" s="107" t="n"/>
      <c r="I62" s="107" t="n"/>
      <c r="J62" s="107" t="n"/>
      <c r="K62" s="107" t="n"/>
      <c r="L62" s="107" t="n"/>
    </row>
    <row r="63" ht="15" customHeight="1" s="56">
      <c r="A63" s="105" t="inlineStr">
        <is>
          <t>3 Dec</t>
        </is>
      </c>
      <c r="B63" s="105" t="inlineStr">
        <is>
          <t>Shanghai station → hotel (Baoshan)</t>
        </is>
      </c>
      <c r="C63" s="82" t="inlineStr">
        <is>
          <t>Taxi / metro</t>
        </is>
      </c>
      <c r="D63" s="104" t="n">
        <v>0.03472222222222222</v>
      </c>
      <c r="E63" s="106" t="inlineStr">
        <is>
          <t>Estimate</t>
        </is>
      </c>
      <c r="F63" s="107" t="n"/>
      <c r="G63" s="107" t="n"/>
      <c r="H63" s="107" t="n"/>
      <c r="I63" s="107" t="n"/>
      <c r="J63" s="107" t="n"/>
      <c r="K63" s="107" t="n"/>
      <c r="L63" s="107" t="n"/>
    </row>
    <row r="64" ht="15" customHeight="1" s="56">
      <c r="A64" s="105" t="inlineStr">
        <is>
          <t>5–6 Dec</t>
        </is>
      </c>
      <c r="B64" s="105" t="inlineStr">
        <is>
          <t>Hotel ↔ Shanghai University Baoshan (each way)</t>
        </is>
      </c>
      <c r="C64" s="82" t="inlineStr">
        <is>
          <t>Walk</t>
        </is>
      </c>
      <c r="D64" s="104" t="inlineStr">
        <is>
          <t>daily</t>
        </is>
      </c>
      <c r="E64" s="106" t="inlineStr">
        <is>
          <t>~25 min walk (Hi Inn 1.8 km) or a ¥15 taxi</t>
        </is>
      </c>
      <c r="F64" s="107" t="n"/>
      <c r="G64" s="107" t="n"/>
      <c r="H64" s="107" t="n"/>
      <c r="I64" s="107" t="n"/>
      <c r="J64" s="107" t="n"/>
      <c r="K64" s="107" t="n"/>
      <c r="L64" s="107" t="n"/>
    </row>
    <row r="65" ht="15" customHeight="1" s="56">
      <c r="A65" s="105" t="inlineStr">
        <is>
          <t>6 Dec</t>
        </is>
      </c>
      <c r="B65" s="105" t="inlineStr">
        <is>
          <t>Campus → Shanghai station</t>
        </is>
      </c>
      <c r="C65" s="82" t="inlineStr">
        <is>
          <t>Taxi / metro</t>
        </is>
      </c>
      <c r="D65" s="104" t="n">
        <v>0.03472222222222222</v>
      </c>
      <c r="E65" s="106" t="inlineStr">
        <is>
          <t>Leave ~17:30 for the 19:08 train</t>
        </is>
      </c>
      <c r="F65" s="107" t="n"/>
      <c r="G65" s="107" t="n"/>
      <c r="H65" s="107" t="n"/>
      <c r="I65" s="107" t="n"/>
      <c r="J65" s="107" t="n"/>
      <c r="K65" s="107" t="n"/>
      <c r="L65" s="107" t="n"/>
    </row>
    <row r="66" ht="15" customHeight="1" s="56">
      <c r="A66" s="105" t="inlineStr">
        <is>
          <t>6–7 Dec</t>
        </is>
      </c>
      <c r="B66" s="105" t="inlineStr">
        <is>
          <t>Shanghai → Beijing</t>
        </is>
      </c>
      <c r="C66" s="82" t="inlineStr">
        <is>
          <t>D8 seat 19:08–07:17</t>
        </is>
      </c>
      <c r="D66" s="104" t="n">
        <v>0.50625</v>
      </c>
      <c r="E66" s="106" t="inlineStr">
        <is>
          <t>Overnight</t>
        </is>
      </c>
      <c r="F66" s="107" t="n"/>
      <c r="G66" s="107" t="n"/>
      <c r="H66" s="107" t="n"/>
      <c r="I66" s="107" t="n"/>
      <c r="J66" s="107" t="n"/>
      <c r="K66" s="107" t="n"/>
      <c r="L66" s="107" t="n"/>
    </row>
    <row r="67" ht="15" customHeight="1" s="56">
      <c r="A67" s="105" t="inlineStr">
        <is>
          <t>7 Dec</t>
        </is>
      </c>
      <c r="B67" s="105" t="inlineStr">
        <is>
          <t>Beijing station → PEK</t>
        </is>
      </c>
      <c r="C67" s="82" t="inlineStr">
        <is>
          <t>Metro line 2 + Airport Express</t>
        </is>
      </c>
      <c r="D67" s="104" t="n">
        <v>0.04166666666666666</v>
      </c>
      <c r="E67" s="106" t="inlineStr">
        <is>
          <t>Be at PEK by ~10:55</t>
        </is>
      </c>
      <c r="F67" s="107" t="n"/>
      <c r="G67" s="107" t="n"/>
      <c r="H67" s="107" t="n"/>
      <c r="I67" s="107" t="n"/>
      <c r="J67" s="107" t="n"/>
      <c r="K67" s="107" t="n"/>
      <c r="L67" s="107" t="n"/>
    </row>
    <row r="68" ht="15" customHeight="1" s="56">
      <c r="A68" s="105" t="inlineStr">
        <is>
          <t>7 Dec</t>
        </is>
      </c>
      <c r="B68" s="105" t="inlineStr">
        <is>
          <t>Beijing (PEK) → Ulaanbaatar</t>
        </is>
      </c>
      <c r="C68" s="82" t="inlineStr">
        <is>
          <t>Air China CA955 12:55–15:05</t>
        </is>
      </c>
      <c r="D68" s="104" t="n">
        <v>0.09027777777777778</v>
      </c>
      <c r="E68" s="106" t="inlineStr"/>
      <c r="F68" s="107" t="n"/>
      <c r="G68" s="107" t="n"/>
      <c r="H68" s="107" t="n"/>
      <c r="I68" s="107" t="n"/>
      <c r="J68" s="107" t="n"/>
      <c r="K68" s="107" t="n"/>
      <c r="L68" s="107" t="n"/>
    </row>
    <row r="69" ht="15" customHeight="1" s="56">
      <c r="A69" s="105" t="inlineStr">
        <is>
          <t>7 Dec</t>
        </is>
      </c>
      <c r="B69" s="105" t="inlineStr">
        <is>
          <t>Chinggis Khaan airport → home</t>
        </is>
      </c>
      <c r="C69" s="82" t="inlineStr">
        <is>
          <t>Taxi</t>
        </is>
      </c>
      <c r="D69" s="104" t="n">
        <v>0.04166666666666666</v>
      </c>
      <c r="E69" s="106" t="inlineStr"/>
      <c r="F69" s="107" t="n"/>
      <c r="G69" s="107" t="n"/>
      <c r="H69" s="107" t="n"/>
      <c r="I69" s="107" t="n"/>
      <c r="J69" s="107" t="n"/>
      <c r="K69" s="107" t="n"/>
      <c r="L69" s="107" t="n"/>
    </row>
    <row r="71" ht="15" customHeight="1" s="56">
      <c r="C71" s="59" t="inlineStr">
        <is>
          <t>Total door-to-door</t>
        </is>
      </c>
      <c r="D71" s="109">
        <f>SUM(D58:D69)</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Spring nonstop</t>
        </is>
      </c>
    </row>
    <row r="2" ht="15" customHeight="1" s="56">
      <c r="A2" s="62" t="inlineStr">
        <is>
          <t>Spring Airlines nonstop UB ⇄ Pudong on Tuesdays (1 Dec out, 8 Dec back): no rail, a week away; hotel ~1 km from the venue.</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Jenny's Apartment (~1 km to Shanghai University Baoshan; 3 ppl 1 room; 4 ppl 2 rooms)</t>
        </is>
      </c>
      <c r="C14" s="83" t="inlineStr">
        <is>
          <t>1–8 Dec (7 nights)</t>
        </is>
      </c>
      <c r="D14" s="81" t="n"/>
      <c r="E14" s="85" t="n">
        <v>426.29</v>
      </c>
      <c r="F14" s="86" t="inlineStr">
        <is>
          <t>CNY</t>
        </is>
      </c>
      <c r="G14" s="91" t="n">
        <v>7</v>
      </c>
      <c r="H14" s="88">
        <f>E14*G14*IF(F14="USD",Compare!$B$8,IF(F14="CNY",Compare!$B$9,IF(F14="HKD",Compare!$B$10,1)))</f>
        <v/>
      </c>
      <c r="I14" s="85" t="n">
        <v>538</v>
      </c>
      <c r="J14" s="91" t="n">
        <v>7</v>
      </c>
      <c r="K14" s="88">
        <f>I14*J14*IF(F14="USD",Compare!$B$8,IF(F14="CNY",Compare!$B$9,IF(F14="HKD",Compare!$B$10,1)))</f>
        <v/>
      </c>
      <c r="L14" s="112" t="inlineStr">
        <is>
          <t>Booking.com 9 Oct: ¥2,984 (3 ppl) / ¥3,766 (4 ppl, 2 rooms) for 7 nights. Budget alternative: Holiday Inn Express Gongkang ~4.7 km, 8.5: ¥2,103 for 7 nights (3 ppl). Trip.com 10 Oct, 7 nights: Zsmart Zhishang (740 m, 8.3) ¥3,073 / Netfish e-sports (9.8) ¥3,488 (3 ppl), ¥4,097 (4 ppl); Yibai Hotel Gucun Park (5.2 km, 7.9) ¥1,456</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Book soon – these are sale fares.</t>
        </is>
      </c>
    </row>
    <row r="42" ht="15" customHeight="1" s="56">
      <c r="A42" s="75" t="inlineStr">
        <is>
          <t>Trade-off</t>
        </is>
      </c>
      <c r="B42" s="74" t="inlineStr">
        <is>
          <t>Seven nights away (more class missed, more hotel and meals), hand-baggage-only fare (carry-on only saves ~₮1.0M), a 08:00 flight home from Pudong (leave the hotel ~05:00).</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Jenny's Apartment.</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Local times (China is 1 h behind UB... see note)</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~15 min walk</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L65"/>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Nonstop cheap rooms</t>
        </is>
      </c>
    </row>
    <row r="2" ht="15" customHeight="1" s="56">
      <c r="A2" s="62" t="inlineStr">
        <is>
          <t>Spring Airlines nonstops both ways (1 Dec out, 8 Dec back) as in 'Spring nonstop', but two cheap private rooms 1.8 km from the venue (Hi Inn 8.9 / Jtour Inn 8.6) instead of the apartment: 7 nights ¥1,784 / ¥1,652 instead of ¥2,984 / ¥3,766.</t>
        </is>
      </c>
    </row>
    <row r="4" ht="15" customHeight="1" s="56">
      <c r="A4" s="60" t="inlineStr">
        <is>
          <t>Days in destination (meals &amp; local transport)</t>
        </is>
      </c>
      <c r="B4" s="76" t="n">
        <v>7</v>
      </c>
      <c r="C4" s="62" t="inlineStr">
        <is>
          <t>1 Dec afternoon → 8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(lowest seen $149). Flies Tue/Sat only; Sat 5 Dec would land 17:00 after registration closes</t>
        </is>
      </c>
    </row>
    <row r="11" ht="30" customHeight="1" s="56">
      <c r="A11" s="81" t="n"/>
      <c r="B11" s="111" t="inlineStr">
        <is>
          <t>Spring Airlines 9C6519 Shanghai Pudong (PVG) → Ulaanbaatar, nonstop 08:00–12:00</t>
        </is>
      </c>
      <c r="C11" s="83" t="inlineStr">
        <is>
          <t>8 Dec (Tue)</t>
        </is>
      </c>
      <c r="D11" s="84" t="n">
        <v>0.1666666666666667</v>
      </c>
      <c r="E11" s="85" t="n">
        <v>153</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SlickTrip 10 Oct: $153 pp (Trip.com $159; lowest seen $122)</t>
        </is>
      </c>
    </row>
    <row r="12" ht="45" customHeight="1" s="56">
      <c r="A12" s="81" t="n"/>
      <c r="B12" s="111" t="inlineStr">
        <is>
          <t>Checked baggage Spring Airlines (base fare = 1 hand bag only), 1 bag per person each way</t>
        </is>
      </c>
      <c r="C12" s="83" t="inlineStr">
        <is>
          <t>1 &amp; 8 Dec</t>
        </is>
      </c>
      <c r="D12" s="84" t="n"/>
      <c r="E12" s="113" t="n">
        <v>300</v>
      </c>
      <c r="F12" s="86" t="inlineStr">
        <is>
          <t>CNY</t>
        </is>
      </c>
      <c r="G12" s="87">
        <f>Compare!$B$6*2</f>
        <v/>
      </c>
      <c r="H12" s="88">
        <f>E12*G12*IF(F12="USD",Compare!$B$8,IF(F12="CNY",Compare!$B$9,IF(F12="HKD",Compare!$B$10,1)))</f>
        <v/>
      </c>
      <c r="I12" s="114">
        <f>E12</f>
        <v/>
      </c>
      <c r="J12" s="87">
        <f>Compare!$B$7*2</f>
        <v/>
      </c>
      <c r="K12" s="88">
        <f>I12*J12*IF(F12="USD",Compare!$B$8,IF(F12="CNY",Compare!$B$9,IF(F12="HKD",Compare!$B$10,1)))</f>
        <v/>
      </c>
      <c r="L12" s="112" t="inlineStr">
        <is>
          <t>ASSUMPTION ~300 CNY per checked bag per direction (Spring sells bags from ~80–200 CNY online at booking, more at the airport)</t>
        </is>
      </c>
    </row>
    <row r="13" ht="15" customHeight="1" s="56">
      <c r="A13" s="79" t="inlineStr">
        <is>
          <t>Accommodation</t>
        </is>
      </c>
      <c r="B13" s="80" t="n"/>
      <c r="C13" s="80" t="n"/>
      <c r="D13" s="80" t="n"/>
      <c r="E13" s="80" t="n"/>
      <c r="F13" s="80" t="n"/>
      <c r="G13" s="80" t="n"/>
      <c r="H13" s="80" t="n"/>
      <c r="I13" s="80" t="n"/>
      <c r="J13" s="80" t="n"/>
      <c r="K13" s="80" t="n"/>
      <c r="L13" s="80" t="n"/>
    </row>
    <row r="14" ht="90" customHeight="1" s="56">
      <c r="A14" s="81" t="n"/>
      <c r="B14" s="111" t="inlineStr">
        <is>
          <t>Hi Inn Shanghai University Hutai Road (1.8 km, 8.9) – 3 ppl: 2 rooms (2 + 1 beds); 4 ppl: Jtour Inn Hotel Shanghai University (1.8 km, 8.6), 2 rooms of 2</t>
        </is>
      </c>
      <c r="C14" s="83" t="inlineStr">
        <is>
          <t>1–8 Dec (7 nights)</t>
        </is>
      </c>
      <c r="D14" s="81" t="n"/>
      <c r="E14" s="85">
        <f>1784/7</f>
        <v/>
      </c>
      <c r="F14" s="86" t="inlineStr">
        <is>
          <t>CNY</t>
        </is>
      </c>
      <c r="G14" s="91" t="n">
        <v>7</v>
      </c>
      <c r="H14" s="88">
        <f>E14*G14*IF(F14="USD",Compare!$B$8,IF(F14="CNY",Compare!$B$9,IF(F14="HKD",Compare!$B$10,1)))</f>
        <v/>
      </c>
      <c r="I14" s="85">
        <f>1652/7</f>
        <v/>
      </c>
      <c r="J14" s="91" t="n">
        <v>7</v>
      </c>
      <c r="K14" s="88">
        <f>I14*J14*IF(F14="USD",Compare!$B$8,IF(F14="CNY",Compare!$B$9,IF(F14="HKD",Compare!$B$10,1)))</f>
        <v/>
      </c>
      <c r="L14" s="112" t="inlineStr">
        <is>
          <t>Trip.com 10 Oct (Shanghai University landmark, Hotel + private-bathroom filters, lowest price first): Hi Inn Shanghai University Hutai Road (1.8 km walk, 8.9 from 423 reviews, Comfort Twin Room with fresh-air system) ¥1,784 for 7 nights, 2 rooms, for 3 ppl; Jtour Inn Hotel Shanghai University (1.8 km, 8.6 from 142 reviews) ¥1,652 for 4 ppl (2 rooms of 2; it is not offered for 3 adults). Cheaper but worse: Yibai Gucun Park (5.2 km, 7.9) ¥1,456, Boshi Changzhong Rd (2.5 km, 8.2) ¥1,568. Compare Jenny's Apartment, 1 room for 3: ¥2,984.</t>
        </is>
      </c>
    </row>
    <row r="15" ht="15" customHeight="1" s="56">
      <c r="A15" s="79" t="inlineStr">
        <is>
          <t>Meals &amp; local transport</t>
        </is>
      </c>
      <c r="B15" s="80" t="n"/>
      <c r="C15" s="80" t="n"/>
      <c r="D15" s="80" t="n"/>
      <c r="E15" s="80" t="n"/>
      <c r="F15" s="80" t="n"/>
      <c r="G15" s="80" t="n"/>
      <c r="H15" s="80" t="n"/>
      <c r="I15" s="80" t="n"/>
      <c r="J15" s="80" t="n"/>
      <c r="K15" s="80" t="n"/>
      <c r="L15" s="80" t="n"/>
    </row>
    <row r="16" ht="30" customHeight="1" s="56">
      <c r="A16" s="81" t="n"/>
      <c r="B16" s="111" t="inlineStr">
        <is>
          <t>Meals</t>
        </is>
      </c>
      <c r="C16" s="83" t="inlineStr">
        <is>
          <t>in destination</t>
        </is>
      </c>
      <c r="D16" s="81" t="n"/>
      <c r="E16" s="113" t="n">
        <v>80</v>
      </c>
      <c r="F16" s="86" t="inlineStr">
        <is>
          <t>CNY</t>
        </is>
      </c>
      <c r="G16" s="87">
        <f>Compare!$B$6*$B$4</f>
        <v/>
      </c>
      <c r="H16" s="88">
        <f>E16*G16*IF(F16="USD",Compare!$B$8,IF(F16="CNY",Compare!$B$9,IF(F16="HKD",Compare!$B$10,1)))</f>
        <v/>
      </c>
      <c r="I16" s="114">
        <f>E16</f>
        <v/>
      </c>
      <c r="J16" s="87">
        <f>Compare!$B$7*$B$4</f>
        <v/>
      </c>
      <c r="K16" s="88">
        <f>I16*J16*IF(F16="USD",Compare!$B$8,IF(F16="CNY",Compare!$B$9,IF(F16="HKD",Compare!$B$10,1)))</f>
        <v/>
      </c>
      <c r="L16" s="112" t="inlineStr">
        <is>
          <t>ASSUMPTION 80 CNY/person/day; hosts usually provide some meals on contest days</t>
        </is>
      </c>
    </row>
    <row r="17" ht="15" customHeight="1" s="56">
      <c r="A17" s="81" t="n"/>
      <c r="B17" s="111" t="inlineStr">
        <is>
          <t>Local transport (metro, taxis)</t>
        </is>
      </c>
      <c r="C17" s="83" t="inlineStr">
        <is>
          <t>in destination</t>
        </is>
      </c>
      <c r="D17" s="81" t="n"/>
      <c r="E17" s="113" t="n">
        <v>30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30 CNY/person/day</t>
        </is>
      </c>
    </row>
    <row r="18" ht="30" customHeight="1" s="56">
      <c r="A18" s="81" t="n"/>
      <c r="B18" s="111" t="inlineStr">
        <is>
          <t>Taxi PVG ↔ hotel (Baoshan), arrival and departure</t>
        </is>
      </c>
      <c r="C18" s="83" t="inlineStr">
        <is>
          <t>1 &amp; 8 Dec</t>
        </is>
      </c>
      <c r="D18" s="84" t="n"/>
      <c r="E18" s="113" t="n">
        <v>220</v>
      </c>
      <c r="F18" s="86" t="inlineStr">
        <is>
          <t>CNY</t>
        </is>
      </c>
      <c r="G18" s="91" t="n">
        <v>2</v>
      </c>
      <c r="H18" s="88">
        <f>E18*G18*IF(F18="USD",Compare!$B$8,IF(F18="CNY",Compare!$B$9,IF(F18="HKD",Compare!$B$10,1)))</f>
        <v/>
      </c>
      <c r="I18" s="114">
        <f>E18</f>
        <v/>
      </c>
      <c r="J18" s="91" t="n">
        <v>2</v>
      </c>
      <c r="K18" s="88">
        <f>I18*J18*IF(F18="USD",Compare!$B$8,IF(F18="CNY",Compare!$B$9,IF(F18="HKD",Compare!$B$10,1)))</f>
        <v/>
      </c>
      <c r="L18" s="112" t="inlineStr">
        <is>
          <t>ASSUMPTION ~220 CNY per car, ~65 km each way (metro lines 2 + 7 ~2 h, ~10 CNY)</t>
        </is>
      </c>
    </row>
    <row r="19" ht="15" customHeight="1" s="56">
      <c r="A19" s="94" t="inlineStr">
        <is>
          <t>PAID PERSONALLY (university won't cover)</t>
        </is>
      </c>
      <c r="B19" s="95" t="n"/>
      <c r="C19" s="95" t="n"/>
      <c r="D19" s="95" t="n"/>
      <c r="E19" s="95" t="n"/>
      <c r="F19" s="95" t="n"/>
      <c r="G19" s="95" t="n"/>
      <c r="H19" s="95" t="n"/>
      <c r="I19" s="95" t="n"/>
      <c r="J19" s="95" t="n"/>
      <c r="K19" s="95" t="n"/>
      <c r="L19" s="95" t="n"/>
    </row>
    <row r="20" ht="15" customHeight="1" s="56">
      <c r="A20" s="79" t="inlineStr">
        <is>
          <t>Contest fee</t>
        </is>
      </c>
      <c r="B20" s="80" t="n"/>
      <c r="C20" s="80" t="n"/>
      <c r="D20" s="80" t="n"/>
      <c r="E20" s="80" t="n"/>
      <c r="F20" s="80" t="n"/>
      <c r="G20" s="80" t="n"/>
      <c r="H20" s="80" t="n"/>
      <c r="I20" s="80" t="n"/>
      <c r="J20" s="80" t="n"/>
      <c r="K20" s="80" t="n"/>
      <c r="L20" s="80" t="n"/>
    </row>
    <row r="21" ht="22.35" customHeight="1" s="56">
      <c r="A21" s="81" t="n"/>
      <c r="B21" s="82" t="inlineStr">
        <is>
          <t>Shanghai regional registration fee (per team)</t>
        </is>
      </c>
      <c r="C21" s="83" t="inlineStr">
        <is>
          <t>TBC</t>
        </is>
      </c>
      <c r="D21" s="81" t="n"/>
      <c r="E21" s="113" t="n">
        <v>1500</v>
      </c>
      <c r="F21" s="86" t="inlineStr">
        <is>
          <t>CNY</t>
        </is>
      </c>
      <c r="G21" s="91" t="n">
        <v>1</v>
      </c>
      <c r="H21" s="88">
        <f>E21*G21*IF(F21="USD",Compare!$B$8,IF(F21="CNY",Compare!$B$9,IF(F21="HKD",Compare!$B$10,1)))</f>
        <v/>
      </c>
      <c r="I21" s="114">
        <f>E21</f>
        <v/>
      </c>
      <c r="J21" s="91" t="n">
        <v>1</v>
      </c>
      <c r="K21" s="88">
        <f>I21*J21*IF(F21="USD",Compare!$B$8,IF(F21="CNY",Compare!$B$9,IF(F21="HKD",Compare!$B$10,1)))</f>
        <v/>
      </c>
      <c r="L21" s="90" t="inlineStr">
        <is>
          <t>¥1,500/team in the 2025 Shanghai invitation (shu_icpc); 2026 invitation not seen</t>
        </is>
      </c>
    </row>
    <row r="22" ht="15" customHeight="1" s="56">
      <c r="A22" s="79" t="inlineStr">
        <is>
          <t>Other</t>
        </is>
      </c>
      <c r="B22" s="80" t="n"/>
      <c r="C22" s="80" t="n"/>
      <c r="D22" s="80" t="n"/>
      <c r="E22" s="80" t="n"/>
      <c r="F22" s="80" t="n"/>
      <c r="G22" s="80" t="n"/>
      <c r="H22" s="80" t="n"/>
      <c r="I22" s="80" t="n"/>
      <c r="J22" s="80" t="n"/>
      <c r="K22" s="80" t="n"/>
      <c r="L22" s="80" t="n"/>
    </row>
    <row r="23" ht="15" customHeight="1" s="56">
      <c r="A23" s="81" t="n"/>
      <c r="B23" s="82" t="inlineStr">
        <is>
          <t>Taxi to/from Chinggis Khaan airport (UB), per trip</t>
        </is>
      </c>
      <c r="C23" s="83" t="inlineStr">
        <is>
          <t>out &amp; back</t>
        </is>
      </c>
      <c r="D23" s="84" t="n">
        <v>0.04166666666666666</v>
      </c>
      <c r="E23" s="92" t="n">
        <v>100000</v>
      </c>
      <c r="F23" s="86" t="inlineStr">
        <is>
          <t>MNT</t>
        </is>
      </c>
      <c r="G23" s="91" t="n">
        <v>2</v>
      </c>
      <c r="H23" s="88">
        <f>E23*G23*IF(F23="USD",Compare!$B$8,IF(F23="CNY",Compare!$B$9,IF(F23="HKD",Compare!$B$10,1)))</f>
        <v/>
      </c>
      <c r="I23" s="93">
        <f>E23</f>
        <v/>
      </c>
      <c r="J23" s="91" t="n">
        <v>2</v>
      </c>
      <c r="K23" s="88">
        <f>I23*J23*IF(F23="USD",Compare!$B$8,IF(F23="CNY",Compare!$B$9,IF(F23="HKD",Compare!$B$10,1)))</f>
        <v/>
      </c>
      <c r="L23" s="90" t="inlineStr">
        <is>
          <t>ASSUMPTION 100k MNT per trip for the group</t>
        </is>
      </c>
    </row>
    <row r="24" ht="15" customHeight="1" s="56">
      <c r="A24" s="81" t="n"/>
      <c r="B24" s="82" t="inlineStr">
        <is>
          <t>Travel medical insurance</t>
        </is>
      </c>
      <c r="C24" s="83" t="n"/>
      <c r="D24" s="81" t="n"/>
      <c r="E24" s="92" t="n">
        <v>30000</v>
      </c>
      <c r="F24" s="86" t="inlineStr">
        <is>
          <t>MNT</t>
        </is>
      </c>
      <c r="G24" s="87">
        <f>Compare!$B$6</f>
        <v/>
      </c>
      <c r="H24" s="88">
        <f>E24*G24*IF(F24="USD",Compare!$B$8,IF(F24="CNY",Compare!$B$9,IF(F24="HKD",Compare!$B$10,1)))</f>
        <v/>
      </c>
      <c r="I24" s="93">
        <f>E24</f>
        <v/>
      </c>
      <c r="J24" s="87">
        <f>Compare!$B$7</f>
        <v/>
      </c>
      <c r="K24" s="88">
        <f>I24*J24*IF(F24="USD",Compare!$B$8,IF(F24="CNY",Compare!$B$9,IF(F24="HKD",Compare!$B$10,1)))</f>
        <v/>
      </c>
      <c r="L24" s="90" t="inlineStr">
        <is>
          <t>ASSUMPTION ~30k MNT per person, Mongolian insurer</t>
        </is>
      </c>
    </row>
    <row r="25" ht="15" customHeight="1" s="56">
      <c r="A25" s="81" t="n"/>
      <c r="B25" s="82" t="inlineStr">
        <is>
          <t>Mobile data eSIM</t>
        </is>
      </c>
      <c r="C25" s="83" t="n"/>
      <c r="D25" s="81" t="n"/>
      <c r="E25" s="92" t="n">
        <v>10</v>
      </c>
      <c r="F25" s="86" t="inlineStr">
        <is>
          <t>USD</t>
        </is>
      </c>
      <c r="G25" s="87">
        <f>Compare!$B$6</f>
        <v/>
      </c>
      <c r="H25" s="88">
        <f>E25*G25*IF(F25="USD",Compare!$B$8,IF(F25="CNY",Compare!$B$9,IF(F25="HKD",Compare!$B$10,1)))</f>
        <v/>
      </c>
      <c r="I25" s="93">
        <f>E25</f>
        <v/>
      </c>
      <c r="J25" s="87">
        <f>Compare!$B$7</f>
        <v/>
      </c>
      <c r="K25" s="88">
        <f>I25*J25*IF(F25="USD",Compare!$B$8,IF(F25="CNY",Compare!$B$9,IF(F25="HKD",Compare!$B$10,1)))</f>
        <v/>
      </c>
      <c r="L25" s="90" t="inlineStr">
        <is>
          <t>ASSUMPTION ~$10 pp</t>
        </is>
      </c>
    </row>
    <row r="26" ht="22.35" customHeight="1" s="56">
      <c r="A26" s="81" t="n"/>
      <c r="B26" s="82" t="inlineStr">
        <is>
          <t>Visa</t>
        </is>
      </c>
      <c r="C26" s="83" t="n"/>
      <c r="D26" s="81" t="n"/>
      <c r="E26" s="85" t="n">
        <v>0</v>
      </c>
      <c r="F26" s="86" t="inlineStr">
        <is>
          <t>MNT</t>
        </is>
      </c>
      <c r="G26" s="87">
        <f>Compare!$B$6</f>
        <v/>
      </c>
      <c r="H26" s="88">
        <f>E26*G26*IF(F26="USD",Compare!$B$8,IF(F26="CNY",Compare!$B$9,IF(F26="HKD",Compare!$B$10,1)))</f>
        <v/>
      </c>
      <c r="I26" s="89">
        <f>E26</f>
        <v/>
      </c>
      <c r="J26" s="87">
        <f>Compare!$B$7</f>
        <v/>
      </c>
      <c r="K26" s="88">
        <f>I26*J26*IF(F26="USD",Compare!$B$8,IF(F26="CNY",Compare!$B$9,IF(F26="HKD",Compare!$B$10,1)))</f>
        <v/>
      </c>
      <c r="L26" s="90" t="inlineStr">
        <is>
          <t>Mongolian passports: visa-free (mainland China up to 30 days; Hong Kong up to 14 days)</t>
        </is>
      </c>
    </row>
    <row r="28" ht="15" customHeight="1" s="56">
      <c r="G28" s="60" t="n"/>
      <c r="H28" s="96" t="inlineStr">
        <is>
          <t>3 people – UNFUNDED</t>
        </is>
      </c>
      <c r="K28" s="96" t="inlineStr">
        <is>
          <t>4 people – FUNDED ₮12M</t>
        </is>
      </c>
    </row>
    <row r="29" ht="15" customHeight="1" s="56">
      <c r="G29" s="97" t="inlineStr">
        <is>
          <t>University-paid subtotal</t>
        </is>
      </c>
      <c r="H29" s="98">
        <f>SUM(H9:H18)</f>
        <v/>
      </c>
      <c r="K29" s="98">
        <f>SUM(K9:K18)</f>
        <v/>
      </c>
    </row>
    <row r="30" ht="15" customHeight="1" s="56">
      <c r="G30" s="99" t="inlineStr">
        <is>
          <t>Contingency</t>
        </is>
      </c>
      <c r="H30" s="100">
        <f>H29*Compare!$B$11</f>
        <v/>
      </c>
      <c r="K30" s="100">
        <f>K29*Compare!$B$11</f>
        <v/>
      </c>
    </row>
    <row r="31" ht="15" customHeight="1" s="56">
      <c r="G31" s="97" t="inlineStr">
        <is>
          <t>University-paid total incl. contingency</t>
        </is>
      </c>
      <c r="H31" s="98">
        <f>H29+H30</f>
        <v/>
      </c>
      <c r="K31" s="98">
        <f>K29+K30</f>
        <v/>
      </c>
    </row>
    <row r="32" ht="15" customHeight="1" s="56">
      <c r="G32" s="97" t="inlineStr">
        <is>
          <t>Funding left (negative = over)</t>
        </is>
      </c>
      <c r="H32" s="101">
        <f>Compare!$B$12-H31</f>
        <v/>
      </c>
      <c r="K32" s="101">
        <f>Compare!$B$5-K31</f>
        <v/>
      </c>
    </row>
    <row r="33" ht="15" customHeight="1" s="56">
      <c r="G33" s="97" t="inlineStr">
        <is>
          <t>Personal costs – team</t>
        </is>
      </c>
      <c r="H33" s="102">
        <f>SUM(H20:H26)</f>
        <v/>
      </c>
      <c r="K33" s="102">
        <f>SUM(K20:K26)</f>
        <v/>
      </c>
    </row>
    <row r="34" ht="15" customHeight="1" s="56">
      <c r="G34" s="97" t="inlineStr">
        <is>
          <t>Out-of-pocket per person (personal + any overrun)</t>
        </is>
      </c>
      <c r="H34" s="102">
        <f>(H33+MAX(0,-H32))/Compare!$B$6</f>
        <v/>
      </c>
      <c r="K34" s="102">
        <f>(K33+MAX(0,-K32))/Compare!$B$7</f>
        <v/>
      </c>
    </row>
    <row r="35" ht="15" customHeight="1" s="56">
      <c r="G35" s="97" t="inlineStr">
        <is>
          <t>Whole trip cost (university + personal)</t>
        </is>
      </c>
      <c r="H35" s="103">
        <f>H31+H33</f>
        <v/>
      </c>
      <c r="K35" s="103">
        <f>K31+K33</f>
        <v/>
      </c>
    </row>
    <row r="36" ht="15" customHeight="1" s="56">
      <c r="G36" s="99" t="inlineStr">
        <is>
          <t>Time in planes &amp; trains</t>
        </is>
      </c>
      <c r="H36" s="104">
        <f>D10+D11</f>
        <v/>
      </c>
      <c r="K36" s="104">
        <f>D10+D11</f>
        <v/>
      </c>
    </row>
    <row r="38" ht="15" customHeight="1" s="56">
      <c r="A38" s="72" t="inlineStr">
        <is>
          <t>Key facts</t>
        </is>
      </c>
    </row>
    <row r="39" ht="30" customHeight="1" s="56">
      <c r="A39" s="75" t="inlineStr">
        <is>
          <t>Contest</t>
        </is>
      </c>
      <c r="B39" s="74" t="inlineStr">
        <is>
          <t>Asia Shanghai Regional, 5–6 Dec 2026 (provisional), Shanghai University Baoshan campus (gym; metro line 7 Shangda Rd). 2025 pattern: day 1 registration 09:00–14:00, opening 14:00, warm-up 15:00–17:00; day 2 contest 09:00–14:00, awards 15:30–17:00.</t>
        </is>
      </c>
    </row>
    <row r="40" ht="15" customHeight="1" s="56">
      <c r="A40" s="75" t="inlineStr">
        <is>
          <t>Wildcard</t>
        </is>
      </c>
      <c r="B40" s="74" t="inlineStr">
        <is>
          <t>A Mongolian team needs a wildcard (外卡): email shu_icpc@163.com. The first round closed on 17 Oct in 2025 – ask now.</t>
        </is>
      </c>
    </row>
    <row r="41" ht="15" customHeight="1" s="56">
      <c r="A41" s="75" t="inlineStr">
        <is>
          <t>Why this plan</t>
        </is>
      </c>
      <c r="B41" s="74" t="inlineStr">
        <is>
          <t>No rail and no Beijing day: one flight each way at fares far below normal (sale fares – book soon). The hotel is the cheapest decent private rooms near the venue: far-away rooms are only ¥200–330 cheaper in total, which is not worth a 1–2 h commute.</t>
        </is>
      </c>
    </row>
    <row r="42" ht="15" customHeight="1" s="56">
      <c r="A42" s="75" t="inlineStr">
        <is>
          <t>Trade-off</t>
        </is>
      </c>
      <c r="B42" s="74" t="inlineStr">
        <is>
          <t>Seven nights away (more class missed, more meals), hand-baggage-only fare (carry-on only saves ~₮1.0M), a 08:00 flight home from Pudong (leave the hotel ~05:00). The nights after the contest (6, 7 Dec) are ~¥500 for both rooms – 'Fly out, train home' drops them.</t>
        </is>
      </c>
    </row>
    <row r="44" ht="15" customHeight="1" s="56">
      <c r="A44" s="72" t="inlineStr">
        <is>
          <t>Day-by-day plan</t>
        </is>
      </c>
    </row>
    <row r="45" ht="15" customHeight="1" s="56">
      <c r="A45" s="96" t="inlineStr">
        <is>
          <t>Date</t>
        </is>
      </c>
      <c r="B45" s="96" t="inlineStr">
        <is>
          <t>Sleep in</t>
        </is>
      </c>
      <c r="C45" s="96" t="inlineStr">
        <is>
          <t>What happens</t>
        </is>
      </c>
    </row>
    <row r="46" ht="15" customHeight="1" s="56">
      <c r="A46" s="74" t="inlineStr">
        <is>
          <t>Tue 1 Dec</t>
        </is>
      </c>
      <c r="B46" s="74" t="inlineStr">
        <is>
          <t>Shanghai</t>
        </is>
      </c>
      <c r="C46" s="74" t="inlineStr">
        <is>
          <t>Spring 9C6520 UB 13:00 → Shanghai Pudong 17:00; taxi / metro to Hi Inn (Hutai Road).</t>
        </is>
      </c>
    </row>
    <row r="47" ht="15" customHeight="1" s="56">
      <c r="A47" s="74" t="inlineStr">
        <is>
          <t>Wed 2 – Fri 4 Dec</t>
        </is>
      </c>
      <c r="B47" s="74" t="inlineStr">
        <is>
          <t>Shanghai</t>
        </is>
      </c>
      <c r="C47" s="74" t="inlineStr">
        <is>
          <t>Rest / practice days (or sightseeing, lectures).</t>
        </is>
      </c>
    </row>
    <row r="48" ht="15" customHeight="1" s="56">
      <c r="A48" s="74" t="inlineStr">
        <is>
          <t>Sat 5 Dec</t>
        </is>
      </c>
      <c r="B48" s="74" t="inlineStr">
        <is>
          <t>Shanghai</t>
        </is>
      </c>
      <c r="C48" s="74" t="inlineStr">
        <is>
          <t>Registration (09:00–14:00), opening 14:00, warm-up 15:00–17:00 at Shanghai University Baoshan (2025 pattern).</t>
        </is>
      </c>
    </row>
    <row r="49" ht="15" customHeight="1" s="56">
      <c r="A49" s="74" t="inlineStr">
        <is>
          <t>Sun 6 Dec</t>
        </is>
      </c>
      <c r="B49" s="74" t="inlineStr">
        <is>
          <t>Shanghai</t>
        </is>
      </c>
      <c r="C49" s="74" t="inlineStr">
        <is>
          <t>SHANGHAI REGIONAL contest day 09:00–14:00; analysis &amp; awards ~14:30–17:00.</t>
        </is>
      </c>
    </row>
    <row r="50" ht="15" customHeight="1" s="56">
      <c r="A50" s="74" t="inlineStr">
        <is>
          <t>Mon 7 Dec</t>
        </is>
      </c>
      <c r="B50" s="74" t="inlineStr">
        <is>
          <t>Shanghai</t>
        </is>
      </c>
      <c r="C50" s="74" t="inlineStr">
        <is>
          <t>Free day.</t>
        </is>
      </c>
    </row>
    <row r="51" ht="15" customHeight="1" s="56">
      <c r="A51" s="74" t="inlineStr">
        <is>
          <t>Tue 8 Dec</t>
        </is>
      </c>
      <c r="B51" s="74" t="inlineStr">
        <is>
          <t>Home</t>
        </is>
      </c>
      <c r="C51" s="74" t="inlineStr">
        <is>
          <t>Taxi to Pudong (leave ~05:00). Spring 9C6519 PVG 08:00 → UB 12:00.</t>
        </is>
      </c>
    </row>
    <row r="53" ht="15" customHeight="1" s="56">
      <c r="A53" s="72" t="inlineStr">
        <is>
          <t>Door-to-door travel times</t>
        </is>
      </c>
    </row>
    <row r="54" ht="15" customHeight="1" s="56">
      <c r="A54" s="96" t="inlineStr">
        <is>
          <t>Date</t>
        </is>
      </c>
      <c r="B54" s="96" t="inlineStr">
        <is>
          <t>Leg</t>
        </is>
      </c>
      <c r="C54" s="96" t="inlineStr">
        <is>
          <t>Mode</t>
        </is>
      </c>
      <c r="D54" s="96" t="inlineStr">
        <is>
          <t>Expected time</t>
        </is>
      </c>
      <c r="E54" s="96" t="inlineStr">
        <is>
          <t>Notes</t>
        </is>
      </c>
    </row>
    <row r="55" ht="15" customHeight="1" s="56">
      <c r="A55" s="105" t="inlineStr">
        <is>
          <t>1 Dec</t>
        </is>
      </c>
      <c r="B55" s="105" t="inlineStr">
        <is>
          <t>Home → Chinggis Khaan airport</t>
        </is>
      </c>
      <c r="C55" s="82" t="inlineStr">
        <is>
          <t>Taxi (~50 km)</t>
        </is>
      </c>
      <c r="D55" s="104" t="n">
        <v>0.04166666666666666</v>
      </c>
      <c r="E55" s="106" t="inlineStr">
        <is>
          <t>Leave ~10:00 for 13:00 flight</t>
        </is>
      </c>
      <c r="F55" s="107" t="n"/>
      <c r="G55" s="107" t="n"/>
      <c r="H55" s="107" t="n"/>
      <c r="I55" s="107" t="n"/>
      <c r="J55" s="107" t="n"/>
      <c r="K55" s="107" t="n"/>
      <c r="L55" s="107" t="n"/>
    </row>
    <row r="56" ht="15" customHeight="1" s="56">
      <c r="A56" s="105" t="inlineStr">
        <is>
          <t>1 Dec</t>
        </is>
      </c>
      <c r="B56" s="105" t="inlineStr">
        <is>
          <t>Ulaanbaatar → Shanghai (PVG)</t>
        </is>
      </c>
      <c r="C56" s="82" t="inlineStr">
        <is>
          <t>Spring 9C6520 13:00–17:00</t>
        </is>
      </c>
      <c r="D56" s="104" t="n">
        <v>0.1666666666666667</v>
      </c>
      <c r="E56" s="106" t="inlineStr">
        <is>
          <t>Same time zone as China (UTC+8)</t>
        </is>
      </c>
      <c r="F56" s="107" t="n"/>
      <c r="G56" s="107" t="n"/>
      <c r="H56" s="107" t="n"/>
      <c r="I56" s="107" t="n"/>
      <c r="J56" s="107" t="n"/>
      <c r="K56" s="107" t="n"/>
      <c r="L56" s="107" t="n"/>
    </row>
    <row r="57" ht="15" customHeight="1" s="56">
      <c r="A57" s="105" t="inlineStr">
        <is>
          <t>1 Dec</t>
        </is>
      </c>
      <c r="B57" s="105" t="inlineStr">
        <is>
          <t>PVG arrival: immigration, bags</t>
        </is>
      </c>
      <c r="C57" s="82" t="inlineStr">
        <is>
          <t>—</t>
        </is>
      </c>
      <c r="D57" s="104" t="n">
        <v>0.03125</v>
      </c>
      <c r="E57" s="106" t="inlineStr">
        <is>
          <t>Estimate</t>
        </is>
      </c>
      <c r="F57" s="107" t="n"/>
      <c r="G57" s="107" t="n"/>
      <c r="H57" s="107" t="n"/>
      <c r="I57" s="107" t="n"/>
      <c r="J57" s="107" t="n"/>
      <c r="K57" s="107" t="n"/>
      <c r="L57" s="107" t="n"/>
    </row>
    <row r="58" ht="15" customHeight="1" s="56">
      <c r="A58" s="105" t="inlineStr">
        <is>
          <t>1 Dec</t>
        </is>
      </c>
      <c r="B58" s="105" t="inlineStr">
        <is>
          <t>PVG → hotel (Baoshan)</t>
        </is>
      </c>
      <c r="C58" s="82" t="inlineStr">
        <is>
          <t>Taxi (~65 km)</t>
        </is>
      </c>
      <c r="D58" s="104" t="n">
        <v>0.05208333333333334</v>
      </c>
      <c r="E58" s="106" t="inlineStr">
        <is>
          <t>Estimate; metro ~2 h</t>
        </is>
      </c>
      <c r="F58" s="107" t="n"/>
      <c r="G58" s="107" t="n"/>
      <c r="H58" s="107" t="n"/>
      <c r="I58" s="107" t="n"/>
      <c r="J58" s="107" t="n"/>
      <c r="K58" s="107" t="n"/>
      <c r="L58" s="107" t="n"/>
    </row>
    <row r="59" ht="15" customHeight="1" s="56">
      <c r="A59" s="105" t="inlineStr">
        <is>
          <t>5–6 Dec</t>
        </is>
      </c>
      <c r="B59" s="105" t="inlineStr">
        <is>
          <t>Hotel ↔ Shanghai University Baoshan (each way)</t>
        </is>
      </c>
      <c r="C59" s="82" t="inlineStr">
        <is>
          <t>Walk</t>
        </is>
      </c>
      <c r="D59" s="104" t="inlineStr">
        <is>
          <t>daily</t>
        </is>
      </c>
      <c r="E59" s="106" t="inlineStr">
        <is>
          <t>~25 min walk (1.8 km) or a ¥15 taxi</t>
        </is>
      </c>
      <c r="F59" s="107" t="n"/>
      <c r="G59" s="107" t="n"/>
      <c r="H59" s="107" t="n"/>
      <c r="I59" s="107" t="n"/>
      <c r="J59" s="107" t="n"/>
      <c r="K59" s="107" t="n"/>
      <c r="L59" s="107" t="n"/>
    </row>
    <row r="60" ht="15" customHeight="1" s="56">
      <c r="A60" s="105" t="inlineStr">
        <is>
          <t>8 Dec</t>
        </is>
      </c>
      <c r="B60" s="105" t="inlineStr">
        <is>
          <t>Hotel → PVG</t>
        </is>
      </c>
      <c r="C60" s="82" t="inlineStr">
        <is>
          <t>Taxi (~65 km)</t>
        </is>
      </c>
      <c r="D60" s="104" t="n">
        <v>0.05208333333333334</v>
      </c>
      <c r="E60" s="106" t="inlineStr">
        <is>
          <t>Leave ~05:00</t>
        </is>
      </c>
      <c r="F60" s="107" t="n"/>
      <c r="G60" s="107" t="n"/>
      <c r="H60" s="107" t="n"/>
      <c r="I60" s="107" t="n"/>
      <c r="J60" s="107" t="n"/>
      <c r="K60" s="107" t="n"/>
      <c r="L60" s="107" t="n"/>
    </row>
    <row r="61" ht="15" customHeight="1" s="56">
      <c r="A61" s="105" t="inlineStr">
        <is>
          <t>8 Dec</t>
        </is>
      </c>
      <c r="B61" s="105" t="inlineStr">
        <is>
          <t>PVG check-in &amp; security</t>
        </is>
      </c>
      <c r="C61" s="82" t="inlineStr">
        <is>
          <t>—</t>
        </is>
      </c>
      <c r="D61" s="104" t="n">
        <v>0.0625</v>
      </c>
      <c r="E61" s="106" t="inlineStr"/>
      <c r="F61" s="107" t="n"/>
      <c r="G61" s="107" t="n"/>
      <c r="H61" s="107" t="n"/>
      <c r="I61" s="107" t="n"/>
      <c r="J61" s="107" t="n"/>
      <c r="K61" s="107" t="n"/>
      <c r="L61" s="107" t="n"/>
    </row>
    <row r="62" ht="15" customHeight="1" s="56">
      <c r="A62" s="105" t="inlineStr">
        <is>
          <t>8 Dec</t>
        </is>
      </c>
      <c r="B62" s="105" t="inlineStr">
        <is>
          <t>Shanghai (PVG) → Ulaanbaatar</t>
        </is>
      </c>
      <c r="C62" s="82" t="inlineStr">
        <is>
          <t>Spring 9C6519 08:00–12:00</t>
        </is>
      </c>
      <c r="D62" s="104" t="n">
        <v>0.1666666666666667</v>
      </c>
      <c r="E62" s="106" t="inlineStr"/>
      <c r="F62" s="107" t="n"/>
      <c r="G62" s="107" t="n"/>
      <c r="H62" s="107" t="n"/>
      <c r="I62" s="107" t="n"/>
      <c r="J62" s="107" t="n"/>
      <c r="K62" s="107" t="n"/>
      <c r="L62" s="107" t="n"/>
    </row>
    <row r="63" ht="15" customHeight="1" s="56">
      <c r="A63" s="105" t="inlineStr">
        <is>
          <t>8 Dec</t>
        </is>
      </c>
      <c r="B63" s="105" t="inlineStr">
        <is>
          <t>Chinggis Khaan airport → home</t>
        </is>
      </c>
      <c r="C63" s="82" t="inlineStr">
        <is>
          <t>Taxi</t>
        </is>
      </c>
      <c r="D63" s="104" t="n">
        <v>0.04166666666666666</v>
      </c>
      <c r="E63" s="106" t="inlineStr"/>
      <c r="F63" s="107" t="n"/>
      <c r="G63" s="107" t="n"/>
      <c r="H63" s="107" t="n"/>
      <c r="I63" s="107" t="n"/>
      <c r="J63" s="107" t="n"/>
      <c r="K63" s="107" t="n"/>
      <c r="L63" s="107" t="n"/>
    </row>
    <row r="65" ht="15" customHeight="1" s="56">
      <c r="C65" s="59" t="inlineStr">
        <is>
          <t>Total door-to-door</t>
        </is>
      </c>
      <c r="D65" s="109">
        <f>SUM(D55:D63)</f>
        <v/>
      </c>
    </row>
  </sheetData>
  <mergeCells count="19">
    <mergeCell ref="E56:L56"/>
    <mergeCell ref="E58:L58"/>
    <mergeCell ref="C48:L48"/>
    <mergeCell ref="E55:L55"/>
    <mergeCell ref="E62:L62"/>
    <mergeCell ref="C49:L49"/>
    <mergeCell ref="B39:L39"/>
    <mergeCell ref="E63:L63"/>
    <mergeCell ref="B42:L42"/>
    <mergeCell ref="E60:L60"/>
    <mergeCell ref="E59:L59"/>
    <mergeCell ref="C47:L47"/>
    <mergeCell ref="B40:L40"/>
    <mergeCell ref="C50:L50"/>
    <mergeCell ref="E61:L61"/>
    <mergeCell ref="E57:L57"/>
    <mergeCell ref="C51:L51"/>
    <mergeCell ref="C46:L46"/>
    <mergeCell ref="B41:L4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L71"/>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Fly out, train home</t>
        </is>
      </c>
    </row>
    <row r="2" ht="15" customHeight="1" s="56">
      <c r="A2" s="62" t="inlineStr">
        <is>
          <t>Spring nonstop out on 1 Dec (5 bed nights before the contest in two cheap rooms), then the D10 overnight seat to Beijing (¥294) right after the contest and Air China to UB on 7 Dec: no hotel nights and no meals after the contest, home a day earlier.</t>
        </is>
      </c>
    </row>
    <row r="4" ht="15" customHeight="1" s="56">
      <c r="A4" s="60" t="inlineStr">
        <is>
          <t>Days in destination (meals &amp; local transport)</t>
        </is>
      </c>
      <c r="B4" s="76" t="n">
        <v>6</v>
      </c>
      <c r="C4" s="62" t="inlineStr">
        <is>
          <t>1 Dec afternoon → 7 Dec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Spring Airlines 9C6520 Ulaanbaatar → Shanghai Pudong (PVG), nonstop 13:00–17:00</t>
        </is>
      </c>
      <c r="C10" s="83" t="inlineStr">
        <is>
          <t>1 Dec (Tue)</t>
        </is>
      </c>
      <c r="D10" s="84" t="n">
        <v>0.1666666666666667</v>
      </c>
      <c r="E10" s="85" t="n">
        <v>164</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$164 pp (Trip.com $173), far below the usual $465–700 round trip. Flies Tue / Sat only; Sat 5 Dec would land 17:00, after registration closes</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CA955 12:55 $172 pp (08:25 also $172; MIAT 11:30 $193, SlickTrip $197). Checked bag included on Air China. The D10 arrives 09:24 + ~75 min to PEK, about 1 h of buffer before check-in closes</t>
        </is>
      </c>
    </row>
    <row r="12" ht="15" customHeight="1" s="56">
      <c r="A12" s="79" t="inlineStr">
        <is>
          <t>Trains and baggage</t>
        </is>
      </c>
      <c r="B12" s="80" t="n"/>
      <c r="C12" s="80" t="n"/>
      <c r="D12" s="80" t="n"/>
      <c r="E12" s="80" t="n"/>
      <c r="F12" s="80" t="n"/>
      <c r="G12" s="80" t="n"/>
      <c r="H12" s="80" t="n"/>
      <c r="I12" s="80" t="n"/>
      <c r="J12" s="80" t="n"/>
      <c r="K12" s="80" t="n"/>
      <c r="L12" s="80" t="n"/>
    </row>
    <row r="13" ht="45" customHeight="1" s="56">
      <c r="A13" s="81" t="n"/>
      <c r="B13" s="111" t="inlineStr">
        <is>
          <t>Checked baggage Spring Airlines (base fare = 1 hand bag only), 1 bag per person, outbound only</t>
        </is>
      </c>
      <c r="C13" s="83" t="inlineStr">
        <is>
          <t>1 Dec</t>
        </is>
      </c>
      <c r="D13" s="84" t="n"/>
      <c r="E13" s="85" t="n">
        <v>300</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ASSUMPTION ~300 CNY per checked bag (Spring sells bags from ~80–270 CNY online by weight tier, more at the airport). The Air China fare home includes a checked bag. Carry-on only saves ~₮0.5M for 3</t>
        </is>
      </c>
    </row>
    <row r="14" ht="60" customHeight="1" s="56">
      <c r="A14" s="81" t="n"/>
      <c r="B14" s="111" t="inlineStr">
        <is>
          <t>Overnight train D10 Shanghai South 21:05 → Beijing South 09:24 (+1), 2nd-class seat</t>
        </is>
      </c>
      <c r="C14" s="83" t="inlineStr">
        <is>
          <t>6 Dec (night)</t>
        </is>
      </c>
      <c r="D14" s="84" t="n">
        <v>0.5131944444444444</v>
      </c>
      <c r="E14" s="85" t="n">
        <v>294</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 fixed): D10 2nd-class seat ¥294 (sleeper ¥442); cheaper still: Z282 Songjiang 19:17 → Fengtai 09:52 hard seat ¥177.5 (needs Songjiang by ~18:30, tight after the awards), T110 Shanghai 16:30 → Beijing 08:33 hard seat ¥177.5 (leave before the awards). D6 21:15 → Beijing station 09:25 ¥338, D8 19:08 ¥361. Sales open 22 Nov 14:45 (ChinaTicketOnline)</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1–6 Dec (5 nights)</t>
        </is>
      </c>
      <c r="D16" s="81" t="n"/>
      <c r="E16" s="85">
        <f>1284/5</f>
        <v/>
      </c>
      <c r="F16" s="86" t="inlineStr">
        <is>
          <t>CNY</t>
        </is>
      </c>
      <c r="G16" s="91" t="n">
        <v>5</v>
      </c>
      <c r="H16" s="88">
        <f>E16*G16*IF(F16="USD",Compare!$B$8,IF(F16="CNY",Compare!$B$9,IF(F16="HKD",Compare!$B$10,1)))</f>
        <v/>
      </c>
      <c r="I16" s="85">
        <f>1180/5</f>
        <v/>
      </c>
      <c r="J16" s="91" t="n">
        <v>5</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¥1,284 for 5 nights, 2 rooms, for 3 ppl; Jtour Inn Hotel Shanghai University (1.8 km, 8.6 from 142 reviews) ¥1,180 for 4 ppl (2 rooms of 2; it is not offered for 3 adults). Cheaper but worse: Yibai Gucun Park (5.2 km, 7.9) ¥1,040, Boshi Changzhong Rd (2.5 km, 8.2) ¥1,120. Compare Jenny's Apartment, 1 room for 3: ¥2,132.</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PVG → hotel (Baoshan), arrival</t>
        </is>
      </c>
      <c r="C20" s="83" t="inlineStr">
        <is>
          <t>1 Dec</t>
        </is>
      </c>
      <c r="D20" s="84" t="n"/>
      <c r="E20" s="113" t="n">
        <v>220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~220 CNY per car, ~65 km (metro lines 2 + 7 take ~2 h, ~10 CNY pp)</t>
        </is>
      </c>
    </row>
    <row r="21" ht="30" customHeight="1" s="56">
      <c r="A21" s="81" t="n"/>
      <c r="B21" s="111" t="inlineStr">
        <is>
          <t>Taxi Shanghai University → Shanghai South station</t>
        </is>
      </c>
      <c r="C21" s="83" t="inlineStr">
        <is>
          <t>6 Dec</t>
        </is>
      </c>
      <c r="D21" s="84" t="n"/>
      <c r="E21" s="113" t="n">
        <v>90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~90 CNY per car (~25 km); metro lines 7 + 3 / 1 is ~1 h, ~8 CNY pp</t>
        </is>
      </c>
    </row>
    <row r="22" ht="30" customHeight="1" s="56">
      <c r="A22" s="81" t="n"/>
      <c r="B22" s="111" t="inlineStr">
        <is>
          <t>Beijing South → PEK (metro line 4 + 10 + Airport Express, or taxi)</t>
        </is>
      </c>
      <c r="C22" s="83" t="inlineStr">
        <is>
          <t>7 Dec</t>
        </is>
      </c>
      <c r="D22" s="84" t="n"/>
      <c r="E22" s="113" t="n">
        <v>120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~120 CNY per car (~45 km, 60–75 min); metro + Airport Express is ~35 CNY pp. Leave the station by ~10:00</t>
        </is>
      </c>
    </row>
    <row r="23" ht="15" customHeight="1" s="56">
      <c r="A23" s="94" t="inlineStr">
        <is>
          <t>PAID PERSONALLY (university won't cover)</t>
        </is>
      </c>
      <c r="B23" s="95" t="n"/>
      <c r="C23" s="95" t="n"/>
      <c r="D23" s="95" t="n"/>
      <c r="E23" s="95" t="n"/>
      <c r="F23" s="95" t="n"/>
      <c r="G23" s="95" t="n"/>
      <c r="H23" s="95" t="n"/>
      <c r="I23" s="95" t="n"/>
      <c r="J23" s="95" t="n"/>
      <c r="K23" s="95" t="n"/>
      <c r="L23" s="95" t="n"/>
    </row>
    <row r="24" ht="15" customHeight="1" s="56">
      <c r="A24" s="79" t="inlineStr">
        <is>
          <t>Contest fee</t>
        </is>
      </c>
      <c r="B24" s="80" t="n"/>
      <c r="C24" s="80" t="n"/>
      <c r="D24" s="80" t="n"/>
      <c r="E24" s="80" t="n"/>
      <c r="F24" s="80" t="n"/>
      <c r="G24" s="80" t="n"/>
      <c r="H24" s="80" t="n"/>
      <c r="I24" s="80" t="n"/>
      <c r="J24" s="80" t="n"/>
      <c r="K24" s="80" t="n"/>
      <c r="L24" s="80" t="n"/>
    </row>
    <row r="25" ht="22.35" customHeight="1" s="56">
      <c r="A25" s="81" t="n"/>
      <c r="B25" s="82" t="inlineStr">
        <is>
          <t>Shanghai regional registration fee (per team)</t>
        </is>
      </c>
      <c r="C25" s="83" t="inlineStr">
        <is>
          <t>TBC</t>
        </is>
      </c>
      <c r="D25" s="81" t="n"/>
      <c r="E25" s="113" t="n">
        <v>1500</v>
      </c>
      <c r="F25" s="86" t="inlineStr">
        <is>
          <t>CNY</t>
        </is>
      </c>
      <c r="G25" s="91" t="n">
        <v>1</v>
      </c>
      <c r="H25" s="88">
        <f>E25*G25*IF(F25="USD",Compare!$B$8,IF(F25="CNY",Compare!$B$9,IF(F25="HKD",Compare!$B$10,1)))</f>
        <v/>
      </c>
      <c r="I25" s="114">
        <f>E25</f>
        <v/>
      </c>
      <c r="J25" s="91" t="n">
        <v>1</v>
      </c>
      <c r="K25" s="88">
        <f>I25*J25*IF(F25="USD",Compare!$B$8,IF(F25="CNY",Compare!$B$9,IF(F25="HKD",Compare!$B$10,1)))</f>
        <v/>
      </c>
      <c r="L25" s="90" t="inlineStr">
        <is>
          <t>¥1,500/team in the 2025 Shanghai invitation (shu_icpc); 2026 invitation not seen</t>
        </is>
      </c>
    </row>
    <row r="26" ht="15" customHeight="1" s="56">
      <c r="A26" s="79" t="inlineStr">
        <is>
          <t>Other</t>
        </is>
      </c>
      <c r="B26" s="80" t="n"/>
      <c r="C26" s="80" t="n"/>
      <c r="D26" s="80" t="n"/>
      <c r="E26" s="80" t="n"/>
      <c r="F26" s="80" t="n"/>
      <c r="G26" s="80" t="n"/>
      <c r="H26" s="80" t="n"/>
      <c r="I26" s="80" t="n"/>
      <c r="J26" s="80" t="n"/>
      <c r="K26" s="80" t="n"/>
      <c r="L26" s="80" t="n"/>
    </row>
    <row r="27" ht="15" customHeight="1" s="56">
      <c r="A27" s="81" t="n"/>
      <c r="B27" s="82" t="inlineStr">
        <is>
          <t>Taxi to/from Chinggis Khaan airport (UB), per trip</t>
        </is>
      </c>
      <c r="C27" s="83" t="inlineStr">
        <is>
          <t>out &amp; back</t>
        </is>
      </c>
      <c r="D27" s="84" t="n">
        <v>0.04166666666666666</v>
      </c>
      <c r="E27" s="92" t="n">
        <v>100000</v>
      </c>
      <c r="F27" s="86" t="inlineStr">
        <is>
          <t>MNT</t>
        </is>
      </c>
      <c r="G27" s="91" t="n">
        <v>2</v>
      </c>
      <c r="H27" s="88">
        <f>E27*G27*IF(F27="USD",Compare!$B$8,IF(F27="CNY",Compare!$B$9,IF(F27="HKD",Compare!$B$10,1)))</f>
        <v/>
      </c>
      <c r="I27" s="93">
        <f>E27</f>
        <v/>
      </c>
      <c r="J27" s="91" t="n">
        <v>2</v>
      </c>
      <c r="K27" s="88">
        <f>I27*J27*IF(F27="USD",Compare!$B$8,IF(F27="CNY",Compare!$B$9,IF(F27="HKD",Compare!$B$10,1)))</f>
        <v/>
      </c>
      <c r="L27" s="90" t="inlineStr">
        <is>
          <t>ASSUMPTION 100k MNT per trip for the group</t>
        </is>
      </c>
    </row>
    <row r="28" ht="15" customHeight="1" s="56">
      <c r="A28" s="81" t="n"/>
      <c r="B28" s="82" t="inlineStr">
        <is>
          <t>Travel medical insurance</t>
        </is>
      </c>
      <c r="C28" s="83" t="n"/>
      <c r="D28" s="81" t="n"/>
      <c r="E28" s="92" t="n">
        <v>30000</v>
      </c>
      <c r="F28" s="86" t="inlineStr">
        <is>
          <t>MNT</t>
        </is>
      </c>
      <c r="G28" s="87">
        <f>Compare!$B$6</f>
        <v/>
      </c>
      <c r="H28" s="88">
        <f>E28*G28*IF(F28="USD",Compare!$B$8,IF(F28="CNY",Compare!$B$9,IF(F28="HKD",Compare!$B$10,1)))</f>
        <v/>
      </c>
      <c r="I28" s="93">
        <f>E28</f>
        <v/>
      </c>
      <c r="J28" s="87">
        <f>Compare!$B$7</f>
        <v/>
      </c>
      <c r="K28" s="88">
        <f>I28*J28*IF(F28="USD",Compare!$B$8,IF(F28="CNY",Compare!$B$9,IF(F28="HKD",Compare!$B$10,1)))</f>
        <v/>
      </c>
      <c r="L28" s="90" t="inlineStr">
        <is>
          <t>ASSUMPTION ~30k MNT per person, Mongolian insurer</t>
        </is>
      </c>
    </row>
    <row r="29" ht="15" customHeight="1" s="56">
      <c r="A29" s="81" t="n"/>
      <c r="B29" s="82" t="inlineStr">
        <is>
          <t>Mobile data eSIM</t>
        </is>
      </c>
      <c r="C29" s="83" t="n"/>
      <c r="D29" s="81" t="n"/>
      <c r="E29" s="92" t="n">
        <v>10</v>
      </c>
      <c r="F29" s="86" t="inlineStr">
        <is>
          <t>USD</t>
        </is>
      </c>
      <c r="G29" s="87">
        <f>Compare!$B$6</f>
        <v/>
      </c>
      <c r="H29" s="88">
        <f>E29*G29*IF(F29="USD",Compare!$B$8,IF(F29="CNY",Compare!$B$9,IF(F29="HKD",Compare!$B$10,1)))</f>
        <v/>
      </c>
      <c r="I29" s="93">
        <f>E29</f>
        <v/>
      </c>
      <c r="J29" s="87">
        <f>Compare!$B$7</f>
        <v/>
      </c>
      <c r="K29" s="88">
        <f>I29*J29*IF(F29="USD",Compare!$B$8,IF(F29="CNY",Compare!$B$9,IF(F29="HKD",Compare!$B$10,1)))</f>
        <v/>
      </c>
      <c r="L29" s="90" t="inlineStr">
        <is>
          <t>ASSUMPTION ~$10 pp</t>
        </is>
      </c>
    </row>
    <row r="30" ht="22.35" customHeight="1" s="56">
      <c r="A30" s="81" t="n"/>
      <c r="B30" s="82" t="inlineStr">
        <is>
          <t>Visa</t>
        </is>
      </c>
      <c r="C30" s="83" t="n"/>
      <c r="D30" s="81" t="n"/>
      <c r="E30" s="85" t="n">
        <v>0</v>
      </c>
      <c r="F30" s="86" t="inlineStr">
        <is>
          <t>MNT</t>
        </is>
      </c>
      <c r="G30" s="87">
        <f>Compare!$B$6</f>
        <v/>
      </c>
      <c r="H30" s="88">
        <f>E30*G30*IF(F30="USD",Compare!$B$8,IF(F30="CNY",Compare!$B$9,IF(F30="HKD",Compare!$B$10,1)))</f>
        <v/>
      </c>
      <c r="I30" s="89">
        <f>E30</f>
        <v/>
      </c>
      <c r="J30" s="87">
        <f>Compare!$B$7</f>
        <v/>
      </c>
      <c r="K30" s="88">
        <f>I30*J30*IF(F30="USD",Compare!$B$8,IF(F30="CNY",Compare!$B$9,IF(F30="HKD",Compare!$B$10,1)))</f>
        <v/>
      </c>
      <c r="L30" s="90" t="inlineStr">
        <is>
          <t>Mongolian passports: visa-free (mainland China up to 30 days; Hong Kong up to 14 days)</t>
        </is>
      </c>
    </row>
    <row r="32" ht="15" customHeight="1" s="56">
      <c r="G32" s="60" t="n"/>
      <c r="H32" s="96" t="inlineStr">
        <is>
          <t>3 people – UNFUNDED</t>
        </is>
      </c>
      <c r="K32" s="96" t="inlineStr">
        <is>
          <t>4 people – FUNDED ₮12M</t>
        </is>
      </c>
    </row>
    <row r="33" ht="15" customHeight="1" s="56">
      <c r="G33" s="97" t="inlineStr">
        <is>
          <t>University-paid subtotal</t>
        </is>
      </c>
      <c r="H33" s="98">
        <f>SUM(H9:H22)</f>
        <v/>
      </c>
      <c r="K33" s="98">
        <f>SUM(K9:K22)</f>
        <v/>
      </c>
    </row>
    <row r="34" ht="15" customHeight="1" s="56">
      <c r="G34" s="99" t="inlineStr">
        <is>
          <t>Contingency</t>
        </is>
      </c>
      <c r="H34" s="100">
        <f>H33*Compare!$B$11</f>
        <v/>
      </c>
      <c r="K34" s="100">
        <f>K33*Compare!$B$11</f>
        <v/>
      </c>
    </row>
    <row r="35" ht="15" customHeight="1" s="56">
      <c r="G35" s="97" t="inlineStr">
        <is>
          <t>University-paid total incl. contingency</t>
        </is>
      </c>
      <c r="H35" s="98">
        <f>H33+H34</f>
        <v/>
      </c>
      <c r="K35" s="98">
        <f>K33+K34</f>
        <v/>
      </c>
    </row>
    <row r="36" ht="15" customHeight="1" s="56">
      <c r="G36" s="97" t="inlineStr">
        <is>
          <t>Funding left (negative = over)</t>
        </is>
      </c>
      <c r="H36" s="101">
        <f>Compare!$B$12-H35</f>
        <v/>
      </c>
      <c r="K36" s="101">
        <f>Compare!$B$5-K35</f>
        <v/>
      </c>
    </row>
    <row r="37" ht="15" customHeight="1" s="56">
      <c r="G37" s="97" t="inlineStr">
        <is>
          <t>Personal costs – team</t>
        </is>
      </c>
      <c r="H37" s="102">
        <f>SUM(H24:H30)</f>
        <v/>
      </c>
      <c r="K37" s="102">
        <f>SUM(K24:K30)</f>
        <v/>
      </c>
    </row>
    <row r="38" ht="15" customHeight="1" s="56">
      <c r="G38" s="97" t="inlineStr">
        <is>
          <t>Out-of-pocket per person (personal + any overrun)</t>
        </is>
      </c>
      <c r="H38" s="102">
        <f>(H37+MAX(0,-H36))/Compare!$B$6</f>
        <v/>
      </c>
      <c r="K38" s="102">
        <f>(K37+MAX(0,-K36))/Compare!$B$7</f>
        <v/>
      </c>
    </row>
    <row r="39" ht="15" customHeight="1" s="56">
      <c r="G39" s="97" t="inlineStr">
        <is>
          <t>Whole trip cost (university + personal)</t>
        </is>
      </c>
      <c r="H39" s="103">
        <f>H35+H37</f>
        <v/>
      </c>
      <c r="K39" s="103">
        <f>K35+K37</f>
        <v/>
      </c>
    </row>
    <row r="40" ht="15" customHeight="1" s="56">
      <c r="G40" s="99" t="inlineStr">
        <is>
          <t>Time in planes &amp; trains</t>
        </is>
      </c>
      <c r="H40" s="104">
        <f>D10+D11+D14</f>
        <v/>
      </c>
      <c r="K40" s="104">
        <f>D10+D11+D14</f>
        <v/>
      </c>
    </row>
    <row r="42" ht="15" customHeight="1" s="56">
      <c r="A42" s="72" t="inlineStr">
        <is>
          <t>Key facts</t>
        </is>
      </c>
    </row>
    <row r="43" ht="30" customHeight="1" s="56">
      <c r="A43" s="75" t="inlineStr">
        <is>
          <t>Contest</t>
        </is>
      </c>
      <c r="B43" s="74" t="inlineStr">
        <is>
          <t>Asia Shanghai Regional, 5–6 Dec 2026 (provisional), Shanghai University Baoshan campus (gym; metro line 7 Shangda Rd). 2025 pattern: day 1 registration 09:00–14:00, opening 14:00, warm-up 15:00–17:00; day 2 contest 09:00–14:00, awards 15:30–17:00.</t>
        </is>
      </c>
    </row>
    <row r="44" ht="15" customHeight="1" s="56">
      <c r="A44" s="75" t="inlineStr">
        <is>
          <t>Wildcard</t>
        </is>
      </c>
      <c r="B44" s="74" t="inlineStr">
        <is>
          <t>A Mongolian team needs a wildcard (外卡): email shu_icpc@163.com. The first round closed on 17 Oct in 2025 – ask now.</t>
        </is>
      </c>
    </row>
    <row r="45" ht="15" customHeight="1" s="56">
      <c r="A45" s="75" t="inlineStr">
        <is>
          <t>Why this plan</t>
        </is>
      </c>
      <c r="B45" s="74" t="inlineStr">
        <is>
          <t>Spring's sale fare is the cheapest way in, and the D10 seat + Air China costs about the same as the nonstop home once the two hotel nights, two days of meals and the Pudong taxi are counted. Home on 7 Dec instead of 8 Dec.</t>
        </is>
      </c>
    </row>
    <row r="46" ht="15" customHeight="1" s="56">
      <c r="A46" s="75" t="inlineStr">
        <is>
          <t>Trade-off</t>
        </is>
      </c>
      <c r="B46" s="74" t="inlineStr">
        <is>
          <t>Awards end ~17:00 and D10 leaves 21:05, so there is time to eat; ~12 h seated overnight in a train (sleeper ¥442 if you want to lie down) then straight to the airport: Beijing South → PEK needs ~75 min. Two tickets (Spring, Air China) so no through protection.</t>
        </is>
      </c>
    </row>
    <row r="48" ht="15" customHeight="1" s="56">
      <c r="A48" s="72" t="inlineStr">
        <is>
          <t>Day-by-day plan</t>
        </is>
      </c>
    </row>
    <row r="49" ht="15" customHeight="1" s="56">
      <c r="A49" s="96" t="inlineStr">
        <is>
          <t>Date</t>
        </is>
      </c>
      <c r="B49" s="96" t="inlineStr">
        <is>
          <t>Sleep in</t>
        </is>
      </c>
      <c r="C49" s="96" t="inlineStr">
        <is>
          <t>What happens</t>
        </is>
      </c>
    </row>
    <row r="50" ht="15" customHeight="1" s="56">
      <c r="A50" s="74" t="inlineStr">
        <is>
          <t>Tue 1 Dec</t>
        </is>
      </c>
      <c r="B50" s="74" t="inlineStr">
        <is>
          <t>Shanghai</t>
        </is>
      </c>
      <c r="C50" s="74" t="inlineStr">
        <is>
          <t>Spring 9C6520 UB 13:00 → Shanghai Pudong 17:00; taxi to Hi Inn (Hutai Road).</t>
        </is>
      </c>
    </row>
    <row r="51" ht="15" customHeight="1" s="56">
      <c r="A51" s="74" t="inlineStr">
        <is>
          <t>Wed 2 – Fri 4 Dec</t>
        </is>
      </c>
      <c r="B51" s="74" t="inlineStr">
        <is>
          <t>Shanghai</t>
        </is>
      </c>
      <c r="C51" s="74" t="inlineStr">
        <is>
          <t>Rest / practice days (or sightseeing, lectures).</t>
        </is>
      </c>
    </row>
    <row r="52" ht="15" customHeight="1" s="56">
      <c r="A52" s="74" t="inlineStr">
        <is>
          <t>Sat 5 Dec</t>
        </is>
      </c>
      <c r="B52" s="74" t="inlineStr">
        <is>
          <t>Shanghai</t>
        </is>
      </c>
      <c r="C52" s="74" t="inlineStr">
        <is>
          <t>Registration (09:00–14:00), opening 14:00, warm-up 15:00–17:00 at Shanghai University Baoshan (2025 pattern).</t>
        </is>
      </c>
    </row>
    <row r="53" ht="15" customHeight="1" s="56">
      <c r="A53" s="74" t="inlineStr">
        <is>
          <t>Sun 6 Dec</t>
        </is>
      </c>
      <c r="B53" s="74" t="inlineStr">
        <is>
          <t>Train</t>
        </is>
      </c>
      <c r="C53" s="74" t="inlineStr">
        <is>
          <t>SHANGHAI REGIONAL contest day 09:00–14:00; analysis &amp; awards ~14:30–17:00. Check out of the hotel in the morning (leave the bags at the venue / hotel desk), taxi to Shanghai South; D10 21:05 → Beijing South 09:24.</t>
        </is>
      </c>
    </row>
    <row r="54" ht="15" customHeight="1" s="56">
      <c r="A54" s="74" t="inlineStr">
        <is>
          <t>Mon 7 Dec</t>
        </is>
      </c>
      <c r="B54" s="74" t="inlineStr">
        <is>
          <t>Home</t>
        </is>
      </c>
      <c r="C54" s="74" t="inlineStr">
        <is>
          <t>Beijing South → PEK (metro + Airport Express). Air China CA955 12:55 → UB 15:05.</t>
        </is>
      </c>
    </row>
    <row r="56" ht="15" customHeight="1" s="56">
      <c r="A56" s="72" t="inlineStr">
        <is>
          <t>Door-to-door travel times</t>
        </is>
      </c>
    </row>
    <row r="57" ht="15" customHeight="1" s="56">
      <c r="A57" s="96" t="inlineStr">
        <is>
          <t>Date</t>
        </is>
      </c>
      <c r="B57" s="96" t="inlineStr">
        <is>
          <t>Leg</t>
        </is>
      </c>
      <c r="C57" s="96" t="inlineStr">
        <is>
          <t>Mode</t>
        </is>
      </c>
      <c r="D57" s="96" t="inlineStr">
        <is>
          <t>Expected time</t>
        </is>
      </c>
      <c r="E57" s="96" t="inlineStr">
        <is>
          <t>Notes</t>
        </is>
      </c>
    </row>
    <row r="58" ht="15" customHeight="1" s="56">
      <c r="A58" s="105" t="inlineStr">
        <is>
          <t>1 Dec</t>
        </is>
      </c>
      <c r="B58" s="105" t="inlineStr">
        <is>
          <t>Home → Chinggis Khaan airport</t>
        </is>
      </c>
      <c r="C58" s="82" t="inlineStr">
        <is>
          <t>Taxi (~50 km)</t>
        </is>
      </c>
      <c r="D58" s="104" t="n">
        <v>0.04166666666666666</v>
      </c>
      <c r="E58" s="106" t="inlineStr">
        <is>
          <t>Leave ~10:00 for the 13:00 flight</t>
        </is>
      </c>
      <c r="F58" s="107" t="n"/>
      <c r="G58" s="107" t="n"/>
      <c r="H58" s="107" t="n"/>
      <c r="I58" s="107" t="n"/>
      <c r="J58" s="107" t="n"/>
      <c r="K58" s="107" t="n"/>
      <c r="L58" s="107" t="n"/>
    </row>
    <row r="59" ht="15" customHeight="1" s="56">
      <c r="A59" s="105" t="inlineStr">
        <is>
          <t>1 Dec</t>
        </is>
      </c>
      <c r="B59" s="105" t="inlineStr">
        <is>
          <t>Ulaanbaatar → Shanghai (PVG)</t>
        </is>
      </c>
      <c r="C59" s="82" t="inlineStr">
        <is>
          <t>Spring 9C6520 13:00–17:00</t>
        </is>
      </c>
      <c r="D59" s="104" t="n">
        <v>0.1666666666666667</v>
      </c>
      <c r="E59" s="106" t="inlineStr">
        <is>
          <t>Same time zone as China (UTC+8)</t>
        </is>
      </c>
      <c r="F59" s="107" t="n"/>
      <c r="G59" s="107" t="n"/>
      <c r="H59" s="107" t="n"/>
      <c r="I59" s="107" t="n"/>
      <c r="J59" s="107" t="n"/>
      <c r="K59" s="107" t="n"/>
      <c r="L59" s="107" t="n"/>
    </row>
    <row r="60" ht="15" customHeight="1" s="56">
      <c r="A60" s="105" t="inlineStr">
        <is>
          <t>1 Dec</t>
        </is>
      </c>
      <c r="B60" s="105" t="inlineStr">
        <is>
          <t>PVG arrival: immigration, bags</t>
        </is>
      </c>
      <c r="C60" s="82" t="inlineStr">
        <is>
          <t>—</t>
        </is>
      </c>
      <c r="D60" s="104" t="n">
        <v>0.03125</v>
      </c>
      <c r="E60" s="106" t="inlineStr">
        <is>
          <t>Estimate</t>
        </is>
      </c>
      <c r="F60" s="107" t="n"/>
      <c r="G60" s="107" t="n"/>
      <c r="H60" s="107" t="n"/>
      <c r="I60" s="107" t="n"/>
      <c r="J60" s="107" t="n"/>
      <c r="K60" s="107" t="n"/>
      <c r="L60" s="107" t="n"/>
    </row>
    <row r="61" ht="15" customHeight="1" s="56">
      <c r="A61" s="105" t="inlineStr">
        <is>
          <t>1 Dec</t>
        </is>
      </c>
      <c r="B61" s="105" t="inlineStr">
        <is>
          <t>PVG → hotel (Baoshan)</t>
        </is>
      </c>
      <c r="C61" s="82" t="inlineStr">
        <is>
          <t>Taxi (~65 km)</t>
        </is>
      </c>
      <c r="D61" s="104" t="n">
        <v>0.05208333333333334</v>
      </c>
      <c r="E61" s="106" t="inlineStr">
        <is>
          <t>Estimate; metro ~2 h</t>
        </is>
      </c>
      <c r="F61" s="107" t="n"/>
      <c r="G61" s="107" t="n"/>
      <c r="H61" s="107" t="n"/>
      <c r="I61" s="107" t="n"/>
      <c r="J61" s="107" t="n"/>
      <c r="K61" s="107" t="n"/>
      <c r="L61" s="107" t="n"/>
    </row>
    <row r="62" ht="15" customHeight="1" s="56">
      <c r="A62" s="105" t="inlineStr">
        <is>
          <t>5–6 Dec</t>
        </is>
      </c>
      <c r="B62" s="105" t="inlineStr">
        <is>
          <t>Hotel ↔ Shanghai University Baoshan (each way)</t>
        </is>
      </c>
      <c r="C62" s="82" t="inlineStr">
        <is>
          <t>Walk</t>
        </is>
      </c>
      <c r="D62" s="104" t="inlineStr">
        <is>
          <t>daily</t>
        </is>
      </c>
      <c r="E62" s="106" t="inlineStr">
        <is>
          <t>~25 min walk (Hi Inn 1.8 km) or a ¥15 taxi</t>
        </is>
      </c>
      <c r="F62" s="107" t="n"/>
      <c r="G62" s="107" t="n"/>
      <c r="H62" s="107" t="n"/>
      <c r="I62" s="107" t="n"/>
      <c r="J62" s="107" t="n"/>
      <c r="K62" s="107" t="n"/>
      <c r="L62" s="107" t="n"/>
    </row>
    <row r="63" ht="15" customHeight="1" s="56">
      <c r="A63" s="105" t="inlineStr">
        <is>
          <t>6 Dec</t>
        </is>
      </c>
      <c r="B63" s="105" t="inlineStr">
        <is>
          <t>Campus → Shanghai South station</t>
        </is>
      </c>
      <c r="C63" s="82" t="inlineStr">
        <is>
          <t>Taxi / metro</t>
        </is>
      </c>
      <c r="D63" s="104" t="n">
        <v>0.04166666666666666</v>
      </c>
      <c r="E63" s="106" t="inlineStr">
        <is>
          <t>Leave ~18:30 for the 21:05 train</t>
        </is>
      </c>
      <c r="F63" s="107" t="n"/>
      <c r="G63" s="107" t="n"/>
      <c r="H63" s="107" t="n"/>
      <c r="I63" s="107" t="n"/>
      <c r="J63" s="107" t="n"/>
      <c r="K63" s="107" t="n"/>
      <c r="L63" s="107" t="n"/>
    </row>
    <row r="64" ht="15" customHeight="1" s="56">
      <c r="A64" s="105" t="inlineStr">
        <is>
          <t>6–7 Dec</t>
        </is>
      </c>
      <c r="B64" s="105" t="inlineStr">
        <is>
          <t>Shanghai South → Beijing South</t>
        </is>
      </c>
      <c r="C64" s="82" t="inlineStr">
        <is>
          <t>D10 seat 21:05–09:24</t>
        </is>
      </c>
      <c r="D64" s="104" t="n">
        <v>0.5131944444444444</v>
      </c>
      <c r="E64" s="106" t="inlineStr">
        <is>
          <t>Overnight</t>
        </is>
      </c>
      <c r="F64" s="107" t="n"/>
      <c r="G64" s="107" t="n"/>
      <c r="H64" s="107" t="n"/>
      <c r="I64" s="107" t="n"/>
      <c r="J64" s="107" t="n"/>
      <c r="K64" s="107" t="n"/>
      <c r="L64" s="107" t="n"/>
    </row>
    <row r="65" ht="15" customHeight="1" s="56">
      <c r="A65" s="105" t="inlineStr">
        <is>
          <t>7 Dec</t>
        </is>
      </c>
      <c r="B65" s="105" t="inlineStr">
        <is>
          <t>Beijing South → PEK</t>
        </is>
      </c>
      <c r="C65" s="82" t="inlineStr">
        <is>
          <t>Metro line 4 + 10 + Airport Express / taxi</t>
        </is>
      </c>
      <c r="D65" s="104" t="n">
        <v>0.05208333333333334</v>
      </c>
      <c r="E65" s="106" t="inlineStr">
        <is>
          <t>Be at PEK by ~11:00</t>
        </is>
      </c>
      <c r="F65" s="107" t="n"/>
      <c r="G65" s="107" t="n"/>
      <c r="H65" s="107" t="n"/>
      <c r="I65" s="107" t="n"/>
      <c r="J65" s="107" t="n"/>
      <c r="K65" s="107" t="n"/>
      <c r="L65" s="107" t="n"/>
    </row>
    <row r="66" ht="15" customHeight="1" s="56">
      <c r="A66" s="105" t="inlineStr">
        <is>
          <t>7 Dec</t>
        </is>
      </c>
      <c r="B66" s="105" t="inlineStr">
        <is>
          <t>PEK check-in &amp; security</t>
        </is>
      </c>
      <c r="C66" s="82" t="inlineStr">
        <is>
          <t>—</t>
        </is>
      </c>
      <c r="D66" s="104" t="n">
        <v>0.0625</v>
      </c>
      <c r="E66" s="106" t="inlineStr">
        <is>
          <t>Estimate</t>
        </is>
      </c>
      <c r="F66" s="107" t="n"/>
      <c r="G66" s="107" t="n"/>
      <c r="H66" s="107" t="n"/>
      <c r="I66" s="107" t="n"/>
      <c r="J66" s="107" t="n"/>
      <c r="K66" s="107" t="n"/>
      <c r="L66" s="107" t="n"/>
    </row>
    <row r="67" ht="15" customHeight="1" s="56">
      <c r="A67" s="105" t="inlineStr">
        <is>
          <t>7 Dec</t>
        </is>
      </c>
      <c r="B67" s="105" t="inlineStr">
        <is>
          <t>Beijing (PEK) → Ulaanbaatar</t>
        </is>
      </c>
      <c r="C67" s="82" t="inlineStr">
        <is>
          <t>Air China CA955 12:55–15:05</t>
        </is>
      </c>
      <c r="D67" s="104" t="n">
        <v>0.09027777777777778</v>
      </c>
      <c r="E67" s="106" t="n"/>
      <c r="F67" s="107" t="n"/>
      <c r="G67" s="107" t="n"/>
      <c r="H67" s="107" t="n"/>
      <c r="I67" s="107" t="n"/>
      <c r="J67" s="107" t="n"/>
      <c r="K67" s="107" t="n"/>
      <c r="L67" s="107" t="n"/>
    </row>
    <row r="68" ht="15" customHeight="1" s="56">
      <c r="A68" s="105" t="inlineStr">
        <is>
          <t>7 Dec</t>
        </is>
      </c>
      <c r="B68" s="105" t="inlineStr">
        <is>
          <t>Chinggis Khaan airport → home</t>
        </is>
      </c>
      <c r="C68" s="82" t="inlineStr">
        <is>
          <t>Taxi</t>
        </is>
      </c>
      <c r="D68" s="104" t="n">
        <v>0.04166666666666666</v>
      </c>
      <c r="E68" s="106" t="n"/>
      <c r="F68" s="107" t="n"/>
      <c r="G68" s="107" t="n"/>
      <c r="H68" s="107" t="n"/>
      <c r="I68" s="107" t="n"/>
      <c r="J68" s="107" t="n"/>
      <c r="K68" s="107" t="n"/>
      <c r="L68" s="107" t="n"/>
    </row>
    <row r="69" ht="15" customHeight="1" s="56">
      <c r="A69" s="105" t="n"/>
      <c r="B69" s="105" t="n"/>
      <c r="C69" s="82" t="n"/>
      <c r="D69" s="104" t="n"/>
      <c r="E69" s="106" t="n"/>
      <c r="F69" s="107" t="n"/>
      <c r="G69" s="107" t="n"/>
      <c r="H69" s="107" t="n"/>
      <c r="I69" s="107" t="n"/>
      <c r="J69" s="107" t="n"/>
      <c r="K69" s="107" t="n"/>
      <c r="L69" s="107" t="n"/>
    </row>
    <row r="71" ht="15" customHeight="1" s="56">
      <c r="C71" s="59" t="inlineStr">
        <is>
          <t>Total door-to-door</t>
        </is>
      </c>
      <c r="D71" s="109">
        <f>SUM(D58:D68)</f>
        <v/>
      </c>
    </row>
  </sheetData>
  <mergeCells count="21">
    <mergeCell ref="E58:L58"/>
    <mergeCell ref="C52:L52"/>
    <mergeCell ref="E68:L68"/>
    <mergeCell ref="E62:L62"/>
    <mergeCell ref="B46:L46"/>
    <mergeCell ref="E67:L67"/>
    <mergeCell ref="B43:L43"/>
    <mergeCell ref="C53:L53"/>
    <mergeCell ref="E64:L64"/>
    <mergeCell ref="E63:L63"/>
    <mergeCell ref="E60:L60"/>
    <mergeCell ref="E69:L69"/>
    <mergeCell ref="E65:L65"/>
    <mergeCell ref="B44:L44"/>
    <mergeCell ref="E59:L59"/>
    <mergeCell ref="C54:L54"/>
    <mergeCell ref="C50:L50"/>
    <mergeCell ref="E61:L61"/>
    <mergeCell ref="E66:L66"/>
    <mergeCell ref="C51:L51"/>
    <mergeCell ref="B45:L45"/>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74"/>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Shanghai – Train (no sleeper)</t>
        </is>
      </c>
    </row>
    <row r="2" ht="15" customHeight="1" s="56">
      <c r="A2" s="62" t="inlineStr">
        <is>
          <t>As 'Shanghai – Sleeper' but back by day G-train from Hongqiao after the awards and a Beijing hotel night near Beijing South.</t>
        </is>
      </c>
    </row>
    <row r="4" ht="15" customHeight="1" s="56">
      <c r="A4" s="60" t="inlineStr">
        <is>
          <t>Days in destination (meals &amp; local transport)</t>
        </is>
      </c>
      <c r="B4" s="76" t="n">
        <v>4</v>
      </c>
      <c r="C4" s="62" t="inlineStr">
        <is>
          <t>3 Dec → morning 7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45" customHeight="1" s="56">
      <c r="A10" s="81" t="n"/>
      <c r="B10" s="111" t="inlineStr">
        <is>
          <t>MIAT OM223 Ulaanbaatar → Beijing (PEK), 07:30–09:45</t>
        </is>
      </c>
      <c r="C10" s="83" t="inlineStr">
        <is>
          <t>3 Dec</t>
        </is>
      </c>
      <c r="D10" s="84" t="n">
        <v>0.09375</v>
      </c>
      <c r="E10" s="85" t="n">
        <v>151</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MIAT 07:30–09:45 $151 pp; SlickTrip $154 ('low' against the usual $206–410). Air China 11:50 is $200</t>
        </is>
      </c>
    </row>
    <row r="11" ht="45" customHeight="1" s="56">
      <c r="A11" s="81" t="n"/>
      <c r="B11" s="111" t="inlineStr">
        <is>
          <t>Air China CA955 Beijing (PEK) → Ulaanbaatar, nonstop 12:55–15:05</t>
        </is>
      </c>
      <c r="C11" s="83" t="inlineStr">
        <is>
          <t>7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$197). The 12:55 departure leaves time after the D8 sleeper</t>
        </is>
      </c>
    </row>
    <row r="12" ht="15" customHeight="1" s="56">
      <c r="A12" s="79" t="inlineStr">
        <is>
          <t>Trains</t>
        </is>
      </c>
      <c r="B12" s="80" t="n"/>
      <c r="C12" s="80" t="n"/>
      <c r="D12" s="80" t="n"/>
      <c r="E12" s="80" t="n"/>
      <c r="F12" s="80" t="n"/>
      <c r="G12" s="80" t="n"/>
      <c r="H12" s="80" t="n"/>
      <c r="I12" s="80" t="n"/>
      <c r="J12" s="80" t="n"/>
      <c r="K12" s="80" t="n"/>
      <c r="L12" s="80" t="n"/>
    </row>
    <row r="13" ht="45" customHeight="1" s="56">
      <c r="A13" s="81" t="n"/>
      <c r="B13" s="111" t="inlineStr">
        <is>
          <t>High-speed rail Beijing South 13:00 → Shanghai 17:35 (G17), 2nd class</t>
        </is>
      </c>
      <c r="C13" s="83" t="inlineStr">
        <is>
          <t>3 Dec</t>
        </is>
      </c>
      <c r="D13" s="84" t="n">
        <v>0.1909722222222222</v>
      </c>
      <c r="E13" s="85" t="n">
        <v>667</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(queried 10 Oct for 20 Oct; fares fixed): G17 ¥667; G15 12:00 → Hongqiao ¥661 is too tight after MIAT lands 09:45; G1 06:30 → Hongqiao ¥598 is too early</t>
        </is>
      </c>
    </row>
    <row r="14" ht="45" customHeight="1" s="56">
      <c r="A14" s="81" t="n"/>
      <c r="B14" s="111" t="inlineStr">
        <is>
          <t>High-speed rail Shanghai Hongqiao 19:25 → Beijing South 23:49 (G32), 2nd class</t>
        </is>
      </c>
      <c r="C14" s="83" t="inlineStr">
        <is>
          <t>6 Dec (evening)</t>
        </is>
      </c>
      <c r="D14" s="84" t="n">
        <v>0.1833333333333333</v>
      </c>
      <c r="E14" s="85" t="n">
        <v>598</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(queried 10 Oct for 20 Oct): G32 ¥598; G30 18:52 → 23:21 ¥626 (tight after 17:00 awards); G808 17:25 → 23:16 ¥498 too early</t>
        </is>
      </c>
    </row>
    <row r="15" ht="15" customHeight="1" s="56">
      <c r="A15" s="79" t="inlineStr">
        <is>
          <t>Accommodation</t>
        </is>
      </c>
      <c r="B15" s="80" t="n"/>
      <c r="C15" s="80" t="n"/>
      <c r="D15" s="80" t="n"/>
      <c r="E15" s="80" t="n"/>
      <c r="F15" s="80" t="n"/>
      <c r="G15" s="80" t="n"/>
      <c r="H15" s="80" t="n"/>
      <c r="I15" s="80" t="n"/>
      <c r="J15" s="80" t="n"/>
      <c r="K15" s="80" t="n"/>
      <c r="L15" s="80" t="n"/>
    </row>
    <row r="16" ht="105" customHeight="1" s="56">
      <c r="A16" s="81" t="n"/>
      <c r="B16" s="111" t="inlineStr">
        <is>
          <t>Hi Inn Shanghai University Hutai Road (1.8 km, 8.9) – 3 ppl: 2 rooms (2 + 1 beds); 4 ppl: Jtour Inn Hotel Shanghai University (1.8 km, 8.6), 2 rooms of 2</t>
        </is>
      </c>
      <c r="C16" s="83" t="inlineStr">
        <is>
          <t>3–6 Dec (3 nights)</t>
        </is>
      </c>
      <c r="D16" s="81" t="n"/>
      <c r="E16" s="85">
        <f>820/3</f>
        <v/>
      </c>
      <c r="F16" s="86" t="inlineStr">
        <is>
          <t>CNY</t>
        </is>
      </c>
      <c r="G16" s="91" t="n">
        <v>3</v>
      </c>
      <c r="H16" s="88">
        <f>E16*G16*IF(F16="USD",Compare!$B$8,IF(F16="CNY",Compare!$B$9,IF(F16="HKD",Compare!$B$10,1)))</f>
        <v/>
      </c>
      <c r="I16" s="85">
        <f>708/3</f>
        <v/>
      </c>
      <c r="J16" s="91" t="n">
        <v>3</v>
      </c>
      <c r="K16" s="88">
        <f>I16*J16*IF(F16="USD",Compare!$B$8,IF(F16="CNY",Compare!$B$9,IF(F16="HKD",Compare!$B$10,1)))</f>
        <v/>
      </c>
      <c r="L16" s="112" t="inlineStr">
        <is>
          <t>Trip.com 10 Oct (Shanghai University landmark, Hotel + private-bathroom filters, lowest price first): Hi Inn Shanghai University Hutai Road (1.8 km walk, 8.9 from 423 reviews, Comfort Twin Room with fresh-air system) ¥820 for 3 nights, 2 rooms, for 3 ppl; Jtour Inn Hotel Shanghai University (1.8 km, 8.6 from 142 reviews) ¥708 for 4 ppl (2 rooms of 2; it is not offered for 3 adults). Cheaper but worse: Yibai Gucun Park (5.2 km, 7.9) ¥624, Boshi Changzhong Rd (2.5 km, 8.2) ¥684. Compare Jenny's Apartment, 1 room for 3: ¥1,375.</t>
        </is>
      </c>
    </row>
    <row r="17" ht="30" customHeight="1" s="56">
      <c r="A17" s="81" t="n"/>
      <c r="B17" s="111" t="inlineStr">
        <is>
          <t>Beijing budget hotel near Beijing South (3 ppl 1 room; 4 ppl 2 rooms)</t>
        </is>
      </c>
      <c r="C17" s="83" t="inlineStr">
        <is>
          <t>6 Dec (1 night)</t>
        </is>
      </c>
      <c r="D17" s="81" t="n"/>
      <c r="E17" s="113" t="n">
        <v>300</v>
      </c>
      <c r="F17" s="86" t="inlineStr">
        <is>
          <t>CNY</t>
        </is>
      </c>
      <c r="G17" s="91" t="n">
        <v>1</v>
      </c>
      <c r="H17" s="88">
        <f>E17*G17*IF(F17="USD",Compare!$B$8,IF(F17="CNY",Compare!$B$9,IF(F17="HKD",Compare!$B$10,1)))</f>
        <v/>
      </c>
      <c r="I17" s="113" t="n">
        <v>600</v>
      </c>
      <c r="J17" s="91" t="n">
        <v>1</v>
      </c>
      <c r="K17" s="88">
        <f>I17*J17*IF(F17="USD",Compare!$B$8,IF(F17="CNY",Compare!$B$9,IF(F17="HKD",Compare!$B$10,1)))</f>
        <v/>
      </c>
      <c r="L17" s="112" t="inlineStr">
        <is>
          <t>ASSUMPTION ~300 CNY/room (Booking.com 6–7 Nov quotes: 227–366 CNY/night for 3 people)</t>
        </is>
      </c>
    </row>
    <row r="18" ht="15" customHeight="1" s="56">
      <c r="A18" s="79" t="inlineStr">
        <is>
          <t>Meals &amp; local transport</t>
        </is>
      </c>
      <c r="B18" s="80" t="n"/>
      <c r="C18" s="80" t="n"/>
      <c r="D18" s="80" t="n"/>
      <c r="E18" s="80" t="n"/>
      <c r="F18" s="80" t="n"/>
      <c r="G18" s="80" t="n"/>
      <c r="H18" s="80" t="n"/>
      <c r="I18" s="80" t="n"/>
      <c r="J18" s="80" t="n"/>
      <c r="K18" s="80" t="n"/>
      <c r="L18" s="80" t="n"/>
    </row>
    <row r="19" ht="30" customHeight="1" s="56">
      <c r="A19" s="81" t="n"/>
      <c r="B19" s="111" t="inlineStr">
        <is>
          <t>Meals</t>
        </is>
      </c>
      <c r="C19" s="83" t="inlineStr">
        <is>
          <t>in destination</t>
        </is>
      </c>
      <c r="D19" s="81" t="n"/>
      <c r="E19" s="113" t="n">
        <v>80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80 CNY/person/day; hosts usually provide some meals on contest days</t>
        </is>
      </c>
    </row>
    <row r="20" ht="15" customHeight="1" s="56">
      <c r="A20" s="81" t="n"/>
      <c r="B20" s="111" t="inlineStr">
        <is>
          <t>Local transport (metro, taxis)</t>
        </is>
      </c>
      <c r="C20" s="83" t="inlineStr">
        <is>
          <t>in destination</t>
        </is>
      </c>
      <c r="D20" s="81" t="n"/>
      <c r="E20" s="113" t="n">
        <v>30</v>
      </c>
      <c r="F20" s="86" t="inlineStr">
        <is>
          <t>CNY</t>
        </is>
      </c>
      <c r="G20" s="87">
        <f>Compare!$B$6*$B$4</f>
        <v/>
      </c>
      <c r="H20" s="88">
        <f>E20*G20*IF(F20="USD",Compare!$B$8,IF(F20="CNY",Compare!$B$9,IF(F20="HKD",Compare!$B$10,1)))</f>
        <v/>
      </c>
      <c r="I20" s="114">
        <f>E20</f>
        <v/>
      </c>
      <c r="J20" s="87">
        <f>Compare!$B$7*$B$4</f>
        <v/>
      </c>
      <c r="K20" s="88">
        <f>I20*J20*IF(F20="USD",Compare!$B$8,IF(F20="CNY",Compare!$B$9,IF(F20="HKD",Compare!$B$10,1)))</f>
        <v/>
      </c>
      <c r="L20" s="112" t="inlineStr">
        <is>
          <t>ASSUMPTION 30 CNY/person/day</t>
        </is>
      </c>
    </row>
    <row r="21" ht="15" customHeight="1" s="56">
      <c r="A21" s="81" t="n"/>
      <c r="B21" s="111" t="inlineStr">
        <is>
          <t>Taxi PEK → Beijing South</t>
        </is>
      </c>
      <c r="C21" s="83" t="inlineStr">
        <is>
          <t>3 Dec</t>
        </is>
      </c>
      <c r="D21" s="84" t="n"/>
      <c r="E21" s="113" t="n">
        <v>120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~120 CNY per car (~45 km)</t>
        </is>
      </c>
    </row>
    <row r="22" ht="15" customHeight="1" s="56">
      <c r="A22" s="81" t="n"/>
      <c r="B22" s="111" t="inlineStr">
        <is>
          <t>Taxi Shanghai station → hotel</t>
        </is>
      </c>
      <c r="C22" s="83" t="inlineStr">
        <is>
          <t>3 Dec</t>
        </is>
      </c>
      <c r="D22" s="84" t="n"/>
      <c r="E22" s="113" t="n">
        <v>80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~80 CNY per car, ~25 km</t>
        </is>
      </c>
    </row>
    <row r="23" ht="30" customHeight="1" s="56">
      <c r="A23" s="81" t="n"/>
      <c r="B23" s="111" t="inlineStr">
        <is>
          <t>Taxi campus → Hongqiao station</t>
        </is>
      </c>
      <c r="C23" s="83" t="inlineStr">
        <is>
          <t>6 Dec</t>
        </is>
      </c>
      <c r="D23" s="84" t="n"/>
      <c r="E23" s="113" t="n">
        <v>110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~110 CNY per car, ~35 km (metro line 7 + 2 ~1 h 15 min)</t>
        </is>
      </c>
    </row>
    <row r="24" ht="15" customHeight="1" s="56">
      <c r="A24" s="81" t="n"/>
      <c r="B24" s="111" t="inlineStr">
        <is>
          <t>Taxi hotel (Beijing South) → PEK</t>
        </is>
      </c>
      <c r="C24" s="83" t="inlineStr">
        <is>
          <t>7 Dec</t>
        </is>
      </c>
      <c r="D24" s="84" t="n"/>
      <c r="E24" s="113" t="n">
        <v>150</v>
      </c>
      <c r="F24" s="86" t="inlineStr">
        <is>
          <t>CNY</t>
        </is>
      </c>
      <c r="G24" s="91" t="n">
        <v>1</v>
      </c>
      <c r="H24" s="88">
        <f>E24*G24*IF(F24="USD",Compare!$B$8,IF(F24="CNY",Compare!$B$9,IF(F24="HKD",Compare!$B$10,1)))</f>
        <v/>
      </c>
      <c r="I24" s="114">
        <f>E24</f>
        <v/>
      </c>
      <c r="J24" s="91" t="n">
        <v>1</v>
      </c>
      <c r="K24" s="88">
        <f>I24*J24*IF(F24="USD",Compare!$B$8,IF(F24="CNY",Compare!$B$9,IF(F24="HKD",Compare!$B$10,1)))</f>
        <v/>
      </c>
      <c r="L24" s="112" t="inlineStr">
        <is>
          <t>ASSUMPTION ~150 CNY per car, ~50 km, leave ~09:30</t>
        </is>
      </c>
    </row>
    <row r="25" ht="15" customHeight="1" s="56">
      <c r="A25" s="94" t="inlineStr">
        <is>
          <t>PAID PERSONALLY (university won't cover)</t>
        </is>
      </c>
      <c r="B25" s="95" t="n"/>
      <c r="C25" s="95" t="n"/>
      <c r="D25" s="95" t="n"/>
      <c r="E25" s="95" t="n"/>
      <c r="F25" s="95" t="n"/>
      <c r="G25" s="95" t="n"/>
      <c r="H25" s="95" t="n"/>
      <c r="I25" s="95" t="n"/>
      <c r="J25" s="95" t="n"/>
      <c r="K25" s="95" t="n"/>
      <c r="L25" s="95" t="n"/>
    </row>
    <row r="26" ht="15" customHeight="1" s="56">
      <c r="A26" s="79" t="inlineStr">
        <is>
          <t>Contest fee</t>
        </is>
      </c>
      <c r="B26" s="80" t="n"/>
      <c r="C26" s="80" t="n"/>
      <c r="D26" s="80" t="n"/>
      <c r="E26" s="80" t="n"/>
      <c r="F26" s="80" t="n"/>
      <c r="G26" s="80" t="n"/>
      <c r="H26" s="80" t="n"/>
      <c r="I26" s="80" t="n"/>
      <c r="J26" s="80" t="n"/>
      <c r="K26" s="80" t="n"/>
      <c r="L26" s="80" t="n"/>
    </row>
    <row r="27" ht="22.35" customHeight="1" s="56">
      <c r="A27" s="81" t="n"/>
      <c r="B27" s="82" t="inlineStr">
        <is>
          <t>Shanghai regional registration fee (per team)</t>
        </is>
      </c>
      <c r="C27" s="83" t="inlineStr">
        <is>
          <t>TBC</t>
        </is>
      </c>
      <c r="D27" s="81" t="n"/>
      <c r="E27" s="113" t="n">
        <v>1500</v>
      </c>
      <c r="F27" s="86" t="inlineStr">
        <is>
          <t>CNY</t>
        </is>
      </c>
      <c r="G27" s="91" t="n">
        <v>1</v>
      </c>
      <c r="H27" s="88">
        <f>E27*G27*IF(F27="USD",Compare!$B$8,IF(F27="CNY",Compare!$B$9,IF(F27="HKD",Compare!$B$10,1)))</f>
        <v/>
      </c>
      <c r="I27" s="114">
        <f>E27</f>
        <v/>
      </c>
      <c r="J27" s="91" t="n">
        <v>1</v>
      </c>
      <c r="K27" s="88">
        <f>I27*J27*IF(F27="USD",Compare!$B$8,IF(F27="CNY",Compare!$B$9,IF(F27="HKD",Compare!$B$10,1)))</f>
        <v/>
      </c>
      <c r="L27" s="90" t="inlineStr">
        <is>
          <t>¥1,500/team in the 2025 Shanghai invitation (shu_icpc); 2026 invitation not seen</t>
        </is>
      </c>
    </row>
    <row r="28" ht="15" customHeight="1" s="56">
      <c r="A28" s="79" t="inlineStr">
        <is>
          <t>Other</t>
        </is>
      </c>
      <c r="B28" s="80" t="n"/>
      <c r="C28" s="80" t="n"/>
      <c r="D28" s="80" t="n"/>
      <c r="E28" s="80" t="n"/>
      <c r="F28" s="80" t="n"/>
      <c r="G28" s="80" t="n"/>
      <c r="H28" s="80" t="n"/>
      <c r="I28" s="80" t="n"/>
      <c r="J28" s="80" t="n"/>
      <c r="K28" s="80" t="n"/>
      <c r="L28" s="80" t="n"/>
    </row>
    <row r="29" ht="15" customHeight="1" s="56">
      <c r="A29" s="81" t="n"/>
      <c r="B29" s="82" t="inlineStr">
        <is>
          <t>Taxi to/from Chinggis Khaan airport (UB), per trip</t>
        </is>
      </c>
      <c r="C29" s="83" t="inlineStr">
        <is>
          <t>out &amp; back</t>
        </is>
      </c>
      <c r="D29" s="84" t="n">
        <v>0.04166666666666666</v>
      </c>
      <c r="E29" s="92" t="n">
        <v>100000</v>
      </c>
      <c r="F29" s="86" t="inlineStr">
        <is>
          <t>MNT</t>
        </is>
      </c>
      <c r="G29" s="91" t="n">
        <v>2</v>
      </c>
      <c r="H29" s="88">
        <f>E29*G29*IF(F29="USD",Compare!$B$8,IF(F29="CNY",Compare!$B$9,IF(F29="HKD",Compare!$B$10,1)))</f>
        <v/>
      </c>
      <c r="I29" s="93">
        <f>E29</f>
        <v/>
      </c>
      <c r="J29" s="91" t="n">
        <v>2</v>
      </c>
      <c r="K29" s="88">
        <f>I29*J29*IF(F29="USD",Compare!$B$8,IF(F29="CNY",Compare!$B$9,IF(F29="HKD",Compare!$B$10,1)))</f>
        <v/>
      </c>
      <c r="L29" s="90" t="inlineStr">
        <is>
          <t>ASSUMPTION 100k MNT per trip for the group</t>
        </is>
      </c>
    </row>
    <row r="30" ht="15" customHeight="1" s="56">
      <c r="A30" s="81" t="n"/>
      <c r="B30" s="82" t="inlineStr">
        <is>
          <t>Travel medical insurance</t>
        </is>
      </c>
      <c r="C30" s="83" t="n"/>
      <c r="D30" s="81" t="n"/>
      <c r="E30" s="92" t="n">
        <v>30000</v>
      </c>
      <c r="F30" s="86" t="inlineStr">
        <is>
          <t>MNT</t>
        </is>
      </c>
      <c r="G30" s="87">
        <f>Compare!$B$6</f>
        <v/>
      </c>
      <c r="H30" s="88">
        <f>E30*G30*IF(F30="USD",Compare!$B$8,IF(F30="CNY",Compare!$B$9,IF(F30="HKD",Compare!$B$10,1)))</f>
        <v/>
      </c>
      <c r="I30" s="93">
        <f>E30</f>
        <v/>
      </c>
      <c r="J30" s="87">
        <f>Compare!$B$7</f>
        <v/>
      </c>
      <c r="K30" s="88">
        <f>I30*J30*IF(F30="USD",Compare!$B$8,IF(F30="CNY",Compare!$B$9,IF(F30="HKD",Compare!$B$10,1)))</f>
        <v/>
      </c>
      <c r="L30" s="90" t="inlineStr">
        <is>
          <t>ASSUMPTION ~30k MNT per person, Mongolian insurer</t>
        </is>
      </c>
    </row>
    <row r="31" ht="15" customHeight="1" s="56">
      <c r="A31" s="81" t="n"/>
      <c r="B31" s="82" t="inlineStr">
        <is>
          <t>Mobile data eSIM</t>
        </is>
      </c>
      <c r="C31" s="83" t="n"/>
      <c r="D31" s="81" t="n"/>
      <c r="E31" s="92" t="n">
        <v>10</v>
      </c>
      <c r="F31" s="86" t="inlineStr">
        <is>
          <t>USD</t>
        </is>
      </c>
      <c r="G31" s="87">
        <f>Compare!$B$6</f>
        <v/>
      </c>
      <c r="H31" s="88">
        <f>E31*G31*IF(F31="USD",Compare!$B$8,IF(F31="CNY",Compare!$B$9,IF(F31="HKD",Compare!$B$10,1)))</f>
        <v/>
      </c>
      <c r="I31" s="93">
        <f>E31</f>
        <v/>
      </c>
      <c r="J31" s="87">
        <f>Compare!$B$7</f>
        <v/>
      </c>
      <c r="K31" s="88">
        <f>I31*J31*IF(F31="USD",Compare!$B$8,IF(F31="CNY",Compare!$B$9,IF(F31="HKD",Compare!$B$10,1)))</f>
        <v/>
      </c>
      <c r="L31" s="90" t="inlineStr">
        <is>
          <t>ASSUMPTION ~$10 pp</t>
        </is>
      </c>
    </row>
    <row r="32" ht="22.35" customHeight="1" s="56">
      <c r="A32" s="81" t="n"/>
      <c r="B32" s="82" t="inlineStr">
        <is>
          <t>Visa</t>
        </is>
      </c>
      <c r="C32" s="83" t="n"/>
      <c r="D32" s="81" t="n"/>
      <c r="E32" s="85" t="n">
        <v>0</v>
      </c>
      <c r="F32" s="86" t="inlineStr">
        <is>
          <t>MNT</t>
        </is>
      </c>
      <c r="G32" s="87">
        <f>Compare!$B$6</f>
        <v/>
      </c>
      <c r="H32" s="88">
        <f>E32*G32*IF(F32="USD",Compare!$B$8,IF(F32="CNY",Compare!$B$9,IF(F32="HKD",Compare!$B$10,1)))</f>
        <v/>
      </c>
      <c r="I32" s="89">
        <f>E32</f>
        <v/>
      </c>
      <c r="J32" s="87">
        <f>Compare!$B$7</f>
        <v/>
      </c>
      <c r="K32" s="88">
        <f>I32*J32*IF(F32="USD",Compare!$B$8,IF(F32="CNY",Compare!$B$9,IF(F32="HKD",Compare!$B$10,1)))</f>
        <v/>
      </c>
      <c r="L32" s="90" t="inlineStr">
        <is>
          <t>Mongolian passports: visa-free (mainland China up to 30 days; Hong Kong up to 14 days)</t>
        </is>
      </c>
    </row>
    <row r="34" ht="15" customHeight="1" s="56">
      <c r="G34" s="60" t="n"/>
      <c r="H34" s="96" t="inlineStr">
        <is>
          <t>3 people – UNFUNDED</t>
        </is>
      </c>
      <c r="K34" s="96" t="inlineStr">
        <is>
          <t>4 people – FUNDED ₮12M</t>
        </is>
      </c>
    </row>
    <row r="35" ht="15" customHeight="1" s="56">
      <c r="G35" s="97" t="inlineStr">
        <is>
          <t>University-paid subtotal</t>
        </is>
      </c>
      <c r="H35" s="98">
        <f>SUM(H9:H24)</f>
        <v/>
      </c>
      <c r="K35" s="98">
        <f>SUM(K9:K24)</f>
        <v/>
      </c>
    </row>
    <row r="36" ht="15" customHeight="1" s="56">
      <c r="G36" s="99" t="inlineStr">
        <is>
          <t>Contingency</t>
        </is>
      </c>
      <c r="H36" s="100">
        <f>H35*Compare!$B$11</f>
        <v/>
      </c>
      <c r="K36" s="100">
        <f>K35*Compare!$B$11</f>
        <v/>
      </c>
    </row>
    <row r="37" ht="15" customHeight="1" s="56">
      <c r="G37" s="97" t="inlineStr">
        <is>
          <t>University-paid total incl. contingency</t>
        </is>
      </c>
      <c r="H37" s="98">
        <f>H35+H36</f>
        <v/>
      </c>
      <c r="K37" s="98">
        <f>K35+K36</f>
        <v/>
      </c>
    </row>
    <row r="38" ht="15" customHeight="1" s="56">
      <c r="G38" s="97" t="inlineStr">
        <is>
          <t>Funding left (negative = over)</t>
        </is>
      </c>
      <c r="H38" s="101">
        <f>Compare!$B$12-H37</f>
        <v/>
      </c>
      <c r="K38" s="101">
        <f>Compare!$B$5-K37</f>
        <v/>
      </c>
    </row>
    <row r="39" ht="15" customHeight="1" s="56">
      <c r="G39" s="97" t="inlineStr">
        <is>
          <t>Personal costs – team</t>
        </is>
      </c>
      <c r="H39" s="102">
        <f>SUM(H26:H32)</f>
        <v/>
      </c>
      <c r="K39" s="102">
        <f>SUM(K26:K32)</f>
        <v/>
      </c>
    </row>
    <row r="40" ht="15" customHeight="1" s="56">
      <c r="G40" s="97" t="inlineStr">
        <is>
          <t>Out-of-pocket per person (personal + any overrun)</t>
        </is>
      </c>
      <c r="H40" s="102">
        <f>(H39+MAX(0,-H38))/Compare!$B$6</f>
        <v/>
      </c>
      <c r="K40" s="102">
        <f>(K39+MAX(0,-K38))/Compare!$B$7</f>
        <v/>
      </c>
    </row>
    <row r="41" ht="15" customHeight="1" s="56">
      <c r="G41" s="97" t="inlineStr">
        <is>
          <t>Whole trip cost (university + personal)</t>
        </is>
      </c>
      <c r="H41" s="103">
        <f>H37+H39</f>
        <v/>
      </c>
      <c r="K41" s="103">
        <f>K37+K39</f>
        <v/>
      </c>
    </row>
    <row r="42" ht="15" customHeight="1" s="56">
      <c r="G42" s="99" t="inlineStr">
        <is>
          <t>Time in planes &amp; trains</t>
        </is>
      </c>
      <c r="H42" s="104">
        <f>D10+D11+D13+D14</f>
        <v/>
      </c>
      <c r="K42" s="104">
        <f>D10+D11+D13+D14</f>
        <v/>
      </c>
    </row>
    <row r="44" ht="15" customHeight="1" s="56">
      <c r="A44" s="72" t="inlineStr">
        <is>
          <t>Key facts</t>
        </is>
      </c>
    </row>
    <row r="45" ht="30" customHeight="1" s="56">
      <c r="A45" s="75" t="inlineStr">
        <is>
          <t>Contest</t>
        </is>
      </c>
      <c r="B45" s="74" t="inlineStr">
        <is>
          <t>Asia Shanghai Regional, 5–6 Dec 2026 (provisional), Shanghai University Baoshan campus (gym; metro line 7 Shangda Rd). 2025 pattern: day 1 registration 09:00–14:00, opening 14:00, warm-up 15:00–17:00; day 2 contest 09:00–14:00, awards 15:30–17:00.</t>
        </is>
      </c>
    </row>
    <row r="46" ht="15" customHeight="1" s="56">
      <c r="A46" s="75" t="inlineStr">
        <is>
          <t>Wildcard</t>
        </is>
      </c>
      <c r="B46" s="74" t="inlineStr">
        <is>
          <t>A Mongolian team needs a wildcard (外卡): email shu_icpc@163.com. The first round closed on 17 Oct in 2025 – ask now.</t>
        </is>
      </c>
    </row>
    <row r="47" ht="15" customHeight="1" s="56">
      <c r="A47" s="75" t="inlineStr">
        <is>
          <t>Why this plan</t>
        </is>
      </c>
      <c r="B47" s="74" t="inlineStr">
        <is>
          <t>Sleeps in a bed both nights and arrives in Beijing at 23:49 with time to rest before the 12:55 flight.</t>
        </is>
      </c>
    </row>
    <row r="48" ht="15" customHeight="1" s="56">
      <c r="A48" s="75" t="inlineStr">
        <is>
          <t>Trade-off</t>
        </is>
      </c>
      <c r="B48" s="74" t="inlineStr">
        <is>
          <t>A Beijing hotel night (¥300) and a dearer day train (¥598 vs ¥361 seat) – about ₮0.63M more than the sleeper plan (3 ppl).</t>
        </is>
      </c>
    </row>
    <row r="50" ht="15" customHeight="1" s="56">
      <c r="A50" s="72" t="inlineStr">
        <is>
          <t>Day-by-day plan</t>
        </is>
      </c>
    </row>
    <row r="51" ht="15" customHeight="1" s="56">
      <c r="A51" s="96" t="inlineStr">
        <is>
          <t>Date</t>
        </is>
      </c>
      <c r="B51" s="96" t="inlineStr">
        <is>
          <t>Sleep in</t>
        </is>
      </c>
      <c r="C51" s="96" t="inlineStr">
        <is>
          <t>What happens</t>
        </is>
      </c>
    </row>
    <row r="52" ht="15" customHeight="1" s="56">
      <c r="A52" s="74" t="inlineStr">
        <is>
          <t>Thu 3 Dec</t>
        </is>
      </c>
      <c r="B52" s="74" t="inlineStr">
        <is>
          <t>Shanghai</t>
        </is>
      </c>
      <c r="C52" s="74" t="inlineStr">
        <is>
          <t>MIAT OM223 UB 07:30 → Beijing 09:45; taxi to Beijing South; G17 13:00 → Shanghai 17:35; taxi to Hi Inn (Hutai Road).</t>
        </is>
      </c>
    </row>
    <row r="53" ht="15" customHeight="1" s="56">
      <c r="A53" s="74" t="inlineStr">
        <is>
          <t>Fri 4 Dec</t>
        </is>
      </c>
      <c r="B53" s="74" t="inlineStr">
        <is>
          <t>Shanghai</t>
        </is>
      </c>
      <c r="C53" s="74" t="inlineStr">
        <is>
          <t>Rest / practice day.</t>
        </is>
      </c>
    </row>
    <row r="54" ht="15" customHeight="1" s="56">
      <c r="A54" s="74" t="inlineStr">
        <is>
          <t>Sat 5 Dec</t>
        </is>
      </c>
      <c r="B54" s="74" t="inlineStr">
        <is>
          <t>Shanghai</t>
        </is>
      </c>
      <c r="C54" s="74" t="inlineStr">
        <is>
          <t>Registration (09:00–14:00), opening 14:00, warm-up 15:00–17:00 at Shanghai University Baoshan (2025 pattern).</t>
        </is>
      </c>
    </row>
    <row r="55" ht="15" customHeight="1" s="56">
      <c r="A55" s="74" t="inlineStr">
        <is>
          <t>Sun 6 Dec</t>
        </is>
      </c>
      <c r="B55" s="74" t="inlineStr">
        <is>
          <t>Beijing</t>
        </is>
      </c>
      <c r="C55" s="74" t="inlineStr">
        <is>
          <t>SHANGHAI REGIONAL contest day 09:00–14:00; awards ~15:30–17:00. Taxi to Hongqiao; G32 19:25 → Beijing South 23:49; hotel.</t>
        </is>
      </c>
    </row>
    <row r="56" ht="15" customHeight="1" s="56">
      <c r="A56" s="74" t="inlineStr">
        <is>
          <t>Mon 7 Dec</t>
        </is>
      </c>
      <c r="B56" s="74" t="inlineStr">
        <is>
          <t>Home</t>
        </is>
      </c>
      <c r="C56" s="74" t="inlineStr">
        <is>
          <t>Taxi to PEK (leave ~09:30). Air China CA955 12:55 → UB 15:05.</t>
        </is>
      </c>
    </row>
    <row r="58" ht="15" customHeight="1" s="56">
      <c r="A58" s="72" t="inlineStr">
        <is>
          <t>Door-to-door travel times</t>
        </is>
      </c>
    </row>
    <row r="59" ht="15" customHeight="1" s="56">
      <c r="A59" s="96" t="inlineStr">
        <is>
          <t>Date</t>
        </is>
      </c>
      <c r="B59" s="96" t="inlineStr">
        <is>
          <t>Leg</t>
        </is>
      </c>
      <c r="C59" s="96" t="inlineStr">
        <is>
          <t>Mode</t>
        </is>
      </c>
      <c r="D59" s="96" t="inlineStr">
        <is>
          <t>Expected time</t>
        </is>
      </c>
      <c r="E59" s="96" t="inlineStr">
        <is>
          <t>Notes</t>
        </is>
      </c>
    </row>
    <row r="60" ht="15" customHeight="1" s="56">
      <c r="A60" s="105" t="inlineStr">
        <is>
          <t>3 Dec</t>
        </is>
      </c>
      <c r="B60" s="105" t="inlineStr">
        <is>
          <t>Home → Chinggis Khaan airport</t>
        </is>
      </c>
      <c r="C60" s="82" t="inlineStr">
        <is>
          <t>Taxi (~50 km)</t>
        </is>
      </c>
      <c r="D60" s="104" t="n">
        <v>0.04166666666666666</v>
      </c>
      <c r="E60" s="106" t="inlineStr">
        <is>
          <t>Leave ~04:30 for 07:30 flight</t>
        </is>
      </c>
      <c r="F60" s="107" t="n"/>
      <c r="G60" s="107" t="n"/>
      <c r="H60" s="107" t="n"/>
      <c r="I60" s="107" t="n"/>
      <c r="J60" s="107" t="n"/>
      <c r="K60" s="107" t="n"/>
      <c r="L60" s="107" t="n"/>
    </row>
    <row r="61" ht="15" customHeight="1" s="56">
      <c r="A61" s="105" t="inlineStr">
        <is>
          <t>3 Dec</t>
        </is>
      </c>
      <c r="B61" s="105" t="inlineStr">
        <is>
          <t>Ulaanbaatar → Beijing (PEK)</t>
        </is>
      </c>
      <c r="C61" s="82" t="inlineStr">
        <is>
          <t>MIAT OM223 07:30–09:45</t>
        </is>
      </c>
      <c r="D61" s="104" t="n">
        <v>0.09375</v>
      </c>
      <c r="E61" s="106" t="inlineStr"/>
      <c r="F61" s="107" t="n"/>
      <c r="G61" s="107" t="n"/>
      <c r="H61" s="107" t="n"/>
      <c r="I61" s="107" t="n"/>
      <c r="J61" s="107" t="n"/>
      <c r="K61" s="107" t="n"/>
      <c r="L61" s="107" t="n"/>
    </row>
    <row r="62" ht="15" customHeight="1" s="56">
      <c r="A62" s="105" t="inlineStr">
        <is>
          <t>3 Dec</t>
        </is>
      </c>
      <c r="B62" s="105" t="inlineStr">
        <is>
          <t>PEK arrival: immigration, bags</t>
        </is>
      </c>
      <c r="C62" s="82" t="inlineStr">
        <is>
          <t>—</t>
        </is>
      </c>
      <c r="D62" s="104" t="n">
        <v>0.03125</v>
      </c>
      <c r="E62" s="106" t="inlineStr">
        <is>
          <t>Estimate</t>
        </is>
      </c>
      <c r="F62" s="107" t="n"/>
      <c r="G62" s="107" t="n"/>
      <c r="H62" s="107" t="n"/>
      <c r="I62" s="107" t="n"/>
      <c r="J62" s="107" t="n"/>
      <c r="K62" s="107" t="n"/>
      <c r="L62" s="107" t="n"/>
    </row>
    <row r="63" ht="15" customHeight="1" s="56">
      <c r="A63" s="105" t="inlineStr">
        <is>
          <t>3 Dec</t>
        </is>
      </c>
      <c r="B63" s="105" t="inlineStr">
        <is>
          <t>PEK → Beijing South</t>
        </is>
      </c>
      <c r="C63" s="82" t="inlineStr">
        <is>
          <t>Taxi / Airport Express + metro</t>
        </is>
      </c>
      <c r="D63" s="104" t="n">
        <v>0.04166666666666666</v>
      </c>
      <c r="E63" s="106" t="inlineStr">
        <is>
          <t>Estimate; arrive by ~12:00</t>
        </is>
      </c>
      <c r="F63" s="107" t="n"/>
      <c r="G63" s="107" t="n"/>
      <c r="H63" s="107" t="n"/>
      <c r="I63" s="107" t="n"/>
      <c r="J63" s="107" t="n"/>
      <c r="K63" s="107" t="n"/>
      <c r="L63" s="107" t="n"/>
    </row>
    <row r="64" ht="15" customHeight="1" s="56">
      <c r="A64" s="105" t="inlineStr">
        <is>
          <t>3 Dec</t>
        </is>
      </c>
      <c r="B64" s="105" t="inlineStr">
        <is>
          <t>Beijing South → Shanghai</t>
        </is>
      </c>
      <c r="C64" s="82" t="inlineStr">
        <is>
          <t>G17 13:00–17:35</t>
        </is>
      </c>
      <c r="D64" s="104" t="n">
        <v>0.1909722222222222</v>
      </c>
      <c r="E64" s="106" t="inlineStr"/>
      <c r="F64" s="107" t="n"/>
      <c r="G64" s="107" t="n"/>
      <c r="H64" s="107" t="n"/>
      <c r="I64" s="107" t="n"/>
      <c r="J64" s="107" t="n"/>
      <c r="K64" s="107" t="n"/>
      <c r="L64" s="107" t="n"/>
    </row>
    <row r="65" ht="15" customHeight="1" s="56">
      <c r="A65" s="105" t="inlineStr">
        <is>
          <t>3 Dec</t>
        </is>
      </c>
      <c r="B65" s="105" t="inlineStr">
        <is>
          <t>Shanghai station → hotel (Baoshan)</t>
        </is>
      </c>
      <c r="C65" s="82" t="inlineStr">
        <is>
          <t>Taxi / metro</t>
        </is>
      </c>
      <c r="D65" s="104" t="n">
        <v>0.03472222222222222</v>
      </c>
      <c r="E65" s="106" t="inlineStr">
        <is>
          <t>Estimate</t>
        </is>
      </c>
      <c r="F65" s="107" t="n"/>
      <c r="G65" s="107" t="n"/>
      <c r="H65" s="107" t="n"/>
      <c r="I65" s="107" t="n"/>
      <c r="J65" s="107" t="n"/>
      <c r="K65" s="107" t="n"/>
      <c r="L65" s="107" t="n"/>
    </row>
    <row r="66" ht="15" customHeight="1" s="56">
      <c r="A66" s="105" t="inlineStr">
        <is>
          <t>5–6 Dec</t>
        </is>
      </c>
      <c r="B66" s="105" t="inlineStr">
        <is>
          <t>Hotel ↔ Shanghai University Baoshan (each way)</t>
        </is>
      </c>
      <c r="C66" s="82" t="inlineStr">
        <is>
          <t>Walk</t>
        </is>
      </c>
      <c r="D66" s="104" t="inlineStr">
        <is>
          <t>daily</t>
        </is>
      </c>
      <c r="E66" s="106" t="inlineStr">
        <is>
          <t>~25 min walk (Hi Inn 1.8 km) or a ¥15 taxi</t>
        </is>
      </c>
      <c r="F66" s="107" t="n"/>
      <c r="G66" s="107" t="n"/>
      <c r="H66" s="107" t="n"/>
      <c r="I66" s="107" t="n"/>
      <c r="J66" s="107" t="n"/>
      <c r="K66" s="107" t="n"/>
      <c r="L66" s="107" t="n"/>
    </row>
    <row r="67" ht="15" customHeight="1" s="56">
      <c r="A67" s="105" t="inlineStr">
        <is>
          <t>6 Dec</t>
        </is>
      </c>
      <c r="B67" s="105" t="inlineStr">
        <is>
          <t>Campus → Shanghai Hongqiao</t>
        </is>
      </c>
      <c r="C67" s="82" t="inlineStr">
        <is>
          <t>Taxi / metro</t>
        </is>
      </c>
      <c r="D67" s="104" t="n">
        <v>0.04166666666666666</v>
      </c>
      <c r="E67" s="106" t="inlineStr">
        <is>
          <t>Leave ~17:30 for the 19:25 train</t>
        </is>
      </c>
      <c r="F67" s="107" t="n"/>
      <c r="G67" s="107" t="n"/>
      <c r="H67" s="107" t="n"/>
      <c r="I67" s="107" t="n"/>
      <c r="J67" s="107" t="n"/>
      <c r="K67" s="107" t="n"/>
      <c r="L67" s="107" t="n"/>
    </row>
    <row r="68" ht="15" customHeight="1" s="56">
      <c r="A68" s="105" t="inlineStr">
        <is>
          <t>6 Dec</t>
        </is>
      </c>
      <c r="B68" s="105" t="inlineStr">
        <is>
          <t>Hongqiao → Beijing South</t>
        </is>
      </c>
      <c r="C68" s="82" t="inlineStr">
        <is>
          <t>G32 19:25–23:49</t>
        </is>
      </c>
      <c r="D68" s="104" t="n">
        <v>0.1833333333333333</v>
      </c>
      <c r="E68" s="106" t="inlineStr"/>
      <c r="F68" s="107" t="n"/>
      <c r="G68" s="107" t="n"/>
      <c r="H68" s="107" t="n"/>
      <c r="I68" s="107" t="n"/>
      <c r="J68" s="107" t="n"/>
      <c r="K68" s="107" t="n"/>
      <c r="L68" s="107" t="n"/>
    </row>
    <row r="69" ht="15" customHeight="1" s="56">
      <c r="A69" s="105" t="inlineStr">
        <is>
          <t>6 Dec</t>
        </is>
      </c>
      <c r="B69" s="105" t="inlineStr">
        <is>
          <t>Beijing South → hotel</t>
        </is>
      </c>
      <c r="C69" s="82" t="inlineStr">
        <is>
          <t>Walk / taxi</t>
        </is>
      </c>
      <c r="D69" s="104" t="n">
        <v>0.01041666666666667</v>
      </c>
      <c r="E69" s="106" t="inlineStr">
        <is>
          <t>Estimate</t>
        </is>
      </c>
      <c r="F69" s="107" t="n"/>
      <c r="G69" s="107" t="n"/>
      <c r="H69" s="107" t="n"/>
      <c r="I69" s="107" t="n"/>
      <c r="J69" s="107" t="n"/>
      <c r="K69" s="107" t="n"/>
      <c r="L69" s="107" t="n"/>
    </row>
    <row r="70" ht="15" customHeight="1" s="56">
      <c r="A70" s="105" t="inlineStr">
        <is>
          <t>7 Dec</t>
        </is>
      </c>
      <c r="B70" s="105" t="inlineStr">
        <is>
          <t>Hotel → PEK</t>
        </is>
      </c>
      <c r="C70" s="82" t="inlineStr">
        <is>
          <t>Taxi</t>
        </is>
      </c>
      <c r="D70" s="104" t="n">
        <v>0.04166666666666666</v>
      </c>
      <c r="E70" s="106" t="inlineStr">
        <is>
          <t>Be at PEK by ~10:55</t>
        </is>
      </c>
      <c r="F70" s="107" t="n"/>
      <c r="G70" s="107" t="n"/>
      <c r="H70" s="107" t="n"/>
      <c r="I70" s="107" t="n"/>
      <c r="J70" s="107" t="n"/>
      <c r="K70" s="107" t="n"/>
      <c r="L70" s="107" t="n"/>
    </row>
    <row r="71" ht="15" customHeight="1" s="56">
      <c r="A71" s="105" t="inlineStr">
        <is>
          <t>7 Dec</t>
        </is>
      </c>
      <c r="B71" s="105" t="inlineStr">
        <is>
          <t>Beijing (PEK) → Ulaanbaatar</t>
        </is>
      </c>
      <c r="C71" s="82" t="inlineStr">
        <is>
          <t>Air China CA955 12:55–15:05</t>
        </is>
      </c>
      <c r="D71" s="104" t="n">
        <v>0.09027777777777778</v>
      </c>
      <c r="E71" s="106" t="inlineStr"/>
      <c r="F71" s="107" t="n"/>
      <c r="G71" s="107" t="n"/>
      <c r="H71" s="107" t="n"/>
      <c r="I71" s="107" t="n"/>
      <c r="J71" s="107" t="n"/>
      <c r="K71" s="107" t="n"/>
      <c r="L71" s="107" t="n"/>
    </row>
    <row r="72" ht="15" customHeight="1" s="56">
      <c r="A72" s="105" t="inlineStr">
        <is>
          <t>7 Dec</t>
        </is>
      </c>
      <c r="B72" s="105" t="inlineStr">
        <is>
          <t>Chinggis Khaan airport → home</t>
        </is>
      </c>
      <c r="C72" s="82" t="inlineStr">
        <is>
          <t>Taxi</t>
        </is>
      </c>
      <c r="D72" s="104" t="n">
        <v>0.04166666666666666</v>
      </c>
      <c r="E72" s="106" t="inlineStr"/>
      <c r="F72" s="107" t="n"/>
      <c r="G72" s="107" t="n"/>
      <c r="H72" s="107" t="n"/>
      <c r="I72" s="107" t="n"/>
      <c r="J72" s="107" t="n"/>
      <c r="K72" s="107" t="n"/>
      <c r="L72" s="107" t="n"/>
    </row>
    <row r="74" ht="15" customHeight="1" s="56">
      <c r="C74" s="59" t="inlineStr">
        <is>
          <t>Total door-to-door</t>
        </is>
      </c>
      <c r="D74" s="109">
        <f>SUM(D60:D72)</f>
        <v/>
      </c>
    </row>
  </sheetData>
  <mergeCells count="22">
    <mergeCell ref="C52:L52"/>
    <mergeCell ref="E68:L68"/>
    <mergeCell ref="E71:L71"/>
    <mergeCell ref="B47:L47"/>
    <mergeCell ref="E62:L62"/>
    <mergeCell ref="B46:L46"/>
    <mergeCell ref="E67:L67"/>
    <mergeCell ref="C53:L53"/>
    <mergeCell ref="E64:L64"/>
    <mergeCell ref="B48:L48"/>
    <mergeCell ref="E63:L63"/>
    <mergeCell ref="E60:L60"/>
    <mergeCell ref="E69:L69"/>
    <mergeCell ref="E65:L65"/>
    <mergeCell ref="C54:L54"/>
    <mergeCell ref="E70:L70"/>
    <mergeCell ref="E61:L61"/>
    <mergeCell ref="C55:L55"/>
    <mergeCell ref="C56:L56"/>
    <mergeCell ref="E72:L72"/>
    <mergeCell ref="E66:L66"/>
    <mergeCell ref="B45:L45"/>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7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Sleeper</t>
        </is>
      </c>
    </row>
    <row r="2" ht="15" customHeight="1" s="56">
      <c r="A2" s="62" t="inlineStr">
        <is>
          <t>Air China to Beijing in the afternoon, Z111 hard sleeper to Nanchang (arrive 11:52 on 18 Dec), D136 seat back after the closing, Air China home on 21 Dec.</t>
        </is>
      </c>
    </row>
    <row r="4" ht="15" customHeight="1" s="56">
      <c r="A4" s="60" t="inlineStr">
        <is>
          <t>Days in destination (meals &amp; local transport)</t>
        </is>
      </c>
      <c r="B4" s="76" t="n">
        <v>3.5</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CA956 Ulaanbaatar → Beijing (PEK), nonstop 16:10–18:20</t>
        </is>
      </c>
      <c r="C10" s="83" t="inlineStr">
        <is>
          <t>17 Dec</t>
        </is>
      </c>
      <c r="D10" s="84" t="n">
        <v>0.09027777777777778</v>
      </c>
      <c r="E10" s="85" t="n">
        <v>157</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(built-in browser): Air China CA956 16:10–18:20 $157 pp = cheapest on the day; MIAT 07:30 $193; Air China 11:50 $363. SlickTrip does not price this Air China flight</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90" customHeight="1" s="56">
      <c r="A13" s="81" t="n"/>
      <c r="B13" s="111" t="inlineStr">
        <is>
          <t>Overnight train Z111 Beijing Fengtai 23:06 → Nanchang 11:52 (+1), hard sleeper (6-berth)</t>
        </is>
      </c>
      <c r="C13" s="83" t="inlineStr">
        <is>
          <t>17 Dec (night)</t>
        </is>
      </c>
      <c r="D13" s="84" t="n">
        <v>0.5319444444444444</v>
      </c>
      <c r="E13" s="85" t="n">
        <v>296.5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Z111 hard sleeper ¥296.5, soft ¥464.5, seat ¥173.5. ChinaTicketOnline lists Z111 on 17 Dec ($50 + $9.5 fee ≈ ¥317), sales open 3 Dec 08:00. Backup: K105 Beijing West 23:31 → 16:00 hard sleeper ¥304.5; or MIAT 07:30 ($193) + D135 Fengtai 19:48 → 07:49 sleeper ¥382</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75" customHeight="1" s="56">
      <c r="A16" s="81" t="n"/>
      <c r="B16" s="111" t="inlineStr">
        <is>
          <t>Orange Hotel (Nanchang Yaohu West Subway Station, Normal University branch; ~0.7 km to JXNU; 3 ppl 1 room; 4 ppl Family Room)</t>
        </is>
      </c>
      <c r="C16" s="83" t="inlineStr">
        <is>
          <t>18–20 Dec (2 nights)</t>
        </is>
      </c>
      <c r="D16" s="81" t="n"/>
      <c r="E16" s="85" t="n">
        <v>396</v>
      </c>
      <c r="F16" s="86" t="inlineStr">
        <is>
          <t>CNY</t>
        </is>
      </c>
      <c r="G16" s="91" t="n">
        <v>2</v>
      </c>
      <c r="H16" s="88">
        <f>E16*G16*IF(F16="USD",Compare!$B$8,IF(F16="CNY",Compare!$B$9,IF(F16="HKD",Compare!$B$10,1)))</f>
        <v/>
      </c>
      <c r="I16" s="85" t="n">
        <v>414</v>
      </c>
      <c r="J16" s="91" t="n">
        <v>2</v>
      </c>
      <c r="K16" s="88">
        <f>I16*J16*IF(F16="USD",Compare!$B$8,IF(F16="CNY",Compare!$B$9,IF(F16="HKD",Compare!$B$10,1)))</f>
        <v/>
      </c>
      <c r="L16" s="112" t="inlineStr">
        <is>
          <t>Trip.com 10 Oct: ¥792 (3 adults) / ¥828 (4 adults, Deluxe Family Room) for 2 nights; rated 9.6 (662 reviews). Other near-campus options: Lavande Aixi Lake (9.4, 1.3 km) ¥1,216; Xana Hotel Taizidian Station (9.0) ¥1,358/3 nights; Meimei Apartment (6.8) ¥105/night</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Fengtai station (17 Dec out, 21 Dec back)</t>
        </is>
      </c>
      <c r="C20" s="83" t="inlineStr">
        <is>
          <t>17 &amp; 21 Dec</t>
        </is>
      </c>
      <c r="D20" s="84" t="n"/>
      <c r="E20" s="113" t="n">
        <v>150</v>
      </c>
      <c r="F20" s="86" t="inlineStr">
        <is>
          <t>CNY</t>
        </is>
      </c>
      <c r="G20" s="91" t="n">
        <v>2</v>
      </c>
      <c r="H20" s="88">
        <f>E20*G20*IF(F20="USD",Compare!$B$8,IF(F20="CNY",Compare!$B$9,IF(F20="HKD",Compare!$B$10,1)))</f>
        <v/>
      </c>
      <c r="I20" s="114">
        <f>E20</f>
        <v/>
      </c>
      <c r="J20" s="91" t="n">
        <v>2</v>
      </c>
      <c r="K20" s="88">
        <f>I20*J20*IF(F20="USD",Compare!$B$8,IF(F20="CNY",Compare!$B$9,IF(F20="HKD",Compare!$B$10,1)))</f>
        <v/>
      </c>
      <c r="L20" s="112" t="inlineStr">
        <is>
          <t>ASSUMPTION ~150 CNY per car, ~45 km (metro line 10 + Airport Express ~40 CNY pp). 4 ppl may need an XL car</t>
        </is>
      </c>
    </row>
    <row r="21" ht="30" customHeight="1" s="56">
      <c r="A21" s="81" t="n"/>
      <c r="B21" s="111" t="inlineStr">
        <is>
          <t>Taxi Nanchang station ↔ hotel (18 Dec arrival, 20 Dec departure)</t>
        </is>
      </c>
      <c r="C21" s="83" t="inlineStr">
        <is>
          <t>18 &amp; 20 Dec</t>
        </is>
      </c>
      <c r="D21" s="84" t="n"/>
      <c r="E21" s="113" t="n">
        <v>60</v>
      </c>
      <c r="F21" s="86" t="inlineStr">
        <is>
          <t>CNY</t>
        </is>
      </c>
      <c r="G21" s="91" t="n">
        <v>2</v>
      </c>
      <c r="H21" s="88">
        <f>E21*G21*IF(F21="USD",Compare!$B$8,IF(F21="CNY",Compare!$B$9,IF(F21="HKD",Compare!$B$10,1)))</f>
        <v/>
      </c>
      <c r="I21" s="114">
        <f>E21</f>
        <v/>
      </c>
      <c r="J21" s="91" t="n">
        <v>2</v>
      </c>
      <c r="K21" s="88">
        <f>I21*J21*IF(F21="USD",Compare!$B$8,IF(F21="CNY",Compare!$B$9,IF(F21="HKD",Compare!$B$10,1)))</f>
        <v/>
      </c>
      <c r="L21" s="112" t="inlineStr">
        <is>
          <t>ASSUMPTION ~60 CNY per car, ~15 km each way (metro 1 h, ¥3 pp)</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D10+D11+D13+D14</f>
        <v/>
      </c>
      <c r="K39" s="104">
        <f>D10+D11+D13+D14</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30" customHeight="1" s="56">
      <c r="A44" s="75" t="inlineStr">
        <is>
          <t>Why this plan</t>
        </is>
      </c>
      <c r="B44" s="74" t="inlineStr">
        <is>
          <t>Cheapest fit: $157 + $172 flights, a Z111 sleeper (¥297) and a D136 seat (¥271) replace two hotel nights; no 04:30 start and no 10-hour wait in Beijing. 18 Dec afternoon is a rest day in Nanchang.</t>
        </is>
      </c>
    </row>
    <row r="45" ht="30" customHeight="1" s="56">
      <c r="A45" s="75" t="inlineStr">
        <is>
          <t>Trade-off</t>
        </is>
      </c>
      <c r="B45" s="74" t="inlineStr">
        <is>
          <t>A 12 h 46 min hard-sleeper berth on Z111 (soft sleeper ¥464.5) and Beijing Fengtai is far from PEK (~1 h 15 min). Trains go on sale on 3 Dec 08:00 (Z111) and 6 Dec (D136) – set reminders. Soft sleeper on Z111 (¥464.5) is the upgrade if the team sleeps badly on trains. Backup if Z111 sells out: MIAT 07:30 ($193) + D135 sleeper ¥382.</t>
        </is>
      </c>
    </row>
    <row r="47" ht="15" customHeight="1" s="56">
      <c r="A47" s="72" t="inlineStr">
        <is>
          <t>Day-by-day plan</t>
        </is>
      </c>
    </row>
    <row r="48" ht="15" customHeight="1" s="56">
      <c r="A48" s="96" t="inlineStr">
        <is>
          <t>Date</t>
        </is>
      </c>
      <c r="B48" s="96" t="inlineStr">
        <is>
          <t>Sleep in</t>
        </is>
      </c>
      <c r="C48" s="96" t="inlineStr">
        <is>
          <t>What happens</t>
        </is>
      </c>
    </row>
    <row r="49" ht="30" customHeight="1" s="56">
      <c r="A49" s="74" t="inlineStr">
        <is>
          <t>Thu 17 Dec</t>
        </is>
      </c>
      <c r="B49" s="74" t="inlineStr">
        <is>
          <t>Train</t>
        </is>
      </c>
      <c r="C49" s="74" t="inlineStr">
        <is>
          <t>Air China CA956 UB 16:10 → Beijing 18:20; taxi / Airport Express + metro to Beijing Fengtai (~20:00; dinner); Z111 23:06 → Nanchang.</t>
        </is>
      </c>
    </row>
    <row r="50" ht="30" customHeight="1" s="56">
      <c r="A50" s="74" t="inlineStr">
        <is>
          <t>Fri 18 Dec</t>
        </is>
      </c>
      <c r="B50" s="74" t="inlineStr">
        <is>
          <t>Nanchang</t>
        </is>
      </c>
      <c r="C50" s="74" t="inlineStr">
        <is>
          <t>Arrive Nanchang 11:52; metro line 2 + 1 to the hotel (leave bags, check-in ~14:00).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~13:00 for 16:10 flight</t>
        </is>
      </c>
      <c r="F57" s="107" t="n"/>
      <c r="G57" s="107" t="n"/>
      <c r="H57" s="107" t="n"/>
      <c r="I57" s="107" t="n"/>
      <c r="J57" s="107" t="n"/>
      <c r="K57" s="107" t="n"/>
      <c r="L57" s="107" t="n"/>
    </row>
    <row r="58" ht="15" customHeight="1" s="56">
      <c r="A58" s="105" t="inlineStr">
        <is>
          <t>17 Dec</t>
        </is>
      </c>
      <c r="B58" s="105" t="inlineStr">
        <is>
          <t>Ulaanbaatar → Beijing (PEK)</t>
        </is>
      </c>
      <c r="C58" s="82" t="inlineStr">
        <is>
          <t>Air China CA956 16:10–18:20</t>
        </is>
      </c>
      <c r="D58" s="104" t="n">
        <v>0.09027777777777778</v>
      </c>
      <c r="E58" s="106" t="inlineStr"/>
      <c r="F58" s="107" t="n"/>
      <c r="G58" s="107" t="n"/>
      <c r="H58" s="107" t="n"/>
      <c r="I58" s="107" t="n"/>
      <c r="J58" s="107" t="n"/>
      <c r="K58" s="107" t="n"/>
      <c r="L58" s="107" t="n"/>
    </row>
    <row r="59" ht="15" customHeight="1" s="56">
      <c r="A59" s="105" t="inlineStr">
        <is>
          <t>17 Dec</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15" customHeight="1" s="56">
      <c r="A60" s="105" t="inlineStr">
        <is>
          <t>17 Dec</t>
        </is>
      </c>
      <c r="B60" s="105" t="inlineStr">
        <is>
          <t>PEK → Beijing Fengtai station</t>
        </is>
      </c>
      <c r="C60" s="82" t="inlineStr">
        <is>
          <t>Taxi / Airport Express + metro</t>
        </is>
      </c>
      <c r="D60" s="104" t="n">
        <v>0.05208333333333334</v>
      </c>
      <c r="E60" s="106" t="inlineStr">
        <is>
          <t>Estimate; arrive ~20:20, train 23:06</t>
        </is>
      </c>
      <c r="F60" s="107" t="n"/>
      <c r="G60" s="107" t="n"/>
      <c r="H60" s="107" t="n"/>
      <c r="I60" s="107" t="n"/>
      <c r="J60" s="107" t="n"/>
      <c r="K60" s="107" t="n"/>
      <c r="L60" s="107" t="n"/>
    </row>
    <row r="61" ht="15" customHeight="1" s="56">
      <c r="A61" s="105" t="inlineStr">
        <is>
          <t>17–18 Dec</t>
        </is>
      </c>
      <c r="B61" s="105" t="inlineStr">
        <is>
          <t>Beijing Fengtai → Nanchang</t>
        </is>
      </c>
      <c r="C61" s="82" t="inlineStr">
        <is>
          <t>Z111 hard sleeper 23:06–11:52</t>
        </is>
      </c>
      <c r="D61" s="104" t="n">
        <v>0.5319444444444444</v>
      </c>
      <c r="E61" s="106" t="inlineStr">
        <is>
          <t>Overnight</t>
        </is>
      </c>
      <c r="F61" s="107" t="n"/>
      <c r="G61" s="107" t="n"/>
      <c r="H61" s="107" t="n"/>
      <c r="I61" s="107" t="n"/>
      <c r="J61" s="107" t="n"/>
      <c r="K61" s="107" t="n"/>
      <c r="L61" s="107" t="n"/>
    </row>
    <row r="62" ht="15" customHeight="1" s="56">
      <c r="A62" s="105" t="inlineStr">
        <is>
          <t>18 Dec</t>
        </is>
      </c>
      <c r="B62" s="105" t="inlineStr">
        <is>
          <t>Nanchang station → hotel</t>
        </is>
      </c>
      <c r="C62" s="82" t="inlineStr">
        <is>
          <t>Metro line 2 + 1 (or taxi ~¥40)</t>
        </is>
      </c>
      <c r="D62" s="104" t="n">
        <v>0.03819444444444445</v>
      </c>
      <c r="E62" s="106" t="inlineStr"/>
      <c r="F62" s="107" t="n"/>
      <c r="G62" s="107" t="n"/>
      <c r="H62" s="107" t="n"/>
      <c r="I62" s="107" t="n"/>
      <c r="J62" s="107" t="n"/>
      <c r="K62" s="107" t="n"/>
      <c r="L62" s="107" t="n"/>
    </row>
    <row r="63" ht="15" customHeight="1" s="56">
      <c r="A63" s="105" t="inlineStr">
        <is>
          <t>19–20 Dec</t>
        </is>
      </c>
      <c r="B63" s="105" t="inlineStr">
        <is>
          <t>Hotel ↔ JXNU Yaohu campus (each way)</t>
        </is>
      </c>
      <c r="C63" s="82" t="inlineStr">
        <is>
          <t>Walk</t>
        </is>
      </c>
      <c r="D63" s="104" t="inlineStr">
        <is>
          <t>daily</t>
        </is>
      </c>
      <c r="E63" s="106" t="inlineStr">
        <is>
          <t>~10–15 min walk (Orange Hotel ~0.7 km)</t>
        </is>
      </c>
      <c r="F63" s="107" t="n"/>
      <c r="G63" s="107" t="n"/>
      <c r="H63" s="107" t="n"/>
      <c r="I63" s="107" t="n"/>
      <c r="J63" s="107" t="n"/>
      <c r="K63" s="107" t="n"/>
      <c r="L63" s="107" t="n"/>
    </row>
    <row r="64" ht="15" customHeight="1" s="56">
      <c r="A64" s="105" t="inlineStr">
        <is>
          <t>20 Dec</t>
        </is>
      </c>
      <c r="B64" s="105" t="inlineStr">
        <is>
          <t>JXNU Yaohu campus → Nanchang station</t>
        </is>
      </c>
      <c r="C64" s="82" t="inlineStr">
        <is>
          <t>Metro line 1 + 2 / taxi</t>
        </is>
      </c>
      <c r="D64" s="104" t="n">
        <v>0.03819444444444445</v>
      </c>
      <c r="E64" s="106" t="inlineStr">
        <is>
          <t>Leave ~17:45 for the 19:22 train</t>
        </is>
      </c>
      <c r="F64" s="107" t="n"/>
      <c r="G64" s="107" t="n"/>
      <c r="H64" s="107" t="n"/>
      <c r="I64" s="107" t="n"/>
      <c r="J64" s="107" t="n"/>
      <c r="K64" s="107" t="n"/>
      <c r="L64" s="107" t="n"/>
    </row>
    <row r="65" ht="15" customHeight="1" s="56">
      <c r="A65" s="105" t="inlineStr">
        <is>
          <t>20–21 Dec</t>
        </is>
      </c>
      <c r="B65" s="105" t="inlineStr">
        <is>
          <t>Nanchang → Beijing Fengtai</t>
        </is>
      </c>
      <c r="C65" s="82" t="inlineStr">
        <is>
          <t>D136 seat 19:22–07:31</t>
        </is>
      </c>
      <c r="D65" s="104" t="n">
        <v>0.50625</v>
      </c>
      <c r="E65" s="106" t="inlineStr">
        <is>
          <t>Overnight</t>
        </is>
      </c>
      <c r="F65" s="107" t="n"/>
      <c r="G65" s="107" t="n"/>
      <c r="H65" s="107" t="n"/>
      <c r="I65" s="107" t="n"/>
      <c r="J65" s="107" t="n"/>
      <c r="K65" s="107" t="n"/>
      <c r="L65" s="107" t="n"/>
    </row>
    <row r="66" ht="15" customHeight="1" s="56">
      <c r="A66" s="105" t="inlineStr">
        <is>
          <t>21 Dec</t>
        </is>
      </c>
      <c r="B66" s="105" t="inlineStr">
        <is>
          <t>Beijing Fengtai → PEK</t>
        </is>
      </c>
      <c r="C66" s="82" t="inlineStr">
        <is>
          <t>Taxi (~45 km)</t>
        </is>
      </c>
      <c r="D66" s="104" t="n">
        <v>0.05208333333333334</v>
      </c>
      <c r="E66" s="106" t="inlineStr">
        <is>
          <t>Be at PEK by ~10:55 for the 12:55 flight</t>
        </is>
      </c>
      <c r="F66" s="107" t="n"/>
      <c r="G66" s="107" t="n"/>
      <c r="H66" s="107" t="n"/>
      <c r="I66" s="107" t="n"/>
      <c r="J66" s="107" t="n"/>
      <c r="K66" s="107" t="n"/>
      <c r="L66" s="107" t="n"/>
    </row>
    <row r="67" ht="15" customHeight="1" s="56">
      <c r="A67" s="105" t="inlineStr">
        <is>
          <t>21 Dec</t>
        </is>
      </c>
      <c r="B67" s="105" t="inlineStr">
        <is>
          <t>Beijing (PEK) → Ulaanbaatar</t>
        </is>
      </c>
      <c r="C67" s="82" t="inlineStr">
        <is>
          <t>Air China CA955 12:55–15:05</t>
        </is>
      </c>
      <c r="D67" s="104" t="n">
        <v>0.09027777777777778</v>
      </c>
      <c r="E67" s="106" t="inlineStr"/>
      <c r="F67" s="107" t="n"/>
      <c r="G67" s="107" t="n"/>
      <c r="H67" s="107" t="n"/>
      <c r="I67" s="107" t="n"/>
      <c r="J67" s="107" t="n"/>
      <c r="K67" s="107" t="n"/>
      <c r="L67" s="107" t="n"/>
    </row>
    <row r="68" ht="15" customHeight="1" s="56">
      <c r="A68" s="105" t="inlineStr">
        <is>
          <t>21 Dec</t>
        </is>
      </c>
      <c r="B68" s="105" t="inlineStr">
        <is>
          <t>Chinggis Khaan airport → home</t>
        </is>
      </c>
      <c r="C68" s="82" t="inlineStr">
        <is>
          <t>Taxi</t>
        </is>
      </c>
      <c r="D68" s="104" t="n">
        <v>0.04166666666666666</v>
      </c>
      <c r="E68" s="106" t="inlineStr"/>
      <c r="F68" s="107" t="n"/>
      <c r="G68" s="107" t="n"/>
      <c r="H68" s="107" t="n"/>
      <c r="I68" s="107" t="n"/>
      <c r="J68" s="107" t="n"/>
      <c r="K68" s="107" t="n"/>
      <c r="L68" s="107" t="n"/>
    </row>
    <row r="70" ht="15" customHeight="1" s="56">
      <c r="C70" s="59" t="inlineStr">
        <is>
          <t>Total door-to-door</t>
        </is>
      </c>
      <c r="D70" s="109">
        <f>SUM(D57:D68)</f>
        <v/>
      </c>
    </row>
  </sheetData>
  <mergeCells count="21">
    <mergeCell ref="E58:L58"/>
    <mergeCell ref="C52:L52"/>
    <mergeCell ref="E68:L68"/>
    <mergeCell ref="E62:L62"/>
    <mergeCell ref="E67:L67"/>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72"/>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Comfort</t>
        </is>
      </c>
    </row>
    <row r="2" ht="15" customHeight="1" s="56">
      <c r="A2" s="62" t="inlineStr">
        <is>
          <t>MIAT + daytime high-speed train to Nanchang West on 17 Dec (arrive for dinner, rest day 18 Dec); D136 seat back and Air China home on 21 Dec.</t>
        </is>
      </c>
    </row>
    <row r="4" ht="15" customHeight="1" s="56">
      <c r="A4" s="60" t="inlineStr">
        <is>
          <t>Days in destination (meals &amp; local transport)</t>
        </is>
      </c>
      <c r="B4" s="76" t="n">
        <v>4.5</v>
      </c>
      <c r="C4" s="62" t="inlineStr">
        <is>
          <t>17 Dec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30" customHeight="1" s="56">
      <c r="A10" s="81" t="n"/>
      <c r="B10" s="111" t="inlineStr">
        <is>
          <t>MIAT OM223 Ulaanbaatar → Beijing (PEK), 07:30–09:45</t>
        </is>
      </c>
      <c r="C10" s="83" t="inlineStr">
        <is>
          <t>17 Dec</t>
        </is>
      </c>
      <c r="D10" s="84" t="n">
        <v>0.09375</v>
      </c>
      <c r="E10" s="85" t="n">
        <v>193</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Trip.com 10 Oct: MIAT 07:30–09:45 $193 pp (SlickTrip $196, 'low' against the usual $206–410)</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60" customHeight="1" s="56">
      <c r="A13" s="81" t="n"/>
      <c r="B13" s="111" t="inlineStr">
        <is>
          <t>High-speed rail Beijing West 12:00 → Nanchang West 17:52 (G335), 2nd class</t>
        </is>
      </c>
      <c r="C13" s="83" t="inlineStr">
        <is>
          <t>17 Dec</t>
        </is>
      </c>
      <c r="D13" s="84" t="n">
        <v>0.2444444444444444</v>
      </c>
      <c r="E13" s="85" t="n">
        <v>745</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G335 ¥745 (CTO ¥760 incl. fee); G337 16:55 → 22:53 ¥732 is the safe fallback (MIAT lands 09:45; G333 08:05 is impossible). ~1 h 30 min from PEK to Beijing West at midday – tight</t>
        </is>
      </c>
    </row>
    <row r="14" ht="75" customHeight="1" s="56">
      <c r="A14" s="81" t="n"/>
      <c r="B14" s="111" t="inlineStr">
        <is>
          <t>Overnight train D136 Nanchang 19:22 → Beijing Fengtai 07:31 (+1), 2nd-class seat (after the contest)</t>
        </is>
      </c>
      <c r="C14" s="83" t="inlineStr">
        <is>
          <t>20 Dec (night)</t>
        </is>
      </c>
      <c r="D14" s="84" t="n">
        <v>0.50625</v>
      </c>
      <c r="E14" s="85" t="n">
        <v>271</v>
      </c>
      <c r="F14" s="86" t="inlineStr">
        <is>
          <t>CNY</t>
        </is>
      </c>
      <c r="G14" s="87">
        <f>Compare!$B$6</f>
        <v/>
      </c>
      <c r="H14" s="88">
        <f>E14*G14*IF(F14="USD",Compare!$B$8,IF(F14="CNY",Compare!$B$9,IF(F14="HKD",Compare!$B$10,1)))</f>
        <v/>
      </c>
      <c r="I14" s="89">
        <f>E14</f>
        <v/>
      </c>
      <c r="J14" s="87">
        <f>Compare!$B$7</f>
        <v/>
      </c>
      <c r="K14" s="88">
        <f>I14*J14*IF(F14="USD",Compare!$B$8,IF(F14="CNY",Compare!$B$9,IF(F14="HKD",Compare!$B$10,1)))</f>
        <v/>
      </c>
      <c r="L14"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5" ht="15" customHeight="1" s="56">
      <c r="A15" s="79" t="inlineStr">
        <is>
          <t>Accommodation</t>
        </is>
      </c>
      <c r="B15" s="80" t="n"/>
      <c r="C15" s="80" t="n"/>
      <c r="D15" s="80" t="n"/>
      <c r="E15" s="80" t="n"/>
      <c r="F15" s="80" t="n"/>
      <c r="G15" s="80" t="n"/>
      <c r="H15" s="80" t="n"/>
      <c r="I15" s="80" t="n"/>
      <c r="J15" s="80" t="n"/>
      <c r="K15" s="80" t="n"/>
      <c r="L15" s="80" t="n"/>
    </row>
    <row r="16" ht="45" customHeight="1" s="56">
      <c r="A16" s="81" t="n"/>
      <c r="B16" s="111" t="inlineStr">
        <is>
          <t>Orange Hotel (Nanchang Yaohu West Subway Station, Normal University branch; ~0.7 km to JXNU; 3 ppl 1 room; 4 ppl Family Room)</t>
        </is>
      </c>
      <c r="C16" s="83" t="inlineStr">
        <is>
          <t>17–20 Dec (3 nights)</t>
        </is>
      </c>
      <c r="D16" s="81" t="n"/>
      <c r="E16" s="85" t="n">
        <v>386.67</v>
      </c>
      <c r="F16" s="86" t="inlineStr">
        <is>
          <t>CNY</t>
        </is>
      </c>
      <c r="G16" s="91" t="n">
        <v>3</v>
      </c>
      <c r="H16" s="88">
        <f>E16*G16*IF(F16="USD",Compare!$B$8,IF(F16="CNY",Compare!$B$9,IF(F16="HKD",Compare!$B$10,1)))</f>
        <v/>
      </c>
      <c r="I16" s="85" t="n">
        <v>404.67</v>
      </c>
      <c r="J16" s="91" t="n">
        <v>3</v>
      </c>
      <c r="K16" s="88">
        <f>I16*J16*IF(F16="USD",Compare!$B$8,IF(F16="CNY",Compare!$B$9,IF(F16="HKD",Compare!$B$10,1)))</f>
        <v/>
      </c>
      <c r="L16" s="112" t="inlineStr">
        <is>
          <t>Trip.com 10 Oct: ¥1,160 (3 adults) / ¥1,214 (4 adults, Deluxe Family Room) for 3 nights; rated 9.6 (662 reviews)</t>
        </is>
      </c>
    </row>
    <row r="17" ht="15" customHeight="1" s="56">
      <c r="A17" s="79" t="inlineStr">
        <is>
          <t>Meals &amp; local transport</t>
        </is>
      </c>
      <c r="B17" s="80" t="n"/>
      <c r="C17" s="80" t="n"/>
      <c r="D17" s="80" t="n"/>
      <c r="E17" s="80" t="n"/>
      <c r="F17" s="80" t="n"/>
      <c r="G17" s="80" t="n"/>
      <c r="H17" s="80" t="n"/>
      <c r="I17" s="80" t="n"/>
      <c r="J17" s="80" t="n"/>
      <c r="K17" s="80" t="n"/>
      <c r="L17" s="80" t="n"/>
    </row>
    <row r="18" ht="30" customHeight="1" s="56">
      <c r="A18" s="81" t="n"/>
      <c r="B18" s="111" t="inlineStr">
        <is>
          <t>Meals</t>
        </is>
      </c>
      <c r="C18" s="83" t="inlineStr">
        <is>
          <t>in destination</t>
        </is>
      </c>
      <c r="D18" s="81" t="n"/>
      <c r="E18" s="113" t="n">
        <v>80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80 CNY/person/day; hosts usually provide some meals on contest days</t>
        </is>
      </c>
    </row>
    <row r="19" ht="15" customHeight="1" s="56">
      <c r="A19" s="81" t="n"/>
      <c r="B19" s="111" t="inlineStr">
        <is>
          <t>Local transport (metro, taxis)</t>
        </is>
      </c>
      <c r="C19" s="83" t="inlineStr">
        <is>
          <t>in destination</t>
        </is>
      </c>
      <c r="D19" s="81" t="n"/>
      <c r="E19" s="113" t="n">
        <v>30</v>
      </c>
      <c r="F19" s="86" t="inlineStr">
        <is>
          <t>CNY</t>
        </is>
      </c>
      <c r="G19" s="87">
        <f>Compare!$B$6*$B$4</f>
        <v/>
      </c>
      <c r="H19" s="88">
        <f>E19*G19*IF(F19="USD",Compare!$B$8,IF(F19="CNY",Compare!$B$9,IF(F19="HKD",Compare!$B$10,1)))</f>
        <v/>
      </c>
      <c r="I19" s="114">
        <f>E19</f>
        <v/>
      </c>
      <c r="J19" s="87">
        <f>Compare!$B$7*$B$4</f>
        <v/>
      </c>
      <c r="K19" s="88">
        <f>I19*J19*IF(F19="USD",Compare!$B$8,IF(F19="CNY",Compare!$B$9,IF(F19="HKD",Compare!$B$10,1)))</f>
        <v/>
      </c>
      <c r="L19" s="112" t="inlineStr">
        <is>
          <t>ASSUMPTION 30 CNY/person/day</t>
        </is>
      </c>
    </row>
    <row r="20" ht="30" customHeight="1" s="56">
      <c r="A20" s="81" t="n"/>
      <c r="B20" s="111" t="inlineStr">
        <is>
          <t>Taxi PEK → Beijing West station</t>
        </is>
      </c>
      <c r="C20" s="83" t="inlineStr">
        <is>
          <t>17 Dec</t>
        </is>
      </c>
      <c r="D20" s="84" t="n"/>
      <c r="E20" s="113" t="n">
        <v>130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~130 CNY per car, ~45 km (Airport Express + metro line 10/7 ~45 CNY pp)</t>
        </is>
      </c>
    </row>
    <row r="21" ht="30" customHeight="1" s="56">
      <c r="A21" s="81" t="n"/>
      <c r="B21" s="111" t="inlineStr">
        <is>
          <t>Taxi Nanchang West station → hotel</t>
        </is>
      </c>
      <c r="C21" s="83" t="inlineStr">
        <is>
          <t>17 Dec</t>
        </is>
      </c>
      <c r="D21" s="84" t="n"/>
      <c r="E21" s="113" t="n">
        <v>110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~110 CNY per car, ~35 km (2019 handbook ¥105; metro 2 + 1 1 h 8 min)</t>
        </is>
      </c>
    </row>
    <row r="22" ht="15" customHeight="1" s="56">
      <c r="A22" s="81" t="n"/>
      <c r="B22" s="111" t="inlineStr">
        <is>
          <t>Taxi Beijing Fengtai → PEK</t>
        </is>
      </c>
      <c r="C22" s="83" t="inlineStr">
        <is>
          <t>21 Dec</t>
        </is>
      </c>
      <c r="D22" s="84" t="n"/>
      <c r="E22" s="113" t="n">
        <v>150</v>
      </c>
      <c r="F22" s="86" t="inlineStr">
        <is>
          <t>CNY</t>
        </is>
      </c>
      <c r="G22" s="91" t="n">
        <v>1</v>
      </c>
      <c r="H22" s="88">
        <f>E22*G22*IF(F22="USD",Compare!$B$8,IF(F22="CNY",Compare!$B$9,IF(F22="HKD",Compare!$B$10,1)))</f>
        <v/>
      </c>
      <c r="I22" s="114">
        <f>E22</f>
        <v/>
      </c>
      <c r="J22" s="91" t="n">
        <v>1</v>
      </c>
      <c r="K22" s="88">
        <f>I22*J22*IF(F22="USD",Compare!$B$8,IF(F22="CNY",Compare!$B$9,IF(F22="HKD",Compare!$B$10,1)))</f>
        <v/>
      </c>
      <c r="L22" s="112" t="inlineStr">
        <is>
          <t>ASSUMPTION ~150 CNY per car, ~45 km</t>
        </is>
      </c>
    </row>
    <row r="23" ht="15" customHeight="1" s="56">
      <c r="A23" s="81" t="n"/>
      <c r="B23" s="111" t="inlineStr">
        <is>
          <t>Taxi Nanchang station ↔ hotel departure</t>
        </is>
      </c>
      <c r="C23" s="83" t="inlineStr">
        <is>
          <t>20 Dec</t>
        </is>
      </c>
      <c r="D23" s="84" t="n"/>
      <c r="E23" s="113" t="n">
        <v>60</v>
      </c>
      <c r="F23" s="86" t="inlineStr">
        <is>
          <t>CNY</t>
        </is>
      </c>
      <c r="G23" s="91" t="n">
        <v>1</v>
      </c>
      <c r="H23" s="88">
        <f>E23*G23*IF(F23="USD",Compare!$B$8,IF(F23="CNY",Compare!$B$9,IF(F23="HKD",Compare!$B$10,1)))</f>
        <v/>
      </c>
      <c r="I23" s="114">
        <f>E23</f>
        <v/>
      </c>
      <c r="J23" s="91" t="n">
        <v>1</v>
      </c>
      <c r="K23" s="88">
        <f>I23*J23*IF(F23="USD",Compare!$B$8,IF(F23="CNY",Compare!$B$9,IF(F23="HKD",Compare!$B$10,1)))</f>
        <v/>
      </c>
      <c r="L23" s="112" t="inlineStr">
        <is>
          <t>ASSUMPTION ~60 CNY per car, ~15 km</t>
        </is>
      </c>
    </row>
    <row r="24" ht="15" customHeight="1" s="56">
      <c r="A24" s="94" t="inlineStr">
        <is>
          <t>PAID PERSONALLY (university won't cover)</t>
        </is>
      </c>
      <c r="B24" s="95" t="n"/>
      <c r="C24" s="95" t="n"/>
      <c r="D24" s="95" t="n"/>
      <c r="E24" s="95" t="n"/>
      <c r="F24" s="95" t="n"/>
      <c r="G24" s="95" t="n"/>
      <c r="H24" s="95" t="n"/>
      <c r="I24" s="95" t="n"/>
      <c r="J24" s="95" t="n"/>
      <c r="K24" s="95" t="n"/>
      <c r="L24" s="95" t="n"/>
    </row>
    <row r="25" ht="15" customHeight="1" s="56">
      <c r="A25" s="79" t="inlineStr">
        <is>
          <t>Contest fee</t>
        </is>
      </c>
      <c r="B25" s="80" t="n"/>
      <c r="C25" s="80" t="n"/>
      <c r="D25" s="80" t="n"/>
      <c r="E25" s="80" t="n"/>
      <c r="F25" s="80" t="n"/>
      <c r="G25" s="80" t="n"/>
      <c r="H25" s="80" t="n"/>
      <c r="I25" s="80" t="n"/>
      <c r="J25" s="80" t="n"/>
      <c r="K25" s="80" t="n"/>
      <c r="L25" s="80" t="n"/>
    </row>
    <row r="26" ht="22.35" customHeight="1" s="56">
      <c r="A26" s="81" t="n"/>
      <c r="B26" s="82" t="inlineStr">
        <is>
          <t>Nanchang regional registration fee (per team)</t>
        </is>
      </c>
      <c r="C26" s="83" t="inlineStr">
        <is>
          <t>TBC</t>
        </is>
      </c>
      <c r="D26" s="81" t="n"/>
      <c r="E26" s="113" t="n">
        <v>1500</v>
      </c>
      <c r="F26" s="86" t="inlineStr">
        <is>
          <t>CNY</t>
        </is>
      </c>
      <c r="G26" s="91" t="n">
        <v>1</v>
      </c>
      <c r="H26" s="88">
        <f>E26*G26*IF(F26="USD",Compare!$B$8,IF(F26="CNY",Compare!$B$9,IF(F26="HKD",Compare!$B$10,1)))</f>
        <v/>
      </c>
      <c r="I26" s="114">
        <f>E26</f>
        <v/>
      </c>
      <c r="J26" s="91" t="n">
        <v>1</v>
      </c>
      <c r="K26" s="88">
        <f>I26*J26*IF(F26="USD",Compare!$B$8,IF(F26="CNY",Compare!$B$9,IF(F26="HKD",Compare!$B$10,1)))</f>
        <v/>
      </c>
      <c r="L26" s="90" t="inlineStr">
        <is>
          <t>ASSUMPTION: 1,500 CNY/team like other EC regionals; the 2019 Nanchang handbook has no fee and the 2026 invitation is not seen</t>
        </is>
      </c>
    </row>
    <row r="27" ht="15" customHeight="1" s="56">
      <c r="A27" s="79" t="inlineStr">
        <is>
          <t>Other</t>
        </is>
      </c>
      <c r="B27" s="80" t="n"/>
      <c r="C27" s="80" t="n"/>
      <c r="D27" s="80" t="n"/>
      <c r="E27" s="80" t="n"/>
      <c r="F27" s="80" t="n"/>
      <c r="G27" s="80" t="n"/>
      <c r="H27" s="80" t="n"/>
      <c r="I27" s="80" t="n"/>
      <c r="J27" s="80" t="n"/>
      <c r="K27" s="80" t="n"/>
      <c r="L27" s="80" t="n"/>
    </row>
    <row r="28" ht="15" customHeight="1" s="56">
      <c r="A28" s="81" t="n"/>
      <c r="B28" s="82" t="inlineStr">
        <is>
          <t>Taxi to/from Chinggis Khaan airport (UB), per trip</t>
        </is>
      </c>
      <c r="C28" s="83" t="inlineStr">
        <is>
          <t>out &amp; back</t>
        </is>
      </c>
      <c r="D28" s="84" t="n">
        <v>0.04166666666666666</v>
      </c>
      <c r="E28" s="92" t="n">
        <v>100000</v>
      </c>
      <c r="F28" s="86" t="inlineStr">
        <is>
          <t>MNT</t>
        </is>
      </c>
      <c r="G28" s="91" t="n">
        <v>2</v>
      </c>
      <c r="H28" s="88">
        <f>E28*G28*IF(F28="USD",Compare!$B$8,IF(F28="CNY",Compare!$B$9,IF(F28="HKD",Compare!$B$10,1)))</f>
        <v/>
      </c>
      <c r="I28" s="93">
        <f>E28</f>
        <v/>
      </c>
      <c r="J28" s="91" t="n">
        <v>2</v>
      </c>
      <c r="K28" s="88">
        <f>I28*J28*IF(F28="USD",Compare!$B$8,IF(F28="CNY",Compare!$B$9,IF(F28="HKD",Compare!$B$10,1)))</f>
        <v/>
      </c>
      <c r="L28" s="90" t="inlineStr">
        <is>
          <t>ASSUMPTION 100k MNT per trip for the group</t>
        </is>
      </c>
    </row>
    <row r="29" ht="15" customHeight="1" s="56">
      <c r="A29" s="81" t="n"/>
      <c r="B29" s="82" t="inlineStr">
        <is>
          <t>Travel medical insurance</t>
        </is>
      </c>
      <c r="C29" s="83" t="n"/>
      <c r="D29" s="81" t="n"/>
      <c r="E29" s="92" t="n">
        <v>30000</v>
      </c>
      <c r="F29" s="86" t="inlineStr">
        <is>
          <t>MNT</t>
        </is>
      </c>
      <c r="G29" s="87">
        <f>Compare!$B$6</f>
        <v/>
      </c>
      <c r="H29" s="88">
        <f>E29*G29*IF(F29="USD",Compare!$B$8,IF(F29="CNY",Compare!$B$9,IF(F29="HKD",Compare!$B$10,1)))</f>
        <v/>
      </c>
      <c r="I29" s="93">
        <f>E29</f>
        <v/>
      </c>
      <c r="J29" s="87">
        <f>Compare!$B$7</f>
        <v/>
      </c>
      <c r="K29" s="88">
        <f>I29*J29*IF(F29="USD",Compare!$B$8,IF(F29="CNY",Compare!$B$9,IF(F29="HKD",Compare!$B$10,1)))</f>
        <v/>
      </c>
      <c r="L29" s="90" t="inlineStr">
        <is>
          <t>ASSUMPTION ~30k MNT per person, Mongolian insurer</t>
        </is>
      </c>
    </row>
    <row r="30" ht="15" customHeight="1" s="56">
      <c r="A30" s="81" t="n"/>
      <c r="B30" s="82" t="inlineStr">
        <is>
          <t>Mobile data eSIM</t>
        </is>
      </c>
      <c r="C30" s="83" t="n"/>
      <c r="D30" s="81" t="n"/>
      <c r="E30" s="92" t="n">
        <v>10</v>
      </c>
      <c r="F30" s="86" t="inlineStr">
        <is>
          <t>USD</t>
        </is>
      </c>
      <c r="G30" s="87">
        <f>Compare!$B$6</f>
        <v/>
      </c>
      <c r="H30" s="88">
        <f>E30*G30*IF(F30="USD",Compare!$B$8,IF(F30="CNY",Compare!$B$9,IF(F30="HKD",Compare!$B$10,1)))</f>
        <v/>
      </c>
      <c r="I30" s="93">
        <f>E30</f>
        <v/>
      </c>
      <c r="J30" s="87">
        <f>Compare!$B$7</f>
        <v/>
      </c>
      <c r="K30" s="88">
        <f>I30*J30*IF(F30="USD",Compare!$B$8,IF(F30="CNY",Compare!$B$9,IF(F30="HKD",Compare!$B$10,1)))</f>
        <v/>
      </c>
      <c r="L30" s="90" t="inlineStr">
        <is>
          <t>ASSUMPTION ~$10 pp</t>
        </is>
      </c>
    </row>
    <row r="31" ht="22.35" customHeight="1" s="56">
      <c r="A31" s="81" t="n"/>
      <c r="B31" s="82" t="inlineStr">
        <is>
          <t>Visa</t>
        </is>
      </c>
      <c r="C31" s="83" t="n"/>
      <c r="D31" s="81" t="n"/>
      <c r="E31" s="85" t="n">
        <v>0</v>
      </c>
      <c r="F31" s="86" t="inlineStr">
        <is>
          <t>MNT</t>
        </is>
      </c>
      <c r="G31" s="87">
        <f>Compare!$B$6</f>
        <v/>
      </c>
      <c r="H31" s="88">
        <f>E31*G31*IF(F31="USD",Compare!$B$8,IF(F31="CNY",Compare!$B$9,IF(F31="HKD",Compare!$B$10,1)))</f>
        <v/>
      </c>
      <c r="I31" s="89">
        <f>E31</f>
        <v/>
      </c>
      <c r="J31" s="87">
        <f>Compare!$B$7</f>
        <v/>
      </c>
      <c r="K31" s="88">
        <f>I31*J31*IF(F31="USD",Compare!$B$8,IF(F31="CNY",Compare!$B$9,IF(F31="HKD",Compare!$B$10,1)))</f>
        <v/>
      </c>
      <c r="L31" s="90" t="inlineStr">
        <is>
          <t>Mongolian passports: visa-free (mainland China up to 30 days; Hong Kong up to 14 days)</t>
        </is>
      </c>
    </row>
    <row r="33" ht="15" customHeight="1" s="56">
      <c r="G33" s="60" t="n"/>
      <c r="H33" s="96" t="inlineStr">
        <is>
          <t>3 people – UNFUNDED</t>
        </is>
      </c>
      <c r="K33" s="96" t="inlineStr">
        <is>
          <t>4 people – FUNDED ₮12M</t>
        </is>
      </c>
    </row>
    <row r="34" ht="15" customHeight="1" s="56">
      <c r="G34" s="97" t="inlineStr">
        <is>
          <t>University-paid subtotal</t>
        </is>
      </c>
      <c r="H34" s="98">
        <f>SUM(H9:H23)</f>
        <v/>
      </c>
      <c r="K34" s="98">
        <f>SUM(K9:K23)</f>
        <v/>
      </c>
    </row>
    <row r="35" ht="15" customHeight="1" s="56">
      <c r="G35" s="99" t="inlineStr">
        <is>
          <t>Contingency</t>
        </is>
      </c>
      <c r="H35" s="100">
        <f>H34*Compare!$B$11</f>
        <v/>
      </c>
      <c r="K35" s="100">
        <f>K34*Compare!$B$11</f>
        <v/>
      </c>
    </row>
    <row r="36" ht="15" customHeight="1" s="56">
      <c r="G36" s="97" t="inlineStr">
        <is>
          <t>University-paid total incl. contingency</t>
        </is>
      </c>
      <c r="H36" s="98">
        <f>H34+H35</f>
        <v/>
      </c>
      <c r="K36" s="98">
        <f>K34+K35</f>
        <v/>
      </c>
    </row>
    <row r="37" ht="15" customHeight="1" s="56">
      <c r="G37" s="97" t="inlineStr">
        <is>
          <t>Funding left (negative = over)</t>
        </is>
      </c>
      <c r="H37" s="101">
        <f>Compare!$B$12-H36</f>
        <v/>
      </c>
      <c r="K37" s="101">
        <f>Compare!$B$5-K36</f>
        <v/>
      </c>
    </row>
    <row r="38" ht="15" customHeight="1" s="56">
      <c r="G38" s="97" t="inlineStr">
        <is>
          <t>Personal costs – team</t>
        </is>
      </c>
      <c r="H38" s="102">
        <f>SUM(H25:H31)</f>
        <v/>
      </c>
      <c r="K38" s="102">
        <f>SUM(K25:K31)</f>
        <v/>
      </c>
    </row>
    <row r="39" ht="15" customHeight="1" s="56">
      <c r="G39" s="97" t="inlineStr">
        <is>
          <t>Out-of-pocket per person (personal + any overrun)</t>
        </is>
      </c>
      <c r="H39" s="102">
        <f>(H38+MAX(0,-H37))/Compare!$B$6</f>
        <v/>
      </c>
      <c r="K39" s="102">
        <f>(K38+MAX(0,-K37))/Compare!$B$7</f>
        <v/>
      </c>
    </row>
    <row r="40" ht="15" customHeight="1" s="56">
      <c r="G40" s="97" t="inlineStr">
        <is>
          <t>Whole trip cost (university + personal)</t>
        </is>
      </c>
      <c r="H40" s="103">
        <f>H36+H38</f>
        <v/>
      </c>
      <c r="K40" s="103">
        <f>K36+K38</f>
        <v/>
      </c>
    </row>
    <row r="41" ht="15" customHeight="1" s="56">
      <c r="G41" s="99" t="inlineStr">
        <is>
          <t>Time in planes &amp; trains</t>
        </is>
      </c>
      <c r="H41" s="104">
        <f>D10+D11+D13+D14</f>
        <v/>
      </c>
      <c r="K41" s="104">
        <f>D10+D11+D13+D14</f>
        <v/>
      </c>
    </row>
    <row r="43" ht="15" customHeight="1" s="56">
      <c r="A43" s="72" t="inlineStr">
        <is>
          <t>Key facts</t>
        </is>
      </c>
    </row>
    <row r="44" ht="45" customHeight="1" s="56">
      <c r="A44" s="75" t="inlineStr">
        <is>
          <t>Contest</t>
        </is>
      </c>
      <c r="B44"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5" ht="30" customHeight="1" s="56">
      <c r="A45" s="75" t="inlineStr">
        <is>
          <t>Getting there</t>
        </is>
      </c>
      <c r="B45" s="74" t="inlineStr">
        <is>
          <t>Metro line 1 to Aoti Zhongxin station, exit 2, ~100 m from the campus (53 min from Nanchang station, 1 h 8 min from Nanchang West; taxi ~¥40 / ~¥105 per the 2019 handbook).</t>
        </is>
      </c>
    </row>
    <row r="46" ht="15" customHeight="1" s="56">
      <c r="A46" s="75" t="inlineStr">
        <is>
          <t>Why this plan</t>
        </is>
      </c>
      <c r="B46" s="74" t="inlineStr">
        <is>
          <t>Arrive on 17 Dec at 17:52, three hotel nights and a full rest day; no waiting in Beijing. Best if the team wants a fresh start.</t>
        </is>
      </c>
    </row>
    <row r="47" ht="15" customHeight="1" s="56">
      <c r="A47" s="75" t="inlineStr">
        <is>
          <t>Trade-off</t>
        </is>
      </c>
      <c r="B47" s="74" t="inlineStr">
        <is>
          <t>¥745 train, one more hotel night and a dearer MIAT flight: about ₮1.65M more than the sleeper plan (3 ppl). G335 at 12:00 leaves little margin after MIAT lands – otherwise take G337 16:55 → 22:53.</t>
        </is>
      </c>
    </row>
    <row r="49" ht="15" customHeight="1" s="56">
      <c r="A49" s="72" t="inlineStr">
        <is>
          <t>Day-by-day plan</t>
        </is>
      </c>
    </row>
    <row r="50" ht="15" customHeight="1" s="56">
      <c r="A50" s="96" t="inlineStr">
        <is>
          <t>Date</t>
        </is>
      </c>
      <c r="B50" s="96" t="inlineStr">
        <is>
          <t>Sleep in</t>
        </is>
      </c>
      <c r="C50" s="96" t="inlineStr">
        <is>
          <t>What happens</t>
        </is>
      </c>
    </row>
    <row r="51" ht="15" customHeight="1" s="56">
      <c r="A51" s="74" t="inlineStr">
        <is>
          <t>Thu 17 Dec</t>
        </is>
      </c>
      <c r="B51" s="74" t="inlineStr">
        <is>
          <t>Nanchang</t>
        </is>
      </c>
      <c r="C51" s="74" t="inlineStr">
        <is>
          <t>MIAT OM223 UB 07:30 → Beijing 09:45; taxi to Beijing West; G335 12:00 → Nanchang West 17:52; taxi to Orange Hotel.</t>
        </is>
      </c>
    </row>
    <row r="52" ht="15" customHeight="1" s="56">
      <c r="A52" s="74" t="inlineStr">
        <is>
          <t>Fri 18 Dec</t>
        </is>
      </c>
      <c r="B52" s="74" t="inlineStr">
        <is>
          <t>Nanchang</t>
        </is>
      </c>
      <c r="C52" s="74" t="inlineStr">
        <is>
          <t>Rest / practice day. Registration may open 13:00–18:00 (2019 pattern).</t>
        </is>
      </c>
    </row>
    <row r="53" ht="15" customHeight="1" s="56">
      <c r="A53" s="74" t="inlineStr">
        <is>
          <t>Sat 19 Dec</t>
        </is>
      </c>
      <c r="B53" s="74" t="inlineStr">
        <is>
          <t>Nanchang</t>
        </is>
      </c>
      <c r="C53" s="74" t="inlineStr">
        <is>
          <t>Registration (08:00–12:00), opening ~14:30, warm-up 15:00–17:00 at the JXNU Yaohu gym (2019 pattern).</t>
        </is>
      </c>
    </row>
    <row r="54" ht="15" customHeight="1" s="56">
      <c r="A54" s="74" t="inlineStr">
        <is>
          <t>Sun 20 Dec</t>
        </is>
      </c>
      <c r="B54" s="74" t="inlineStr">
        <is>
          <t>Train</t>
        </is>
      </c>
      <c r="C54" s="74" t="inlineStr">
        <is>
          <t>NANCHANG REGIONAL contest day 09:00–14:00; closing ~15:00–16:30. Metro to Nanchang station; D136 19:22 → Beijing Fengtai 07:31.</t>
        </is>
      </c>
    </row>
    <row r="55" ht="15" customHeight="1" s="56">
      <c r="A55" s="74" t="inlineStr">
        <is>
          <t>Mon 21 Dec</t>
        </is>
      </c>
      <c r="B55" s="74" t="inlineStr">
        <is>
          <t>Home</t>
        </is>
      </c>
      <c r="C55" s="74" t="inlineStr">
        <is>
          <t>Taxi Fengtai → PEK. Air China CA955 12:55 → UB 15:05.</t>
        </is>
      </c>
    </row>
    <row r="57" ht="15" customHeight="1" s="56">
      <c r="A57" s="72" t="inlineStr">
        <is>
          <t>Door-to-door travel times</t>
        </is>
      </c>
    </row>
    <row r="58" ht="15" customHeight="1" s="56">
      <c r="A58" s="96" t="inlineStr">
        <is>
          <t>Date</t>
        </is>
      </c>
      <c r="B58" s="96" t="inlineStr">
        <is>
          <t>Leg</t>
        </is>
      </c>
      <c r="C58" s="96" t="inlineStr">
        <is>
          <t>Mode</t>
        </is>
      </c>
      <c r="D58" s="96" t="inlineStr">
        <is>
          <t>Expected time</t>
        </is>
      </c>
      <c r="E58" s="96" t="inlineStr">
        <is>
          <t>Notes</t>
        </is>
      </c>
    </row>
    <row r="59" ht="15" customHeight="1" s="56">
      <c r="A59" s="105" t="inlineStr">
        <is>
          <t>17 Dec</t>
        </is>
      </c>
      <c r="B59" s="105" t="inlineStr">
        <is>
          <t>Home → Chinggis Khaan airport</t>
        </is>
      </c>
      <c r="C59" s="82" t="inlineStr">
        <is>
          <t>Taxi (~50 km)</t>
        </is>
      </c>
      <c r="D59" s="104" t="n">
        <v>0.04166666666666666</v>
      </c>
      <c r="E59" s="106" t="inlineStr">
        <is>
          <t>Leave ~04:30 for 07:30 flight</t>
        </is>
      </c>
      <c r="F59" s="107" t="n"/>
      <c r="G59" s="107" t="n"/>
      <c r="H59" s="107" t="n"/>
      <c r="I59" s="107" t="n"/>
      <c r="J59" s="107" t="n"/>
      <c r="K59" s="107" t="n"/>
      <c r="L59" s="107" t="n"/>
    </row>
    <row r="60" ht="15" customHeight="1" s="56">
      <c r="A60" s="105" t="inlineStr">
        <is>
          <t>17 Dec</t>
        </is>
      </c>
      <c r="B60" s="105" t="inlineStr">
        <is>
          <t>Ulaanbaatar → Beijing (PEK)</t>
        </is>
      </c>
      <c r="C60" s="82" t="inlineStr">
        <is>
          <t>MIAT OM223 07:30–09:45</t>
        </is>
      </c>
      <c r="D60" s="104" t="n">
        <v>0.09375</v>
      </c>
      <c r="E60" s="106" t="inlineStr"/>
      <c r="F60" s="107" t="n"/>
      <c r="G60" s="107" t="n"/>
      <c r="H60" s="107" t="n"/>
      <c r="I60" s="107" t="n"/>
      <c r="J60" s="107" t="n"/>
      <c r="K60" s="107" t="n"/>
      <c r="L60" s="107" t="n"/>
    </row>
    <row r="61" ht="15" customHeight="1" s="56">
      <c r="A61" s="105" t="inlineStr">
        <is>
          <t>17 Dec</t>
        </is>
      </c>
      <c r="B61" s="105" t="inlineStr">
        <is>
          <t>PEK arrival: immigration, bags</t>
        </is>
      </c>
      <c r="C61" s="82" t="inlineStr">
        <is>
          <t>—</t>
        </is>
      </c>
      <c r="D61" s="104" t="n">
        <v>0.03125</v>
      </c>
      <c r="E61" s="106" t="inlineStr">
        <is>
          <t>Estimate</t>
        </is>
      </c>
      <c r="F61" s="107" t="n"/>
      <c r="G61" s="107" t="n"/>
      <c r="H61" s="107" t="n"/>
      <c r="I61" s="107" t="n"/>
      <c r="J61" s="107" t="n"/>
      <c r="K61" s="107" t="n"/>
      <c r="L61" s="107" t="n"/>
    </row>
    <row r="62" ht="15" customHeight="1" s="56">
      <c r="A62" s="105" t="inlineStr">
        <is>
          <t>17 Dec</t>
        </is>
      </c>
      <c r="B62" s="105" t="inlineStr">
        <is>
          <t>PEK → Beijing West</t>
        </is>
      </c>
      <c r="C62" s="82" t="inlineStr">
        <is>
          <t>Taxi (~45 km)</t>
        </is>
      </c>
      <c r="D62" s="104" t="n">
        <v>0.05208333333333334</v>
      </c>
      <c r="E62" s="106" t="inlineStr">
        <is>
          <t>Estimate; be at Beijing West by ~11:30</t>
        </is>
      </c>
      <c r="F62" s="107" t="n"/>
      <c r="G62" s="107" t="n"/>
      <c r="H62" s="107" t="n"/>
      <c r="I62" s="107" t="n"/>
      <c r="J62" s="107" t="n"/>
      <c r="K62" s="107" t="n"/>
      <c r="L62" s="107" t="n"/>
    </row>
    <row r="63" ht="15" customHeight="1" s="56">
      <c r="A63" s="105" t="inlineStr">
        <is>
          <t>17 Dec</t>
        </is>
      </c>
      <c r="B63" s="105" t="inlineStr">
        <is>
          <t>Beijing West → Nanchang West</t>
        </is>
      </c>
      <c r="C63" s="82" t="inlineStr">
        <is>
          <t>G335 12:00–17:52</t>
        </is>
      </c>
      <c r="D63" s="104" t="n">
        <v>0.2444444444444444</v>
      </c>
      <c r="E63" s="106" t="inlineStr"/>
      <c r="F63" s="107" t="n"/>
      <c r="G63" s="107" t="n"/>
      <c r="H63" s="107" t="n"/>
      <c r="I63" s="107" t="n"/>
      <c r="J63" s="107" t="n"/>
      <c r="K63" s="107" t="n"/>
      <c r="L63" s="107" t="n"/>
    </row>
    <row r="64" ht="15" customHeight="1" s="56">
      <c r="A64" s="105" t="inlineStr">
        <is>
          <t>17 Dec</t>
        </is>
      </c>
      <c r="B64" s="105" t="inlineStr">
        <is>
          <t>Nanchang West → hotel</t>
        </is>
      </c>
      <c r="C64" s="82" t="inlineStr">
        <is>
          <t>Taxi (~35 km)</t>
        </is>
      </c>
      <c r="D64" s="104" t="n">
        <v>0.03472222222222222</v>
      </c>
      <c r="E64" s="106" t="inlineStr">
        <is>
          <t>Estimate</t>
        </is>
      </c>
      <c r="F64" s="107" t="n"/>
      <c r="G64" s="107" t="n"/>
      <c r="H64" s="107" t="n"/>
      <c r="I64" s="107" t="n"/>
      <c r="J64" s="107" t="n"/>
      <c r="K64" s="107" t="n"/>
      <c r="L64" s="107" t="n"/>
    </row>
    <row r="65" ht="15" customHeight="1" s="56">
      <c r="A65" s="105" t="inlineStr">
        <is>
          <t>18–20 Dec</t>
        </is>
      </c>
      <c r="B65" s="105" t="inlineStr">
        <is>
          <t>Hotel ↔ JXNU Yaohu campus (each way)</t>
        </is>
      </c>
      <c r="C65" s="82" t="inlineStr">
        <is>
          <t>Walk</t>
        </is>
      </c>
      <c r="D65" s="104" t="inlineStr">
        <is>
          <t>daily</t>
        </is>
      </c>
      <c r="E65" s="106" t="inlineStr">
        <is>
          <t>~10–15 min walk (Orange Hotel ~0.7 km)</t>
        </is>
      </c>
      <c r="F65" s="107" t="n"/>
      <c r="G65" s="107" t="n"/>
      <c r="H65" s="107" t="n"/>
      <c r="I65" s="107" t="n"/>
      <c r="J65" s="107" t="n"/>
      <c r="K65" s="107" t="n"/>
      <c r="L65" s="107" t="n"/>
    </row>
    <row r="66" ht="15" customHeight="1" s="56">
      <c r="A66" s="105" t="inlineStr">
        <is>
          <t>20 Dec</t>
        </is>
      </c>
      <c r="B66" s="105" t="inlineStr">
        <is>
          <t>JXNU Yaohu campus → Nanchang station</t>
        </is>
      </c>
      <c r="C66" s="82" t="inlineStr">
        <is>
          <t>Metro line 1 + 2 / taxi</t>
        </is>
      </c>
      <c r="D66" s="104" t="n">
        <v>0.03819444444444445</v>
      </c>
      <c r="E66" s="106" t="inlineStr">
        <is>
          <t>Leave ~17:45 for the 19:22 train</t>
        </is>
      </c>
      <c r="F66" s="107" t="n"/>
      <c r="G66" s="107" t="n"/>
      <c r="H66" s="107" t="n"/>
      <c r="I66" s="107" t="n"/>
      <c r="J66" s="107" t="n"/>
      <c r="K66" s="107" t="n"/>
      <c r="L66" s="107" t="n"/>
    </row>
    <row r="67" ht="15" customHeight="1" s="56">
      <c r="A67" s="105" t="inlineStr">
        <is>
          <t>20–21 Dec</t>
        </is>
      </c>
      <c r="B67" s="105" t="inlineStr">
        <is>
          <t>Nanchang → Beijing Fengtai</t>
        </is>
      </c>
      <c r="C67" s="82" t="inlineStr">
        <is>
          <t>D136 seat 19:22–07:31</t>
        </is>
      </c>
      <c r="D67" s="104" t="n">
        <v>0.50625</v>
      </c>
      <c r="E67" s="106" t="inlineStr">
        <is>
          <t>Overnight</t>
        </is>
      </c>
      <c r="F67" s="107" t="n"/>
      <c r="G67" s="107" t="n"/>
      <c r="H67" s="107" t="n"/>
      <c r="I67" s="107" t="n"/>
      <c r="J67" s="107" t="n"/>
      <c r="K67" s="107" t="n"/>
      <c r="L67" s="107" t="n"/>
    </row>
    <row r="68" ht="15" customHeight="1" s="56">
      <c r="A68" s="105" t="inlineStr">
        <is>
          <t>21 Dec</t>
        </is>
      </c>
      <c r="B68" s="105" t="inlineStr">
        <is>
          <t>Beijing Fengtai → PEK</t>
        </is>
      </c>
      <c r="C68" s="82" t="inlineStr">
        <is>
          <t>Taxi (~45 km)</t>
        </is>
      </c>
      <c r="D68" s="104" t="n">
        <v>0.05208333333333334</v>
      </c>
      <c r="E68" s="106" t="inlineStr">
        <is>
          <t>Be at PEK by ~10:55 for the 12:55 flight</t>
        </is>
      </c>
      <c r="F68" s="107" t="n"/>
      <c r="G68" s="107" t="n"/>
      <c r="H68" s="107" t="n"/>
      <c r="I68" s="107" t="n"/>
      <c r="J68" s="107" t="n"/>
      <c r="K68" s="107" t="n"/>
      <c r="L68" s="107" t="n"/>
    </row>
    <row r="69" ht="15" customHeight="1" s="56">
      <c r="A69" s="105" t="inlineStr">
        <is>
          <t>21 Dec</t>
        </is>
      </c>
      <c r="B69" s="105" t="inlineStr">
        <is>
          <t>Beijing (PEK) → Ulaanbaatar</t>
        </is>
      </c>
      <c r="C69" s="82" t="inlineStr">
        <is>
          <t>Air China CA955 12:55–15:05</t>
        </is>
      </c>
      <c r="D69" s="104" t="n">
        <v>0.09027777777777778</v>
      </c>
      <c r="E69" s="106" t="inlineStr"/>
      <c r="F69" s="107" t="n"/>
      <c r="G69" s="107" t="n"/>
      <c r="H69" s="107" t="n"/>
      <c r="I69" s="107" t="n"/>
      <c r="J69" s="107" t="n"/>
      <c r="K69" s="107" t="n"/>
      <c r="L69" s="107" t="n"/>
    </row>
    <row r="70" ht="15" customHeight="1" s="56">
      <c r="A70" s="105" t="inlineStr">
        <is>
          <t>21 Dec</t>
        </is>
      </c>
      <c r="B70" s="105" t="inlineStr">
        <is>
          <t>Chinggis Khaan airport → home</t>
        </is>
      </c>
      <c r="C70" s="82" t="inlineStr">
        <is>
          <t>Taxi</t>
        </is>
      </c>
      <c r="D70" s="104" t="n">
        <v>0.04166666666666666</v>
      </c>
      <c r="E70" s="106" t="inlineStr"/>
      <c r="F70" s="107" t="n"/>
      <c r="G70" s="107" t="n"/>
      <c r="H70" s="107" t="n"/>
      <c r="I70" s="107" t="n"/>
      <c r="J70" s="107" t="n"/>
      <c r="K70" s="107" t="n"/>
      <c r="L70" s="107" t="n"/>
    </row>
    <row r="72" ht="15" customHeight="1" s="56">
      <c r="C72" s="59" t="inlineStr">
        <is>
          <t>Total door-to-door</t>
        </is>
      </c>
      <c r="D72" s="109">
        <f>SUM(D59:D70)</f>
        <v/>
      </c>
    </row>
  </sheetData>
  <mergeCells count="21">
    <mergeCell ref="C52:L52"/>
    <mergeCell ref="E68:L68"/>
    <mergeCell ref="B47:L47"/>
    <mergeCell ref="E62:L62"/>
    <mergeCell ref="B46:L46"/>
    <mergeCell ref="E67:L67"/>
    <mergeCell ref="C53:L53"/>
    <mergeCell ref="E64:L64"/>
    <mergeCell ref="E63:L63"/>
    <mergeCell ref="E60:L60"/>
    <mergeCell ref="E69:L69"/>
    <mergeCell ref="E65:L65"/>
    <mergeCell ref="B44:L44"/>
    <mergeCell ref="E59:L59"/>
    <mergeCell ref="C54:L54"/>
    <mergeCell ref="E70:L70"/>
    <mergeCell ref="E61:L61"/>
    <mergeCell ref="C55:L55"/>
    <mergeCell ref="E66:L66"/>
    <mergeCell ref="C51:L51"/>
    <mergeCell ref="B45:L45"/>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68"/>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RowHeight="15"/>
  <cols>
    <col width="26" customWidth="1" style="56" min="1" max="1"/>
    <col width="52" customWidth="1" style="56" min="2" max="2"/>
    <col width="20" customWidth="1" style="56" min="3" max="3"/>
    <col width="15" customWidth="1" style="56" min="4" max="4"/>
    <col width="13" customWidth="1" style="56" min="5" max="5"/>
    <col width="9" customWidth="1" style="56" min="6" max="6"/>
    <col width="17" customWidth="1" style="56" min="8" max="8"/>
    <col width="13" customWidth="1" style="56" min="9" max="9"/>
    <col width="9" customWidth="1" style="56" min="10" max="10"/>
    <col width="17" customWidth="1" style="56" min="11" max="11"/>
    <col width="58" customWidth="1" style="56" min="12" max="12"/>
  </cols>
  <sheetData>
    <row r="1" ht="17.35" customHeight="1" s="56">
      <c r="A1" s="57" t="inlineStr">
        <is>
          <t>Nanchang – Fly in (Air China)</t>
        </is>
      </c>
    </row>
    <row r="2" ht="15" customHeight="1" s="56">
      <c r="A2" s="62" t="inlineStr">
        <is>
          <t>Air China through ticket UB → Nanchang on 17 Dec (one ticket, bags through, lands 21:40); D136 seat back and Air China home on 21 Dec.</t>
        </is>
      </c>
    </row>
    <row r="4" ht="15" customHeight="1" s="56">
      <c r="A4" s="60" t="inlineStr">
        <is>
          <t>Days in destination (meals &amp; local transport)</t>
        </is>
      </c>
      <c r="B4" s="76" t="n">
        <v>4</v>
      </c>
      <c r="C4" s="62" t="inlineStr">
        <is>
          <t>17 Dec evening → morning 21 Dec</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60" customHeight="1" s="56">
      <c r="A10" s="81" t="n"/>
      <c r="B10" s="111" t="inlineStr">
        <is>
          <t>Air China CA902 UB 11:50 → Beijing 13:55, CA1581 Beijing 19:20 → Nanchang 21:40 (one ticket, 5 h 25 min layover)</t>
        </is>
      </c>
      <c r="C10" s="83" t="inlineStr">
        <is>
          <t>17 Dec</t>
        </is>
      </c>
      <c r="D10" s="84" t="n">
        <v>0.4097222222222222</v>
      </c>
      <c r="E10" s="85" t="n">
        <v>356</v>
      </c>
      <c r="F10" s="86" t="inlineStr">
        <is>
          <t>USD</t>
        </is>
      </c>
      <c r="G10" s="87">
        <f>Compare!$B$6</f>
        <v/>
      </c>
      <c r="H10" s="88">
        <f>E10*G10*IF(F10="USD",Compare!$B$8,IF(F10="CNY",Compare!$B$9,IF(F10="HKD",Compare!$B$10,1)))</f>
        <v/>
      </c>
      <c r="I10" s="89">
        <f>E10</f>
        <v/>
      </c>
      <c r="J10" s="87">
        <f>Compare!$B$7</f>
        <v/>
      </c>
      <c r="K10" s="88">
        <f>I10*J10*IF(F10="USD",Compare!$B$8,IF(F10="CNY",Compare!$B$9,IF(F10="HKD",Compare!$B$10,1)))</f>
        <v/>
      </c>
      <c r="L10" s="112" t="inlineStr">
        <is>
          <t>SlickTrip 10 Oct: $356 pp, through ticket via PEK (the CA956 16:10 + CA1537 08:25 next-day combination is also $356). Not cross-checked on Trip.com; $199 pp more than Air China 16:10 + Z111 sleeper</t>
        </is>
      </c>
    </row>
    <row r="11" ht="45" customHeight="1" s="56">
      <c r="A11" s="81" t="n"/>
      <c r="B11" s="111" t="inlineStr">
        <is>
          <t>Air China CA955 Beijing (PEK) → Ulaanbaatar, nonstop 12:55–15:05</t>
        </is>
      </c>
      <c r="C11" s="83" t="inlineStr">
        <is>
          <t>21 Dec</t>
        </is>
      </c>
      <c r="D11" s="84" t="n">
        <v>0.09027777777777778</v>
      </c>
      <c r="E11" s="85" t="n">
        <v>172</v>
      </c>
      <c r="F11" s="86" t="inlineStr">
        <is>
          <t>USD</t>
        </is>
      </c>
      <c r="G11" s="87">
        <f>Compare!$B$6</f>
        <v/>
      </c>
      <c r="H11" s="88">
        <f>E11*G11*IF(F11="USD",Compare!$B$8,IF(F11="CNY",Compare!$B$9,IF(F11="HKD",Compare!$B$10,1)))</f>
        <v/>
      </c>
      <c r="I11" s="89">
        <f>E11</f>
        <v/>
      </c>
      <c r="J11" s="87">
        <f>Compare!$B$7</f>
        <v/>
      </c>
      <c r="K11" s="88">
        <f>I11*J11*IF(F11="USD",Compare!$B$8,IF(F11="CNY",Compare!$B$9,IF(F11="HKD",Compare!$B$10,1)))</f>
        <v/>
      </c>
      <c r="L11" s="112" t="inlineStr">
        <is>
          <t>Trip.com 10 Oct: Air China 12:55 $172 pp (08:25 also $172); MIAT 11:30 $193 (SlickTrip $224). The 12:55 departure leaves ~3 h after the sleeper arrives at Fengtai (07:31)</t>
        </is>
      </c>
    </row>
    <row r="12" ht="15" customHeight="1" s="56">
      <c r="A12" s="79" t="inlineStr">
        <is>
          <t>Trains</t>
        </is>
      </c>
      <c r="B12" s="80" t="n"/>
      <c r="C12" s="80" t="n"/>
      <c r="D12" s="80" t="n"/>
      <c r="E12" s="80" t="n"/>
      <c r="F12" s="80" t="n"/>
      <c r="G12" s="80" t="n"/>
      <c r="H12" s="80" t="n"/>
      <c r="I12" s="80" t="n"/>
      <c r="J12" s="80" t="n"/>
      <c r="K12" s="80" t="n"/>
      <c r="L12" s="80" t="n"/>
    </row>
    <row r="13" ht="75" customHeight="1" s="56">
      <c r="A13" s="81" t="n"/>
      <c r="B13" s="111" t="inlineStr">
        <is>
          <t>Overnight train D136 Nanchang 19:22 → Beijing Fengtai 07:31 (+1), 2nd-class seat (after the contest)</t>
        </is>
      </c>
      <c r="C13" s="83" t="inlineStr">
        <is>
          <t>20 Dec (night)</t>
        </is>
      </c>
      <c r="D13" s="84" t="n">
        <v>0.50625</v>
      </c>
      <c r="E13" s="85" t="n">
        <v>271</v>
      </c>
      <c r="F13" s="86" t="inlineStr">
        <is>
          <t>CNY</t>
        </is>
      </c>
      <c r="G13" s="87">
        <f>Compare!$B$6</f>
        <v/>
      </c>
      <c r="H13" s="88">
        <f>E13*G13*IF(F13="USD",Compare!$B$8,IF(F13="CNY",Compare!$B$9,IF(F13="HKD",Compare!$B$10,1)))</f>
        <v/>
      </c>
      <c r="I13" s="89">
        <f>E13</f>
        <v/>
      </c>
      <c r="J13" s="87">
        <f>Compare!$B$7</f>
        <v/>
      </c>
      <c r="K13" s="88">
        <f>I13*J13*IF(F13="USD",Compare!$B$8,IF(F13="CNY",Compare!$B$9,IF(F13="HKD",Compare!$B$10,1)))</f>
        <v/>
      </c>
      <c r="L13" s="112" t="inlineStr">
        <is>
          <t>12306 10 Oct (fares for the 20 Oct train): D136 2nd-class seat ¥271 (sleeper ¥382, saves ¥111 pp); D138 19:38 → 07:38 ¥271, D140 Nanchang West 19:18 → 07:25 ¥307, D134 Nanchang West 20:58 → 09:01 ¥273. Cheapest: Z182 20:01 → 08:46 hard seat. After the contest sleep no longer matters. ChinaTicketOnline lists D136 on 20 Dec, sales open 6 Dec 09:45</t>
        </is>
      </c>
    </row>
    <row r="14" ht="15" customHeight="1" s="56">
      <c r="A14" s="79" t="inlineStr">
        <is>
          <t>Accommodation</t>
        </is>
      </c>
      <c r="B14" s="80" t="n"/>
      <c r="C14" s="80" t="n"/>
      <c r="D14" s="80" t="n"/>
      <c r="E14" s="80" t="n"/>
      <c r="F14" s="80" t="n"/>
      <c r="G14" s="80" t="n"/>
      <c r="H14" s="80" t="n"/>
      <c r="I14" s="80" t="n"/>
      <c r="J14" s="80" t="n"/>
      <c r="K14" s="80" t="n"/>
      <c r="L14" s="80" t="n"/>
    </row>
    <row r="15" ht="45" customHeight="1" s="56">
      <c r="A15" s="81" t="n"/>
      <c r="B15" s="111" t="inlineStr">
        <is>
          <t>Orange Hotel (Nanchang Yaohu West Subway Station, Normal University branch; ~0.7 km to JXNU; 3 ppl 1 room; 4 ppl Family Room)</t>
        </is>
      </c>
      <c r="C15" s="83" t="inlineStr">
        <is>
          <t>17–20 Dec (3 nights)</t>
        </is>
      </c>
      <c r="D15" s="81" t="n"/>
      <c r="E15" s="85" t="n">
        <v>386.67</v>
      </c>
      <c r="F15" s="86" t="inlineStr">
        <is>
          <t>CNY</t>
        </is>
      </c>
      <c r="G15" s="91" t="n">
        <v>3</v>
      </c>
      <c r="H15" s="88">
        <f>E15*G15*IF(F15="USD",Compare!$B$8,IF(F15="CNY",Compare!$B$9,IF(F15="HKD",Compare!$B$10,1)))</f>
        <v/>
      </c>
      <c r="I15" s="85" t="n">
        <v>404.67</v>
      </c>
      <c r="J15" s="91" t="n">
        <v>3</v>
      </c>
      <c r="K15" s="88">
        <f>I15*J15*IF(F15="USD",Compare!$B$8,IF(F15="CNY",Compare!$B$9,IF(F15="HKD",Compare!$B$10,1)))</f>
        <v/>
      </c>
      <c r="L15" s="112" t="inlineStr">
        <is>
          <t>Trip.com 10 Oct: ¥1,160 (3 adults) / ¥1,214 (4 adults, Deluxe Family Room) for 3 nights; rated 9.6 (662 reviews)</t>
        </is>
      </c>
    </row>
    <row r="16" ht="15" customHeight="1" s="56">
      <c r="A16" s="79" t="inlineStr">
        <is>
          <t>Meals &amp; local transport</t>
        </is>
      </c>
      <c r="B16" s="80" t="n"/>
      <c r="C16" s="80" t="n"/>
      <c r="D16" s="80" t="n"/>
      <c r="E16" s="80" t="n"/>
      <c r="F16" s="80" t="n"/>
      <c r="G16" s="80" t="n"/>
      <c r="H16" s="80" t="n"/>
      <c r="I16" s="80" t="n"/>
      <c r="J16" s="80" t="n"/>
      <c r="K16" s="80" t="n"/>
      <c r="L16" s="80" t="n"/>
    </row>
    <row r="17" ht="30" customHeight="1" s="56">
      <c r="A17" s="81" t="n"/>
      <c r="B17" s="111" t="inlineStr">
        <is>
          <t>Meals</t>
        </is>
      </c>
      <c r="C17" s="83" t="inlineStr">
        <is>
          <t>in destination</t>
        </is>
      </c>
      <c r="D17" s="81" t="n"/>
      <c r="E17" s="113" t="n">
        <v>80</v>
      </c>
      <c r="F17" s="86" t="inlineStr">
        <is>
          <t>CNY</t>
        </is>
      </c>
      <c r="G17" s="87">
        <f>Compare!$B$6*$B$4</f>
        <v/>
      </c>
      <c r="H17" s="88">
        <f>E17*G17*IF(F17="USD",Compare!$B$8,IF(F17="CNY",Compare!$B$9,IF(F17="HKD",Compare!$B$10,1)))</f>
        <v/>
      </c>
      <c r="I17" s="114">
        <f>E17</f>
        <v/>
      </c>
      <c r="J17" s="87">
        <f>Compare!$B$7*$B$4</f>
        <v/>
      </c>
      <c r="K17" s="88">
        <f>I17*J17*IF(F17="USD",Compare!$B$8,IF(F17="CNY",Compare!$B$9,IF(F17="HKD",Compare!$B$10,1)))</f>
        <v/>
      </c>
      <c r="L17" s="112" t="inlineStr">
        <is>
          <t>ASSUMPTION 80 CNY/person/day; hosts usually provide some meals on contest days</t>
        </is>
      </c>
    </row>
    <row r="18" ht="15" customHeight="1" s="56">
      <c r="A18" s="81" t="n"/>
      <c r="B18" s="111" t="inlineStr">
        <is>
          <t>Local transport (metro, taxis)</t>
        </is>
      </c>
      <c r="C18" s="83" t="inlineStr">
        <is>
          <t>in destination</t>
        </is>
      </c>
      <c r="D18" s="81" t="n"/>
      <c r="E18" s="113" t="n">
        <v>30</v>
      </c>
      <c r="F18" s="86" t="inlineStr">
        <is>
          <t>CNY</t>
        </is>
      </c>
      <c r="G18" s="87">
        <f>Compare!$B$6*$B$4</f>
        <v/>
      </c>
      <c r="H18" s="88">
        <f>E18*G18*IF(F18="USD",Compare!$B$8,IF(F18="CNY",Compare!$B$9,IF(F18="HKD",Compare!$B$10,1)))</f>
        <v/>
      </c>
      <c r="I18" s="114">
        <f>E18</f>
        <v/>
      </c>
      <c r="J18" s="87">
        <f>Compare!$B$7*$B$4</f>
        <v/>
      </c>
      <c r="K18" s="88">
        <f>I18*J18*IF(F18="USD",Compare!$B$8,IF(F18="CNY",Compare!$B$9,IF(F18="HKD",Compare!$B$10,1)))</f>
        <v/>
      </c>
      <c r="L18" s="112" t="inlineStr">
        <is>
          <t>ASSUMPTION 30 CNY/person/day</t>
        </is>
      </c>
    </row>
    <row r="19" ht="30" customHeight="1" s="56">
      <c r="A19" s="81" t="n"/>
      <c r="B19" s="111" t="inlineStr">
        <is>
          <t>Taxi Nanchang airport (KHN) → hotel</t>
        </is>
      </c>
      <c r="C19" s="83" t="inlineStr">
        <is>
          <t>17 Dec</t>
        </is>
      </c>
      <c r="D19" s="84" t="n"/>
      <c r="E19" s="113" t="n">
        <v>130</v>
      </c>
      <c r="F19" s="86" t="inlineStr">
        <is>
          <t>CNY</t>
        </is>
      </c>
      <c r="G19" s="91" t="n">
        <v>1</v>
      </c>
      <c r="H19" s="88">
        <f>E19*G19*IF(F19="USD",Compare!$B$8,IF(F19="CNY",Compare!$B$9,IF(F19="HKD",Compare!$B$10,1)))</f>
        <v/>
      </c>
      <c r="I19" s="114">
        <f>E19</f>
        <v/>
      </c>
      <c r="J19" s="91" t="n">
        <v>1</v>
      </c>
      <c r="K19" s="88">
        <f>I19*J19*IF(F19="USD",Compare!$B$8,IF(F19="CNY",Compare!$B$9,IF(F19="HKD",Compare!$B$10,1)))</f>
        <v/>
      </c>
      <c r="L19" s="112" t="inlineStr">
        <is>
          <t>ASSUMPTION ~130 CNY per car, ~40 km (airport bus 1 + metro line 1 ~1 h 50 min, ~20 CNY pp)</t>
        </is>
      </c>
    </row>
    <row r="20" ht="15" customHeight="1" s="56">
      <c r="A20" s="81" t="n"/>
      <c r="B20" s="111" t="inlineStr">
        <is>
          <t>Taxi Nanchang station ↔ hotel departure</t>
        </is>
      </c>
      <c r="C20" s="83" t="inlineStr">
        <is>
          <t>20 Dec</t>
        </is>
      </c>
      <c r="D20" s="84" t="n"/>
      <c r="E20" s="113" t="n">
        <v>60</v>
      </c>
      <c r="F20" s="86" t="inlineStr">
        <is>
          <t>CNY</t>
        </is>
      </c>
      <c r="G20" s="91" t="n">
        <v>1</v>
      </c>
      <c r="H20" s="88">
        <f>E20*G20*IF(F20="USD",Compare!$B$8,IF(F20="CNY",Compare!$B$9,IF(F20="HKD",Compare!$B$10,1)))</f>
        <v/>
      </c>
      <c r="I20" s="114">
        <f>E20</f>
        <v/>
      </c>
      <c r="J20" s="91" t="n">
        <v>1</v>
      </c>
      <c r="K20" s="88">
        <f>I20*J20*IF(F20="USD",Compare!$B$8,IF(F20="CNY",Compare!$B$9,IF(F20="HKD",Compare!$B$10,1)))</f>
        <v/>
      </c>
      <c r="L20" s="112" t="inlineStr">
        <is>
          <t>ASSUMPTION ~60 CNY per car, ~15 km</t>
        </is>
      </c>
    </row>
    <row r="21" ht="15" customHeight="1" s="56">
      <c r="A21" s="81" t="n"/>
      <c r="B21" s="111" t="inlineStr">
        <is>
          <t>Taxi Beijing Fengtai → PEK</t>
        </is>
      </c>
      <c r="C21" s="83" t="inlineStr">
        <is>
          <t>21 Dec</t>
        </is>
      </c>
      <c r="D21" s="84" t="n"/>
      <c r="E21" s="113" t="n">
        <v>150</v>
      </c>
      <c r="F21" s="86" t="inlineStr">
        <is>
          <t>CNY</t>
        </is>
      </c>
      <c r="G21" s="91" t="n">
        <v>1</v>
      </c>
      <c r="H21" s="88">
        <f>E21*G21*IF(F21="USD",Compare!$B$8,IF(F21="CNY",Compare!$B$9,IF(F21="HKD",Compare!$B$10,1)))</f>
        <v/>
      </c>
      <c r="I21" s="114">
        <f>E21</f>
        <v/>
      </c>
      <c r="J21" s="91" t="n">
        <v>1</v>
      </c>
      <c r="K21" s="88">
        <f>I21*J21*IF(F21="USD",Compare!$B$8,IF(F21="CNY",Compare!$B$9,IF(F21="HKD",Compare!$B$10,1)))</f>
        <v/>
      </c>
      <c r="L21" s="112" t="inlineStr">
        <is>
          <t>ASSUMPTION ~150 CNY per car, ~45 km</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22.35" customHeight="1" s="56">
      <c r="A24" s="81" t="n"/>
      <c r="B24" s="82" t="inlineStr">
        <is>
          <t>Nanchang regional registration fee (per team)</t>
        </is>
      </c>
      <c r="C24" s="83" t="inlineStr">
        <is>
          <t>TBC</t>
        </is>
      </c>
      <c r="D24" s="81" t="n"/>
      <c r="E24" s="113" t="n">
        <v>1500</v>
      </c>
      <c r="F24" s="86" t="inlineStr">
        <is>
          <t>CNY</t>
        </is>
      </c>
      <c r="G24" s="91" t="n">
        <v>1</v>
      </c>
      <c r="H24" s="88">
        <f>E24*G24*IF(F24="USD",Compare!$B$8,IF(F24="CNY",Compare!$B$9,IF(F24="HKD",Compare!$B$10,1)))</f>
        <v/>
      </c>
      <c r="I24" s="114">
        <f>E24</f>
        <v/>
      </c>
      <c r="J24" s="91" t="n">
        <v>1</v>
      </c>
      <c r="K24" s="88">
        <f>I24*J24*IF(F24="USD",Compare!$B$8,IF(F24="CNY",Compare!$B$9,IF(F24="HKD",Compare!$B$10,1)))</f>
        <v/>
      </c>
      <c r="L24" s="90" t="inlineStr">
        <is>
          <t>ASSUMPTION: 1,500 CNY/team like other EC regionals; the 2019 Nanchang handbook has no fee and the 2026 invitation is not seen</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D10+D11+D13</f>
        <v/>
      </c>
      <c r="K39" s="104">
        <f>D10+D11+D13</f>
        <v/>
      </c>
    </row>
    <row r="41" ht="15" customHeight="1" s="56">
      <c r="A41" s="72" t="inlineStr">
        <is>
          <t>Key facts</t>
        </is>
      </c>
    </row>
    <row r="42" ht="45" customHeight="1" s="56">
      <c r="A42" s="75" t="inlineStr">
        <is>
          <t>Contest</t>
        </is>
      </c>
      <c r="B42" s="74" t="inlineStr">
        <is>
          <t>Asia Nanchang Regional, 19–20 Dec 2026 (provisional), host Jiangxi Normal University, Yaohu campus (Zixia Ave 99; gym ~28.683 N, 116.032 E). The 2019 Nanchang regional used the same campus: registration 13:00–18:00 the day before and 08:00–12:00 on day 1, opening 14:30, warm-up 15:00–17:00; day 2 contest 09:00–14:00, closing 15:00–16:30. Confirm all of this in the 2026 invitation.</t>
        </is>
      </c>
    </row>
    <row r="43" ht="30" customHeight="1" s="56">
      <c r="A43" s="75" t="inlineStr">
        <is>
          <t>Getting there</t>
        </is>
      </c>
      <c r="B43" s="74" t="inlineStr">
        <is>
          <t>Metro line 1 to Aoti Zhongxin station, exit 2, ~100 m from the campus (53 min from Nanchang station, 1 h 8 min from Nanchang West; taxi ~¥40 / ~¥105 per the 2019 handbook).</t>
        </is>
      </c>
    </row>
    <row r="44" ht="15" customHeight="1" s="56">
      <c r="A44" s="75" t="inlineStr">
        <is>
          <t>Why this plan</t>
        </is>
      </c>
      <c r="B44" s="74" t="inlineStr">
        <is>
          <t>One ticket, no train, no waiting in the Beijing station: lands 21:40 on 17 Dec and sleeps in the hotel.</t>
        </is>
      </c>
    </row>
    <row r="45" ht="15" customHeight="1" s="56">
      <c r="A45" s="75" t="inlineStr">
        <is>
          <t>Trade-off</t>
        </is>
      </c>
      <c r="B45" s="74" t="inlineStr">
        <is>
          <t>About ₮2.1M more than the sleeper plan for the same contest (3 ppl). The return stays on D136 + Air China because KHN → UB on 21 Dec needs a Beijing night ($294).</t>
        </is>
      </c>
    </row>
    <row r="47" ht="15" customHeight="1" s="56">
      <c r="A47" s="72" t="inlineStr">
        <is>
          <t>Day-by-day plan</t>
        </is>
      </c>
    </row>
    <row r="48" ht="15" customHeight="1" s="56">
      <c r="A48" s="96" t="inlineStr">
        <is>
          <t>Date</t>
        </is>
      </c>
      <c r="B48" s="96" t="inlineStr">
        <is>
          <t>Sleep in</t>
        </is>
      </c>
      <c r="C48" s="96" t="inlineStr">
        <is>
          <t>What happens</t>
        </is>
      </c>
    </row>
    <row r="49" ht="15" customHeight="1" s="56">
      <c r="A49" s="74" t="inlineStr">
        <is>
          <t>Thu 17 Dec</t>
        </is>
      </c>
      <c r="B49" s="74" t="inlineStr">
        <is>
          <t>Nanchang</t>
        </is>
      </c>
      <c r="C49" s="74" t="inlineStr">
        <is>
          <t>Taxi to the airport; Air China CA902 UB 11:50 → Beijing 13:55; CA1581 19:20 → Nanchang 21:40; taxi to Orange Hotel.</t>
        </is>
      </c>
    </row>
    <row r="50" ht="15" customHeight="1" s="56">
      <c r="A50" s="74" t="inlineStr">
        <is>
          <t>Fri 18 Dec</t>
        </is>
      </c>
      <c r="B50" s="74" t="inlineStr">
        <is>
          <t>Nanchang</t>
        </is>
      </c>
      <c r="C50" s="74" t="inlineStr">
        <is>
          <t>Rest / practice day. Registration may open 13:00–18:00 (2019 pattern).</t>
        </is>
      </c>
    </row>
    <row r="51" ht="15" customHeight="1" s="56">
      <c r="A51" s="74" t="inlineStr">
        <is>
          <t>Sat 19 Dec</t>
        </is>
      </c>
      <c r="B51" s="74" t="inlineStr">
        <is>
          <t>Nanchang</t>
        </is>
      </c>
      <c r="C51" s="74" t="inlineStr">
        <is>
          <t>Registration (08:00–12:00), opening ~14:30, warm-up 15:00–17:00 at the JXNU Yaohu gym (2019 pattern).</t>
        </is>
      </c>
    </row>
    <row r="52" ht="15" customHeight="1" s="56">
      <c r="A52" s="74" t="inlineStr">
        <is>
          <t>Sun 20 Dec</t>
        </is>
      </c>
      <c r="B52" s="74" t="inlineStr">
        <is>
          <t>Train</t>
        </is>
      </c>
      <c r="C52" s="74" t="inlineStr">
        <is>
          <t>NANCHANG REGIONAL contest day 09:00–14:00; closing ~15:00–16:30. Metro to Nanchang station; D136 19:22 → Beijing Fengtai 07:31.</t>
        </is>
      </c>
    </row>
    <row r="53" ht="15" customHeight="1" s="56">
      <c r="A53" s="74" t="inlineStr">
        <is>
          <t>Mon 21 Dec</t>
        </is>
      </c>
      <c r="B53" s="74" t="inlineStr">
        <is>
          <t>Home</t>
        </is>
      </c>
      <c r="C53" s="74" t="inlineStr">
        <is>
          <t>Taxi Fengtai → PEK. Air China CA955 12:55 → UB 15:05.</t>
        </is>
      </c>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17 Dec</t>
        </is>
      </c>
      <c r="B57" s="105" t="inlineStr">
        <is>
          <t>Home → Chinggis Khaan airport</t>
        </is>
      </c>
      <c r="C57" s="82" t="inlineStr">
        <is>
          <t>Taxi (~50 km)</t>
        </is>
      </c>
      <c r="D57" s="104" t="n">
        <v>0.04166666666666666</v>
      </c>
      <c r="E57" s="106" t="inlineStr">
        <is>
          <t>Leave ~08:45 for 11:50 flight</t>
        </is>
      </c>
      <c r="F57" s="107" t="n"/>
      <c r="G57" s="107" t="n"/>
      <c r="H57" s="107" t="n"/>
      <c r="I57" s="107" t="n"/>
      <c r="J57" s="107" t="n"/>
      <c r="K57" s="107" t="n"/>
      <c r="L57" s="107" t="n"/>
    </row>
    <row r="58" ht="15" customHeight="1" s="56">
      <c r="A58" s="105" t="inlineStr">
        <is>
          <t>17 Dec</t>
        </is>
      </c>
      <c r="B58" s="105" t="inlineStr">
        <is>
          <t>Ulaanbaatar → Beijing → Nanchang</t>
        </is>
      </c>
      <c r="C58" s="82" t="inlineStr">
        <is>
          <t>Air China CA902 + CA1581 (through ticket)</t>
        </is>
      </c>
      <c r="D58" s="104" t="n">
        <v>0.4097222222222222</v>
      </c>
      <c r="E58" s="106" t="inlineStr">
        <is>
          <t>Includes 5 h 25 min layover at PEK</t>
        </is>
      </c>
      <c r="F58" s="107" t="n"/>
      <c r="G58" s="107" t="n"/>
      <c r="H58" s="107" t="n"/>
      <c r="I58" s="107" t="n"/>
      <c r="J58" s="107" t="n"/>
      <c r="K58" s="107" t="n"/>
      <c r="L58" s="107" t="n"/>
    </row>
    <row r="59" ht="15" customHeight="1" s="56">
      <c r="A59" s="105" t="inlineStr">
        <is>
          <t>17 Dec</t>
        </is>
      </c>
      <c r="B59" s="105" t="inlineStr">
        <is>
          <t>Nanchang airport arrival, bags</t>
        </is>
      </c>
      <c r="C59" s="82" t="inlineStr">
        <is>
          <t>—</t>
        </is>
      </c>
      <c r="D59" s="104" t="n">
        <v>0.02083333333333333</v>
      </c>
      <c r="E59" s="106" t="inlineStr">
        <is>
          <t>Estimate</t>
        </is>
      </c>
      <c r="F59" s="107" t="n"/>
      <c r="G59" s="107" t="n"/>
      <c r="H59" s="107" t="n"/>
      <c r="I59" s="107" t="n"/>
      <c r="J59" s="107" t="n"/>
      <c r="K59" s="107" t="n"/>
      <c r="L59" s="107" t="n"/>
    </row>
    <row r="60" ht="15" customHeight="1" s="56">
      <c r="A60" s="105" t="inlineStr">
        <is>
          <t>17 Dec</t>
        </is>
      </c>
      <c r="B60" s="105" t="inlineStr">
        <is>
          <t>Nanchang airport → hotel</t>
        </is>
      </c>
      <c r="C60" s="82" t="inlineStr">
        <is>
          <t>Taxi (~40 km)</t>
        </is>
      </c>
      <c r="D60" s="104" t="n">
        <v>0.03472222222222222</v>
      </c>
      <c r="E60" s="106" t="inlineStr">
        <is>
          <t>Estimate</t>
        </is>
      </c>
      <c r="F60" s="107" t="n"/>
      <c r="G60" s="107" t="n"/>
      <c r="H60" s="107" t="n"/>
      <c r="I60" s="107" t="n"/>
      <c r="J60" s="107" t="n"/>
      <c r="K60" s="107" t="n"/>
      <c r="L60" s="107" t="n"/>
    </row>
    <row r="61" ht="15" customHeight="1" s="56">
      <c r="A61" s="105" t="inlineStr">
        <is>
          <t>18–20 Dec</t>
        </is>
      </c>
      <c r="B61" s="105" t="inlineStr">
        <is>
          <t>Hotel ↔ JXNU Yaohu campus (each way)</t>
        </is>
      </c>
      <c r="C61" s="82" t="inlineStr">
        <is>
          <t>Walk</t>
        </is>
      </c>
      <c r="D61" s="104" t="inlineStr">
        <is>
          <t>daily</t>
        </is>
      </c>
      <c r="E61" s="106" t="inlineStr">
        <is>
          <t>~10–15 min walk (Orange Hotel ~0.7 km)</t>
        </is>
      </c>
      <c r="F61" s="107" t="n"/>
      <c r="G61" s="107" t="n"/>
      <c r="H61" s="107" t="n"/>
      <c r="I61" s="107" t="n"/>
      <c r="J61" s="107" t="n"/>
      <c r="K61" s="107" t="n"/>
      <c r="L61" s="107" t="n"/>
    </row>
    <row r="62" ht="15" customHeight="1" s="56">
      <c r="A62" s="105" t="inlineStr">
        <is>
          <t>20 Dec</t>
        </is>
      </c>
      <c r="B62" s="105" t="inlineStr">
        <is>
          <t>JXNU Yaohu campus → Nanchang station</t>
        </is>
      </c>
      <c r="C62" s="82" t="inlineStr">
        <is>
          <t>Metro line 1 + 2 / taxi</t>
        </is>
      </c>
      <c r="D62" s="104" t="n">
        <v>0.03819444444444445</v>
      </c>
      <c r="E62" s="106" t="inlineStr">
        <is>
          <t>Leave ~17:45 for the 19:22 train</t>
        </is>
      </c>
      <c r="F62" s="107" t="n"/>
      <c r="G62" s="107" t="n"/>
      <c r="H62" s="107" t="n"/>
      <c r="I62" s="107" t="n"/>
      <c r="J62" s="107" t="n"/>
      <c r="K62" s="107" t="n"/>
      <c r="L62" s="107" t="n"/>
    </row>
    <row r="63" ht="15" customHeight="1" s="56">
      <c r="A63" s="105" t="inlineStr">
        <is>
          <t>20–21 Dec</t>
        </is>
      </c>
      <c r="B63" s="105" t="inlineStr">
        <is>
          <t>Nanchang → Beijing Fengtai</t>
        </is>
      </c>
      <c r="C63" s="82" t="inlineStr">
        <is>
          <t>D136 seat 19:22–07:31</t>
        </is>
      </c>
      <c r="D63" s="104" t="n">
        <v>0.50625</v>
      </c>
      <c r="E63" s="106" t="inlineStr">
        <is>
          <t>Overnight</t>
        </is>
      </c>
      <c r="F63" s="107" t="n"/>
      <c r="G63" s="107" t="n"/>
      <c r="H63" s="107" t="n"/>
      <c r="I63" s="107" t="n"/>
      <c r="J63" s="107" t="n"/>
      <c r="K63" s="107" t="n"/>
      <c r="L63" s="107" t="n"/>
    </row>
    <row r="64" ht="15" customHeight="1" s="56">
      <c r="A64" s="105" t="inlineStr">
        <is>
          <t>21 Dec</t>
        </is>
      </c>
      <c r="B64" s="105" t="inlineStr">
        <is>
          <t>Beijing Fengtai → PEK</t>
        </is>
      </c>
      <c r="C64" s="82" t="inlineStr">
        <is>
          <t>Taxi (~45 km)</t>
        </is>
      </c>
      <c r="D64" s="104" t="n">
        <v>0.05208333333333334</v>
      </c>
      <c r="E64" s="106" t="inlineStr">
        <is>
          <t>Be at PEK by ~10:55 for the 12:55 flight</t>
        </is>
      </c>
      <c r="F64" s="107" t="n"/>
      <c r="G64" s="107" t="n"/>
      <c r="H64" s="107" t="n"/>
      <c r="I64" s="107" t="n"/>
      <c r="J64" s="107" t="n"/>
      <c r="K64" s="107" t="n"/>
      <c r="L64" s="107" t="n"/>
    </row>
    <row r="65" ht="15" customHeight="1" s="56">
      <c r="A65" s="105" t="inlineStr">
        <is>
          <t>21 Dec</t>
        </is>
      </c>
      <c r="B65" s="105" t="inlineStr">
        <is>
          <t>Beijing (PEK) → Ulaanbaatar</t>
        </is>
      </c>
      <c r="C65" s="82" t="inlineStr">
        <is>
          <t>Air China CA955 12:55–15:05</t>
        </is>
      </c>
      <c r="D65" s="104" t="n">
        <v>0.09027777777777778</v>
      </c>
      <c r="E65" s="106" t="inlineStr"/>
      <c r="F65" s="107" t="n"/>
      <c r="G65" s="107" t="n"/>
      <c r="H65" s="107" t="n"/>
      <c r="I65" s="107" t="n"/>
      <c r="J65" s="107" t="n"/>
      <c r="K65" s="107" t="n"/>
      <c r="L65" s="107" t="n"/>
    </row>
    <row r="66" ht="15" customHeight="1" s="56">
      <c r="A66" s="105" t="inlineStr">
        <is>
          <t>21 Dec</t>
        </is>
      </c>
      <c r="B66" s="105" t="inlineStr">
        <is>
          <t>Chinggis Khaan airport → home</t>
        </is>
      </c>
      <c r="C66" s="82" t="inlineStr">
        <is>
          <t>Taxi</t>
        </is>
      </c>
      <c r="D66" s="104" t="n">
        <v>0.04166666666666666</v>
      </c>
      <c r="E66" s="106" t="inlineStr"/>
      <c r="F66" s="107" t="n"/>
      <c r="G66" s="107" t="n"/>
      <c r="H66" s="107" t="n"/>
      <c r="I66" s="107" t="n"/>
      <c r="J66" s="107" t="n"/>
      <c r="K66" s="107" t="n"/>
      <c r="L66" s="107" t="n"/>
    </row>
    <row r="68" ht="15" customHeight="1" s="56">
      <c r="C68" s="59" t="inlineStr">
        <is>
          <t>Total door-to-door</t>
        </is>
      </c>
      <c r="D68" s="109">
        <f>SUM(D57:D66)</f>
        <v/>
      </c>
    </row>
  </sheetData>
  <mergeCells count="19">
    <mergeCell ref="E58:L58"/>
    <mergeCell ref="C52:L52"/>
    <mergeCell ref="E62:L62"/>
    <mergeCell ref="B43:L43"/>
    <mergeCell ref="C53:L53"/>
    <mergeCell ref="E64:L64"/>
    <mergeCell ref="C49:L49"/>
    <mergeCell ref="E63:L63"/>
    <mergeCell ref="B42:L42"/>
    <mergeCell ref="E60:L60"/>
    <mergeCell ref="E65:L65"/>
    <mergeCell ref="B44:L44"/>
    <mergeCell ref="E59:L59"/>
    <mergeCell ref="C50:L50"/>
    <mergeCell ref="E61:L61"/>
    <mergeCell ref="E57:L57"/>
    <mergeCell ref="E66:L66"/>
    <mergeCell ref="C51:L51"/>
    <mergeCell ref="B45:L45"/>
  </mergeCells>
  <pageMargins left="0.75" right="0.75" top="1" bottom="1" header="0.5" footer="0.5"/>
</worksheet>
</file>

<file path=xl/worksheets/sheet26.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Budget</t>
        </is>
      </c>
    </row>
    <row r="2" ht="15" customHeight="1" s="56">
      <c r="A2" s="62" t="inlineStr">
        <is>
          <t>MIAT nonstop both ways; guesthouse rooms in Tsim Sha Tsui (Kowloon),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Premium Lounge guesthouse, Chungking Mansion, Tsim Sha Tsui (3 ppl Triple Room; 4 ppl Triple Room + 1 dorm bed)</t>
        </is>
      </c>
      <c r="C13" s="83" t="inlineStr">
        <is>
          <t>8–11 Jan (3 nights)</t>
        </is>
      </c>
      <c r="D13" s="81" t="n"/>
      <c r="E13" s="85" t="n">
        <v>392.33</v>
      </c>
      <c r="F13" s="86" t="inlineStr">
        <is>
          <t>HKD</t>
        </is>
      </c>
      <c r="G13" s="91" t="n">
        <v>3</v>
      </c>
      <c r="H13" s="88">
        <f>E13*G13*IF(F13="USD",Compare!$B$8,IF(F13="CNY",Compare!$B$9,IF(F13="HKD",Compare!$B$10,1)))</f>
        <v/>
      </c>
      <c r="I13" s="85" t="n">
        <v>537</v>
      </c>
      <c r="J13" s="91" t="n">
        <v>3</v>
      </c>
      <c r="K13" s="88">
        <f>I13*J13*IF(F13="USD",Compare!$B$8,IF(F13="CNY",Compare!$B$9,IF(F13="HKD",Compare!$B$10,1)))</f>
        <v/>
      </c>
      <c r="L13" s="90" t="inlineStr">
        <is>
          <t>Booking.com 10 Oct, 8–11 Jan: HK$1,177 (3 ppl, Triple Room) / HK$1,611 (4 ppl: Triple Room + 1 dorm bed) for 3 nights; rated 8.1 (1,242 reviews). Was HK$1,308 / HK$1,790 on 30 Sep</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everything else (via Seoul/Beijing) costs more or takes a day longer.</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Tiny guesthouse rooms; ~35 min each way to HKU. Cheap guesthouse rooms are the weak point for sleep on contest eve – see 'Hong Kong – Sleep first' and the 'Sleep check' sheet.</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L6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Comfort</t>
        </is>
      </c>
    </row>
    <row r="2" ht="15" customHeight="1" s="56">
      <c r="A2" s="62" t="inlineStr">
        <is>
          <t>MIAT nonstop both ways; hotel in Sai Ying Pun, ~1 MTR stop / short walk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(~1 km to HKU; 3 ppl 1 room; 4 ppl 2 rooms)</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2,139 HKD (3 ppl) / 3,640 HKD (4 ppl, 2 rooms) for 3 nights; rated 7.4 (4,583 reviews)</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Walking distance to HKU, a proper hotel; flights identical to the budget plan.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Hotel costs roughly double the Kowloon guesthouse.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Sai Ying Pun hotel.</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Express to Hong Kong stn + taxi/MTR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B39:L39"/>
    <mergeCell ref="C48:L48"/>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Value</t>
        </is>
      </c>
    </row>
    <row r="2" ht="15" customHeight="1" s="56">
      <c r="A2" s="62" t="inlineStr">
        <is>
          <t>MIAT nonstop both ways; better-rated Kowloon guesthouse (9.6) for about the same price, ~35 min MTR to HKU.</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Kusa Inn, Kowloon guesthouse (3 ppl Triple Room; 4 ppl Double + Triple Room)</t>
        </is>
      </c>
      <c r="C13" s="83" t="inlineStr">
        <is>
          <t>8–11 Jan (3 nights)</t>
        </is>
      </c>
      <c r="D13" s="81" t="n"/>
      <c r="E13" s="85" t="n">
        <v>398</v>
      </c>
      <c r="F13" s="86" t="inlineStr">
        <is>
          <t>HKD</t>
        </is>
      </c>
      <c r="G13" s="91" t="n">
        <v>3</v>
      </c>
      <c r="H13" s="88">
        <f>E13*G13*IF(F13="USD",Compare!$B$8,IF(F13="CNY",Compare!$B$9,IF(F13="HKD",Compare!$B$10,1)))</f>
        <v/>
      </c>
      <c r="I13" s="85" t="n">
        <v>707.33</v>
      </c>
      <c r="J13" s="91" t="n">
        <v>3</v>
      </c>
      <c r="K13" s="88">
        <f>I13*J13*IF(F13="USD",Compare!$B$8,IF(F13="CNY",Compare!$B$9,IF(F13="HKD",Compare!$B$10,1)))</f>
        <v/>
      </c>
      <c r="L13" s="90" t="inlineStr">
        <is>
          <t>Booking.com 10 Oct, 8–11 Jan: HK$1,194 (3 ppl) / HK$2,122 (4 ppl, 2 rooms) for 3 nights; rated 9.6 (only 15 reviews). Runner-up Mochi Inn 9.1 (17 reviews): 4 ppl HK$2,212; Good Fortune Inn 8.6 (715 reviews) HK$1,759 / HK$2,889</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Kowloon)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flies UB–Hong Kong nonstop at $583–593 return (low against the usual $708–900); everything else via Seoul/Beijing/Shenzhen costs more.</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Slightly dearer than Premium Lounge for 4 people; few reviews so far; ~35 min each way to HKU.</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check in at the Tsim Sha Tsui guesthouse.</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Tsim Sha Tsui guesthouse</t>
        </is>
      </c>
      <c r="C55" s="82" t="inlineStr">
        <is>
          <t>Airport Express to Kowloon + walk/shuttle</t>
        </is>
      </c>
      <c r="D55" s="104" t="n">
        <v>0.03125</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 min MTR (Tsim Sha Tsui → Admiralty → HKU)</t>
        </is>
      </c>
      <c r="F56" s="107" t="n"/>
      <c r="G56" s="107" t="n"/>
      <c r="H56" s="107" t="n"/>
      <c r="I56" s="107" t="n"/>
      <c r="J56" s="107" t="n"/>
      <c r="K56" s="107" t="n"/>
      <c r="L56" s="107" t="n"/>
    </row>
    <row r="57" ht="26.85" customHeight="1" s="56">
      <c r="A57" s="105" t="inlineStr">
        <is>
          <t>11 Jan</t>
        </is>
      </c>
      <c r="B57" s="105" t="inlineStr">
        <is>
          <t>Guesthouse → HKG</t>
        </is>
      </c>
      <c r="C57" s="82" t="inlineStr">
        <is>
          <t>Airport Express from Kowloon</t>
        </is>
      </c>
      <c r="D57" s="104" t="n">
        <v>0.03125</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C44:L44"/>
    <mergeCell ref="E55:L55"/>
    <mergeCell ref="E52:L52"/>
    <mergeCell ref="C46:L46"/>
    <mergeCell ref="C47:L47"/>
    <mergeCell ref="E53:L53"/>
    <mergeCell ref="B41:L41"/>
    <mergeCell ref="B40:L40"/>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first</t>
        </is>
      </c>
    </row>
    <row r="2" ht="15" customHeight="1" s="56">
      <c r="A2" s="62" t="inlineStr">
        <is>
          <t>MIAT nonstop both ways; two quiet hotel rooms in Sheung Wan, 2 MTR stops (~10 min) from HKU – the contest-eve sleep is protected.</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iclub AMTD Sheung Wan Hotel (2 rooms: 3 ppl 2 + 1; 4 ppl 2 + 2; 2 MTR stops to HKU station)</t>
        </is>
      </c>
      <c r="C13" s="83" t="inlineStr">
        <is>
          <t>8–11 Jan (3 nights)</t>
        </is>
      </c>
      <c r="D13" s="81" t="n"/>
      <c r="E13" s="113" t="n">
        <v>2068.67</v>
      </c>
      <c r="F13" s="86" t="inlineStr">
        <is>
          <t>HKD</t>
        </is>
      </c>
      <c r="G13" s="91" t="n">
        <v>3</v>
      </c>
      <c r="H13" s="88">
        <f>E13*G13*IF(F13="USD",Compare!$B$8,IF(F13="CNY",Compare!$B$9,IF(F13="HKD",Compare!$B$10,1)))</f>
        <v/>
      </c>
      <c r="I13" s="113" t="n">
        <v>2068.67</v>
      </c>
      <c r="J13" s="91" t="n">
        <v>3</v>
      </c>
      <c r="K13" s="88">
        <f>I13*J13*IF(F13="USD",Compare!$B$8,IF(F13="CNY",Compare!$B$9,IF(F13="HKD",Compare!$B$10,1)))</f>
        <v/>
      </c>
      <c r="L13" s="90" t="inlineStr">
        <is>
          <t>Booking.com 10 Oct, 8–11 Jan, 3 adults in 2 rooms: HK$6,206 for 3 nights; rated 8.6 (640 reviews). 4 ppl: ASSUMPTION same 2 rooms. Alternatives: Y Hotel 8.7 (846) 1 km HK$7,800; iclub Sheung Wan 8.3 (717) HK$5,016; Oasis Aurum 181 8.7 (578) 0.5 km HK$9,360</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Express, both ways</t>
        </is>
      </c>
      <c r="C17" s="83" t="inlineStr">
        <is>
          <t>8 &amp; 11 Jan (HKG ↔ Hong Kong station)</t>
        </is>
      </c>
      <c r="D17" s="81" t="n"/>
      <c r="E17" s="92" t="n">
        <v>230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~115 HKD per person each way (recent adult single fare)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30" customHeight="1" s="56">
      <c r="A38" s="75" t="inlineStr">
        <is>
          <t>Contest</t>
        </is>
      </c>
      <c r="B38" s="74" t="inlineStr">
        <is>
          <t>Asia Hong Kong Regional, 9–10 Jan 2027 (provisional). Host listed as HKU on a coach's tracking page; the site rotates, so confirm.</t>
        </is>
      </c>
    </row>
    <row r="39" ht="15" customHeight="1" s="56">
      <c r="A39" s="75" t="inlineStr">
        <is>
          <t>Why this route</t>
        </is>
      </c>
      <c r="B39" s="74" t="inlineStr">
        <is>
          <t>MIAT nonstop is the cheapest flight (see Budget). The extra money goes into two rooms in a quiet hotel close to HKU so everyone sleeps 7–8 h on 8 and 9 Jan.</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About ₮2.6M dearer than the guesthouse plan for 3 people (HK$6,206 vs HK$1,177 for the rooms). With the coach it is ₮14.45M, over the ₮12M funding – so use it only for the unfunded trip if the team wants to pay for sleep, or drop to Value.</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Express + taxi/MTR, check in at the Sheung Wan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Sheung Wan hotel</t>
        </is>
      </c>
      <c r="C55" s="82" t="inlineStr">
        <is>
          <t>Airport Express to Hong Kong stn + taxi / MTR</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(MTR Sheung Wan → HKU, 2 stops; or taxi)</t>
        </is>
      </c>
      <c r="F56" s="107" t="n"/>
      <c r="G56" s="107" t="n"/>
      <c r="H56" s="107" t="n"/>
      <c r="I56" s="107" t="n"/>
      <c r="J56" s="107" t="n"/>
      <c r="K56" s="107" t="n"/>
      <c r="L56" s="107" t="n"/>
    </row>
    <row r="57" ht="26.85" customHeight="1" s="56">
      <c r="A57" s="105" t="inlineStr">
        <is>
          <t>11 Jan</t>
        </is>
      </c>
      <c r="B57" s="105" t="inlineStr">
        <is>
          <t>Hotel → HKG</t>
        </is>
      </c>
      <c r="C57" s="82" t="inlineStr">
        <is>
          <t>Taxi/MTR + Airport Express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3:L53"/>
    <mergeCell ref="E59:L59"/>
    <mergeCell ref="E51:L51"/>
    <mergeCell ref="C48:L48"/>
    <mergeCell ref="B39:L39"/>
    <mergeCell ref="E54:L54"/>
    <mergeCell ref="E55:L55"/>
    <mergeCell ref="E52:L52"/>
    <mergeCell ref="C46:L46"/>
    <mergeCell ref="C47:L47"/>
    <mergeCell ref="B40:L40"/>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Funded 12M</t>
        </is>
      </c>
    </row>
    <row r="2" ht="15" customHeight="1" s="56">
      <c r="A2" s="62" t="inlineStr">
        <is>
          <t>For the funded regional (₮12M, coach travels): MIAT nonstop, two rooms at a hotel ~540 m from HKU (walk, no commute) so each contestant has a bed and the contest-eve sleep is protected; airport bus instead of the Airport Express to stay under the cap.</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Best Western Plus Hotel Hong Kong, Sai Ying Pun (~540 m to HKU; 3 ppl 1 room; 4 ppl 2 rooms, 2 beds each)</t>
        </is>
      </c>
      <c r="C13" s="83" t="inlineStr">
        <is>
          <t>8–11 Jan (3 nights)</t>
        </is>
      </c>
      <c r="D13" s="81" t="n"/>
      <c r="E13" s="85" t="n">
        <v>713</v>
      </c>
      <c r="F13" s="86" t="inlineStr">
        <is>
          <t>HKD</t>
        </is>
      </c>
      <c r="G13" s="91" t="n">
        <v>3</v>
      </c>
      <c r="H13" s="88">
        <f>E13*G13*IF(F13="USD",Compare!$B$8,IF(F13="CNY",Compare!$B$9,IF(F13="HKD",Compare!$B$10,1)))</f>
        <v/>
      </c>
      <c r="I13" s="85" t="n">
        <v>1213.33</v>
      </c>
      <c r="J13" s="91" t="n">
        <v>3</v>
      </c>
      <c r="K13" s="88">
        <f>I13*J13*IF(F13="USD",Compare!$B$8,IF(F13="CNY",Compare!$B$9,IF(F13="HKD",Compare!$B$10,1)))</f>
        <v/>
      </c>
      <c r="L13" s="90" t="inlineStr">
        <is>
          <t>Booking.com 8–11 Jan: HK$2,139 (3 ppl) / HK$3,640 (4 ppl, 2 rooms) for 3 nights; rated 7.4 (4,583 reviews) on Booking.com, 8.2 (3,331) on Trip.com where 4 ppl / 2 rooms is HK$4,243. Read recent noise reviews; the cheaper guesthouses (Good Fortune Inn 8.6, 4 twin beds, HK$2,889) are ~35 min away by MTR</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A10 / A12 (HKG ↔ Sheung Wan / Sai Ying Pun), both ways</t>
        </is>
      </c>
      <c r="C17" s="83" t="inlineStr">
        <is>
          <t>8 &amp; 11 Jan</t>
        </is>
      </c>
      <c r="D17" s="81" t="n"/>
      <c r="E17" s="92" t="n">
        <v>90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~HK$45 per person each way on the A-route airport buses (about 45–60 min) instead of the HK$115 Airport Express (saves HK$140 pp, ~₮0.26M for 4 people)</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 confirm.</t>
        </is>
      </c>
    </row>
    <row r="39" ht="15" customHeight="1" s="56">
      <c r="A39" s="75" t="inlineStr">
        <is>
          <t>Why this plan</t>
        </is>
      </c>
      <c r="B39" s="74" t="inlineStr">
        <is>
          <t>Flights are fixed (MIAT nonstop is the cheapest way in). The only room for the ₮12M cap is the hotel and the airport transfer, so this plan uses 2 rooms at a hotel next to HKU and the airport bus.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Fits ₮12M only before the 10% contingency (about ₮11.7M); with contingency it is ~₮0.9M over. Lock the flights first – they are 70% of the cost. Read noise reviews for the hotel before booking.</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check in at the Sai Ying Pun hotel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Sai Ying Pun hotel</t>
        </is>
      </c>
      <c r="C55" s="82" t="inlineStr">
        <is>
          <t>Airport bus to Sheung Wan / Sai Ying Pun + walk</t>
        </is>
      </c>
      <c r="D55" s="104" t="n">
        <v>0.03472222222222222</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~10–15 min (walk or 1 MTR stop to HKU station)</t>
        </is>
      </c>
      <c r="F56" s="107" t="n"/>
      <c r="G56" s="107" t="n"/>
      <c r="H56" s="107" t="n"/>
      <c r="I56" s="107" t="n"/>
      <c r="J56" s="107" t="n"/>
      <c r="K56" s="107" t="n"/>
      <c r="L56" s="107" t="n"/>
    </row>
    <row r="57" ht="26.85" customHeight="1" s="56">
      <c r="A57" s="105" t="inlineStr">
        <is>
          <t>11 Jan</t>
        </is>
      </c>
      <c r="B57" s="105" t="inlineStr">
        <is>
          <t>Hotel → HKG</t>
        </is>
      </c>
      <c r="C57" s="82" t="inlineStr">
        <is>
          <t>Walk + airport bus</t>
        </is>
      </c>
      <c r="D57" s="104" t="n">
        <v>0.03472222222222222</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L60"/>
  <sheetViews>
    <sheetView workbookViewId="0">
      <pane xSplit="2" ySplit="7" topLeftCell="C8"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Hong Kong – Sleep priority</t>
        </is>
      </c>
    </row>
    <row r="2" ht="15" customHeight="1" s="56">
      <c r="A2" s="62" t="inlineStr">
        <is>
          <t>Sleep over distance: MIAT nonstop, two rooms with four separate twin beds and private bathrooms in a well-reviewed guesthouse in Kowloon (~35–40 min MTR to HKU), airport bus; stays under the ₮12M cap before contingency.</t>
        </is>
      </c>
    </row>
    <row r="4" ht="15" customHeight="1" s="56">
      <c r="A4" s="60" t="inlineStr">
        <is>
          <t>Days in destination (meals &amp; local transport)</t>
        </is>
      </c>
      <c r="B4" s="76" t="n">
        <v>3.5</v>
      </c>
      <c r="C4" s="62" t="inlineStr">
        <is>
          <t>8 Jan midday → 11 Jan morning</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OM297 Ulaanbaatar → Hong Kong, nonstop 06:45–11:25</t>
        </is>
      </c>
      <c r="C10" s="83" t="inlineStr">
        <is>
          <t>8 Jan</t>
        </is>
      </c>
      <c r="D10" s="84" t="n">
        <v>0.1944444444444444</v>
      </c>
      <c r="E10" s="85" t="n">
        <v>293</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10 Oct: MIAT nonstop 07:15–11:50 round trip $586 pp (8–11 Jan), split half each way = $293 (SlickTrip $593; $583 on 30 Sep). Cathay codeshare $626; via Seoul $783+</t>
        </is>
      </c>
    </row>
    <row r="11" ht="26.85" customHeight="1" s="56">
      <c r="A11" s="81" t="n"/>
      <c r="B11" s="82" t="inlineStr">
        <is>
          <t>MIAT OM298 Hong Kong → Ulaanbaatar, nonstop 12:25–17:05</t>
        </is>
      </c>
      <c r="C11" s="83" t="inlineStr">
        <is>
          <t>11 Jan</t>
        </is>
      </c>
      <c r="D11" s="84" t="n">
        <v>0.1944444444444444</v>
      </c>
      <c r="E11" s="85" t="n">
        <v>293</v>
      </c>
      <c r="F11" s="86" t="inlineStr">
        <is>
          <t>USD</t>
        </is>
      </c>
      <c r="G11" s="87">
        <f>Compare!$B$6</f>
        <v/>
      </c>
      <c r="H11" s="88">
        <f>E11*G11*IF(F11="USD",Compare!$B$8,IF(F11="CNY",Compare!$B$9,IF(F11="HKD",Compare!$B$10,1)))</f>
        <v/>
      </c>
      <c r="I11" s="89">
        <f>E11</f>
        <v/>
      </c>
      <c r="J11" s="87">
        <f>Compare!$B$7</f>
        <v/>
      </c>
      <c r="K11" s="88">
        <f>I11*J11*IF(F11="USD",Compare!$B$8,IF(F11="CNY",Compare!$B$9,IF(F11="HKD",Compare!$B$10,1)))</f>
        <v/>
      </c>
      <c r="L11" s="90" t="inlineStr">
        <is>
          <t>Return half of the $586 pp Trip.com round trip</t>
        </is>
      </c>
    </row>
    <row r="12" ht="15" customHeight="1" s="56">
      <c r="A12" s="79" t="inlineStr">
        <is>
          <t>Accommodation</t>
        </is>
      </c>
      <c r="B12" s="80" t="n"/>
      <c r="C12" s="80" t="n"/>
      <c r="D12" s="80" t="n"/>
      <c r="E12" s="80" t="n"/>
      <c r="F12" s="80" t="n"/>
      <c r="G12" s="80" t="n"/>
      <c r="H12" s="80" t="n"/>
      <c r="I12" s="80" t="n"/>
      <c r="J12" s="80" t="n"/>
      <c r="K12" s="80" t="n"/>
      <c r="L12" s="80" t="n"/>
    </row>
    <row r="13" ht="26.85" customHeight="1" s="56">
      <c r="A13" s="81" t="n"/>
      <c r="B13" s="82" t="inlineStr">
        <is>
          <t>Good Fortune Inn, Kowloon (3 ppl: triple room; 4 ppl: 2 rooms, 2 twin beds each, private bathroom; ~35–40 min MTR to HKU)</t>
        </is>
      </c>
      <c r="C13" s="83" t="inlineStr">
        <is>
          <t>8–11 Jan (3 nights)</t>
        </is>
      </c>
      <c r="D13" s="81" t="n"/>
      <c r="E13" s="85" t="n">
        <v>586.33</v>
      </c>
      <c r="F13" s="86" t="inlineStr">
        <is>
          <t>HKD</t>
        </is>
      </c>
      <c r="G13" s="91" t="n">
        <v>3</v>
      </c>
      <c r="H13" s="88">
        <f>E13*G13*IF(F13="USD",Compare!$B$8,IF(F13="CNY",Compare!$B$9,IF(F13="HKD",Compare!$B$10,1)))</f>
        <v/>
      </c>
      <c r="I13" s="85" t="n">
        <v>963</v>
      </c>
      <c r="J13" s="91" t="n">
        <v>3</v>
      </c>
      <c r="K13" s="88">
        <f>I13*J13*IF(F13="USD",Compare!$B$8,IF(F13="CNY",Compare!$B$9,IF(F13="HKD",Compare!$B$10,1)))</f>
        <v/>
      </c>
      <c r="L13" s="90" t="inlineStr">
        <is>
          <t>Booking.com 10 Oct, 8–11 Jan: HK$1,759 (3 ppl, triple room) / HK$2,889 (4 ppl, 2 rooms with 4 twin beds) for 3 nights; rated 8.6 (715 reviews). Alternatives with real hotel rooms: ALVA Hotel by Royal, Tsuen Wan (8.5, 1,038 reviews) HK$3,890, two queen beds, ~50 min to HKU; Sleep Inn (8.4) HK$3,401 but one full bed per room (two people share a bed)</t>
        </is>
      </c>
    </row>
    <row r="14" ht="15" customHeight="1" s="56">
      <c r="A14" s="79" t="inlineStr">
        <is>
          <t>Meals &amp; local transport</t>
        </is>
      </c>
      <c r="B14" s="80" t="n"/>
      <c r="C14" s="80" t="n"/>
      <c r="D14" s="80" t="n"/>
      <c r="E14" s="80" t="n"/>
      <c r="F14" s="80" t="n"/>
      <c r="G14" s="80" t="n"/>
      <c r="H14" s="80" t="n"/>
      <c r="I14" s="80" t="n"/>
      <c r="J14" s="80" t="n"/>
      <c r="K14" s="80" t="n"/>
      <c r="L14" s="80" t="n"/>
    </row>
    <row r="15" ht="15" customHeight="1" s="56">
      <c r="A15" s="81" t="n"/>
      <c r="B15" s="82" t="inlineStr">
        <is>
          <t>Meals</t>
        </is>
      </c>
      <c r="C15" s="83" t="inlineStr">
        <is>
          <t>in Hong Kong</t>
        </is>
      </c>
      <c r="D15" s="81" t="n"/>
      <c r="E15" s="92" t="n">
        <v>180</v>
      </c>
      <c r="F15" s="86" t="inlineStr">
        <is>
          <t>HKD</t>
        </is>
      </c>
      <c r="G15" s="87">
        <f>Compare!$B$6*$B$4</f>
        <v/>
      </c>
      <c r="H15" s="88">
        <f>E15*G15*IF(F15="USD",Compare!$B$8,IF(F15="CNY",Compare!$B$9,IF(F15="HKD",Compare!$B$10,1)))</f>
        <v/>
      </c>
      <c r="I15" s="93">
        <f>E15</f>
        <v/>
      </c>
      <c r="J15" s="87">
        <f>Compare!$B$7*$B$4</f>
        <v/>
      </c>
      <c r="K15" s="88">
        <f>I15*J15*IF(F15="USD",Compare!$B$8,IF(F15="CNY",Compare!$B$9,IF(F15="HKD",Compare!$B$10,1)))</f>
        <v/>
      </c>
      <c r="L15" s="90" t="inlineStr">
        <is>
          <t>ASSUMPTION ~180 HKD/person/day (cha chaan teng, canteens)</t>
        </is>
      </c>
    </row>
    <row r="16" ht="15" customHeight="1" s="56">
      <c r="A16" s="81" t="n"/>
      <c r="B16" s="82" t="inlineStr">
        <is>
          <t>MTR / buses (Octopus card)</t>
        </is>
      </c>
      <c r="C16" s="83" t="inlineStr">
        <is>
          <t>in Hong Kong</t>
        </is>
      </c>
      <c r="D16" s="81" t="n"/>
      <c r="E16" s="92" t="n">
        <v>40</v>
      </c>
      <c r="F16" s="86" t="inlineStr">
        <is>
          <t>HKD</t>
        </is>
      </c>
      <c r="G16" s="87">
        <f>Compare!$B$6*$B$4</f>
        <v/>
      </c>
      <c r="H16" s="88">
        <f>E16*G16*IF(F16="USD",Compare!$B$8,IF(F16="CNY",Compare!$B$9,IF(F16="HKD",Compare!$B$10,1)))</f>
        <v/>
      </c>
      <c r="I16" s="93">
        <f>E16</f>
        <v/>
      </c>
      <c r="J16" s="87">
        <f>Compare!$B$7*$B$4</f>
        <v/>
      </c>
      <c r="K16" s="88">
        <f>I16*J16*IF(F16="USD",Compare!$B$8,IF(F16="CNY",Compare!$B$9,IF(F16="HKD",Compare!$B$10,1)))</f>
        <v/>
      </c>
      <c r="L16" s="90" t="inlineStr">
        <is>
          <t>ASSUMPTION ~40 HKD/person/day</t>
        </is>
      </c>
    </row>
    <row r="17" ht="15" customHeight="1" s="56">
      <c r="A17" s="81" t="n"/>
      <c r="B17" s="82" t="inlineStr">
        <is>
          <t>Airport bus A21 (HKG ↔ Kowloon / Yau Ma Tei), both ways</t>
        </is>
      </c>
      <c r="C17" s="83" t="inlineStr">
        <is>
          <t>8 &amp; 11 Jan</t>
        </is>
      </c>
      <c r="D17" s="81" t="n"/>
      <c r="E17" s="92" t="n">
        <v>80</v>
      </c>
      <c r="F17" s="86" t="inlineStr">
        <is>
          <t>HKD</t>
        </is>
      </c>
      <c r="G17" s="87">
        <f>Compare!$B$6</f>
        <v/>
      </c>
      <c r="H17" s="88">
        <f>E17*G17*IF(F17="USD",Compare!$B$8,IF(F17="CNY",Compare!$B$9,IF(F17="HKD",Compare!$B$10,1)))</f>
        <v/>
      </c>
      <c r="I17" s="93">
        <f>E17</f>
        <v/>
      </c>
      <c r="J17" s="87">
        <f>Compare!$B$7</f>
        <v/>
      </c>
      <c r="K17" s="88">
        <f>I17*J17*IF(F17="USD",Compare!$B$8,IF(F17="CNY",Compare!$B$9,IF(F17="HKD",Compare!$B$10,1)))</f>
        <v/>
      </c>
      <c r="L17" s="90" t="inlineStr">
        <is>
          <t>ASSUMPTION ~HK$40 per person each way on the A21 airport bus (~60 min) instead of the HK$115 Airport Express + walk</t>
        </is>
      </c>
    </row>
    <row r="18" ht="15" customHeight="1" s="56">
      <c r="A18" s="94" t="inlineStr">
        <is>
          <t>PAID PERSONALLY (university won't cover)</t>
        </is>
      </c>
      <c r="B18" s="95" t="n"/>
      <c r="C18" s="95" t="n"/>
      <c r="D18" s="95" t="n"/>
      <c r="E18" s="95" t="n"/>
      <c r="F18" s="95" t="n"/>
      <c r="G18" s="95" t="n"/>
      <c r="H18" s="95" t="n"/>
      <c r="I18" s="95" t="n"/>
      <c r="J18" s="95" t="n"/>
      <c r="K18" s="95" t="n"/>
      <c r="L18" s="95" t="n"/>
    </row>
    <row r="19" ht="15" customHeight="1" s="56">
      <c r="A19" s="79" t="inlineStr">
        <is>
          <t>Contest fee</t>
        </is>
      </c>
      <c r="B19" s="80" t="n"/>
      <c r="C19" s="80" t="n"/>
      <c r="D19" s="80" t="n"/>
      <c r="E19" s="80" t="n"/>
      <c r="F19" s="80" t="n"/>
      <c r="G19" s="80" t="n"/>
      <c r="H19" s="80" t="n"/>
      <c r="I19" s="80" t="n"/>
      <c r="J19" s="80" t="n"/>
      <c r="K19" s="80" t="n"/>
      <c r="L19" s="80" t="n"/>
    </row>
    <row r="20" ht="22.35" customHeight="1" s="56">
      <c r="A20" s="81" t="n"/>
      <c r="B20" s="82" t="inlineStr">
        <is>
          <t>Hong Kong regional registration fee (per team)</t>
        </is>
      </c>
      <c r="C20" s="83" t="inlineStr">
        <is>
          <t>TBC</t>
        </is>
      </c>
      <c r="D20" s="81" t="n"/>
      <c r="E20" s="85" t="n">
        <v>1800</v>
      </c>
      <c r="F20" s="86" t="inlineStr">
        <is>
          <t>HKD</t>
        </is>
      </c>
      <c r="G20" s="91" t="n">
        <v>1</v>
      </c>
      <c r="H20" s="88">
        <f>E20*G20*IF(F20="USD",Compare!$B$8,IF(F20="CNY",Compare!$B$9,IF(F20="HKD",Compare!$B$10,1)))</f>
        <v/>
      </c>
      <c r="I20" s="89">
        <f>E20</f>
        <v/>
      </c>
      <c r="J20" s="91" t="n">
        <v>1</v>
      </c>
      <c r="K20" s="88">
        <f>I20*J20*IF(F20="USD",Compare!$B$8,IF(F20="CNY",Compare!$B$9,IF(F20="HKD",Compare!$B$10,1)))</f>
        <v/>
      </c>
      <c r="L20" s="90" t="inlineStr">
        <is>
          <t>1,800 HKD/team at the 2025 Hong Kong regional (HKUST); 2026 host listed as HKU – confirm</t>
        </is>
      </c>
    </row>
    <row r="21" ht="15" customHeight="1" s="56">
      <c r="A21" s="79" t="inlineStr">
        <is>
          <t>Other</t>
        </is>
      </c>
      <c r="B21" s="80" t="n"/>
      <c r="C21" s="80" t="n"/>
      <c r="D21" s="80" t="n"/>
      <c r="E21" s="80" t="n"/>
      <c r="F21" s="80" t="n"/>
      <c r="G21" s="80" t="n"/>
      <c r="H21" s="80" t="n"/>
      <c r="I21" s="80" t="n"/>
      <c r="J21" s="80" t="n"/>
      <c r="K21" s="80" t="n"/>
      <c r="L21" s="80" t="n"/>
    </row>
    <row r="22" ht="15" customHeight="1" s="56">
      <c r="A22" s="81" t="n"/>
      <c r="B22" s="82" t="inlineStr">
        <is>
          <t>Taxi to/from Chinggis Khaan airport (UB), per trip</t>
        </is>
      </c>
      <c r="C22" s="83" t="inlineStr">
        <is>
          <t>out &amp; back</t>
        </is>
      </c>
      <c r="D22" s="84" t="n">
        <v>0.04166666666666666</v>
      </c>
      <c r="E22" s="92" t="n">
        <v>100000</v>
      </c>
      <c r="F22" s="86" t="inlineStr">
        <is>
          <t>MNT</t>
        </is>
      </c>
      <c r="G22" s="91" t="n">
        <v>2</v>
      </c>
      <c r="H22" s="88">
        <f>E22*G22*IF(F22="USD",Compare!$B$8,IF(F22="CNY",Compare!$B$9,IF(F22="HKD",Compare!$B$10,1)))</f>
        <v/>
      </c>
      <c r="I22" s="93">
        <f>E22</f>
        <v/>
      </c>
      <c r="J22" s="91" t="n">
        <v>2</v>
      </c>
      <c r="K22" s="88">
        <f>I22*J22*IF(F22="USD",Compare!$B$8,IF(F22="CNY",Compare!$B$9,IF(F22="HKD",Compare!$B$10,1)))</f>
        <v/>
      </c>
      <c r="L22" s="90" t="inlineStr">
        <is>
          <t>ASSUMPTION 100k MNT per trip for the group</t>
        </is>
      </c>
    </row>
    <row r="23" ht="15" customHeight="1" s="56">
      <c r="A23" s="81" t="n"/>
      <c r="B23" s="82" t="inlineStr">
        <is>
          <t>Travel medical insurance</t>
        </is>
      </c>
      <c r="C23" s="83" t="n"/>
      <c r="D23" s="81" t="n"/>
      <c r="E23" s="92" t="n">
        <v>30000</v>
      </c>
      <c r="F23" s="86" t="inlineStr">
        <is>
          <t>MNT</t>
        </is>
      </c>
      <c r="G23" s="87">
        <f>Compare!$B$6</f>
        <v/>
      </c>
      <c r="H23" s="88">
        <f>E23*G23*IF(F23="USD",Compare!$B$8,IF(F23="CNY",Compare!$B$9,IF(F23="HKD",Compare!$B$10,1)))</f>
        <v/>
      </c>
      <c r="I23" s="93">
        <f>E23</f>
        <v/>
      </c>
      <c r="J23" s="87">
        <f>Compare!$B$7</f>
        <v/>
      </c>
      <c r="K23" s="88">
        <f>I23*J23*IF(F23="USD",Compare!$B$8,IF(F23="CNY",Compare!$B$9,IF(F23="HKD",Compare!$B$10,1)))</f>
        <v/>
      </c>
      <c r="L23" s="90" t="inlineStr">
        <is>
          <t>ASSUMPTION ~30k MNT per person, Mongolian insurer</t>
        </is>
      </c>
    </row>
    <row r="24" ht="15" customHeight="1" s="56">
      <c r="A24" s="81" t="n"/>
      <c r="B24" s="82" t="inlineStr">
        <is>
          <t>Mobile data eSIM</t>
        </is>
      </c>
      <c r="C24" s="83" t="n"/>
      <c r="D24" s="81" t="n"/>
      <c r="E24" s="92" t="n">
        <v>10</v>
      </c>
      <c r="F24" s="86" t="inlineStr">
        <is>
          <t>USD</t>
        </is>
      </c>
      <c r="G24" s="87">
        <f>Compare!$B$6</f>
        <v/>
      </c>
      <c r="H24" s="88">
        <f>E24*G24*IF(F24="USD",Compare!$B$8,IF(F24="CNY",Compare!$B$9,IF(F24="HKD",Compare!$B$10,1)))</f>
        <v/>
      </c>
      <c r="I24" s="93">
        <f>E24</f>
        <v/>
      </c>
      <c r="J24" s="87">
        <f>Compare!$B$7</f>
        <v/>
      </c>
      <c r="K24" s="88">
        <f>I24*J24*IF(F24="USD",Compare!$B$8,IF(F24="CNY",Compare!$B$9,IF(F24="HKD",Compare!$B$10,1)))</f>
        <v/>
      </c>
      <c r="L24" s="90" t="inlineStr">
        <is>
          <t>ASSUMPTION ~$10 pp</t>
        </is>
      </c>
    </row>
    <row r="25" ht="22.35" customHeight="1" s="56">
      <c r="A25" s="81" t="n"/>
      <c r="B25" s="82" t="inlineStr">
        <is>
          <t>Visa</t>
        </is>
      </c>
      <c r="C25" s="83" t="n"/>
      <c r="D25" s="81" t="n"/>
      <c r="E25" s="85" t="n">
        <v>0</v>
      </c>
      <c r="F25" s="86" t="inlineStr">
        <is>
          <t>MNT</t>
        </is>
      </c>
      <c r="G25" s="87">
        <f>Compare!$B$6</f>
        <v/>
      </c>
      <c r="H25" s="88">
        <f>E25*G25*IF(F25="USD",Compare!$B$8,IF(F25="CNY",Compare!$B$9,IF(F25="HKD",Compare!$B$10,1)))</f>
        <v/>
      </c>
      <c r="I25" s="89">
        <f>E25</f>
        <v/>
      </c>
      <c r="J25" s="87">
        <f>Compare!$B$7</f>
        <v/>
      </c>
      <c r="K25" s="88">
        <f>I25*J25*IF(F25="USD",Compare!$B$8,IF(F25="CNY",Compare!$B$9,IF(F25="HKD",Compare!$B$10,1)))</f>
        <v/>
      </c>
      <c r="L25" s="90" t="inlineStr">
        <is>
          <t>Mongolian passports: visa-free (mainland China up to 30 days; Hong Kong up to 14 days)</t>
        </is>
      </c>
    </row>
    <row r="27" ht="15" customHeight="1" s="56">
      <c r="G27" s="60" t="n"/>
      <c r="H27" s="96" t="inlineStr">
        <is>
          <t>3 people – UNFUNDED</t>
        </is>
      </c>
      <c r="K27" s="96" t="inlineStr">
        <is>
          <t>4 people – FUNDED ₮12M</t>
        </is>
      </c>
    </row>
    <row r="28" ht="15" customHeight="1" s="56">
      <c r="G28" s="97" t="inlineStr">
        <is>
          <t>University-paid subtotal</t>
        </is>
      </c>
      <c r="H28" s="98">
        <f>SUM(H9:H17)</f>
        <v/>
      </c>
      <c r="K28" s="98">
        <f>SUM(K9:K17)</f>
        <v/>
      </c>
    </row>
    <row r="29" ht="15" customHeight="1" s="56">
      <c r="G29" s="99" t="inlineStr">
        <is>
          <t>Contingency</t>
        </is>
      </c>
      <c r="H29" s="100">
        <f>H28*Compare!$B$11</f>
        <v/>
      </c>
      <c r="K29" s="100">
        <f>K28*Compare!$B$11</f>
        <v/>
      </c>
    </row>
    <row r="30" ht="15" customHeight="1" s="56">
      <c r="G30" s="97" t="inlineStr">
        <is>
          <t>University-paid total incl. contingency</t>
        </is>
      </c>
      <c r="H30" s="98">
        <f>H28+H29</f>
        <v/>
      </c>
      <c r="K30" s="98">
        <f>K28+K29</f>
        <v/>
      </c>
    </row>
    <row r="31" ht="15" customHeight="1" s="56">
      <c r="G31" s="97" t="inlineStr">
        <is>
          <t>Funding left (negative = over)</t>
        </is>
      </c>
      <c r="H31" s="101">
        <f>Compare!$B$12-H30</f>
        <v/>
      </c>
      <c r="K31" s="101">
        <f>Compare!$B$5-K30</f>
        <v/>
      </c>
    </row>
    <row r="32" ht="15" customHeight="1" s="56">
      <c r="G32" s="97" t="inlineStr">
        <is>
          <t>Personal costs – team</t>
        </is>
      </c>
      <c r="H32" s="102">
        <f>SUM(H19:H25)</f>
        <v/>
      </c>
      <c r="K32" s="102">
        <f>SUM(K19:K25)</f>
        <v/>
      </c>
    </row>
    <row r="33" ht="15" customHeight="1" s="56">
      <c r="G33" s="97" t="inlineStr">
        <is>
          <t>Out-of-pocket per person (personal + any overrun)</t>
        </is>
      </c>
      <c r="H33" s="102">
        <f>(H32+MAX(0,-H31))/Compare!$B$6</f>
        <v/>
      </c>
      <c r="K33" s="102">
        <f>(K32+MAX(0,-K31))/Compare!$B$7</f>
        <v/>
      </c>
    </row>
    <row r="34" ht="15" customHeight="1" s="56">
      <c r="G34" s="97" t="inlineStr">
        <is>
          <t>Whole trip cost (university + personal)</t>
        </is>
      </c>
      <c r="H34" s="103">
        <f>H30+H32</f>
        <v/>
      </c>
      <c r="K34" s="103">
        <f>K30+K32</f>
        <v/>
      </c>
    </row>
    <row r="35" ht="15" customHeight="1" s="56">
      <c r="G35" s="99" t="inlineStr">
        <is>
          <t>Time in planes &amp; trains</t>
        </is>
      </c>
      <c r="H35" s="104">
        <f>SUM(D10:D11)</f>
        <v/>
      </c>
      <c r="K35" s="104">
        <f>SUM(D10:D11)</f>
        <v/>
      </c>
    </row>
    <row r="37" ht="15" customHeight="1" s="56">
      <c r="A37" s="72" t="inlineStr">
        <is>
          <t>Key facts</t>
        </is>
      </c>
    </row>
    <row r="38" ht="15" customHeight="1" s="56">
      <c r="A38" s="75" t="inlineStr">
        <is>
          <t>Contest</t>
        </is>
      </c>
      <c r="B38" s="74" t="inlineStr">
        <is>
          <t>Asia Hong Kong Regional, 9–10 Jan 2027 (provisional). Host listed as HKU on a coach's tracking page, but the 2025 regional was at HKUST (Clear Water Bay) – the site rotates, so confirm before paying for a hotel near any one campus.</t>
        </is>
      </c>
    </row>
    <row r="39" ht="15" customHeight="1" s="56">
      <c r="A39" s="75" t="inlineStr">
        <is>
          <t>Why this plan</t>
        </is>
      </c>
      <c r="B39" s="74" t="inlineStr">
        <is>
          <t>The hotel is chosen for the sleep, not the distance: every contestant has their own bed, a private bathroom and a quiet room; the flights are fixed. A guesthouse in Kowloon also keeps the team on the MTR whichever campus hosts.</t>
        </is>
      </c>
    </row>
    <row r="40" ht="15" customHeight="1" s="56">
      <c r="A40" s="75" t="inlineStr">
        <is>
          <t>Entry</t>
        </is>
      </c>
      <c r="B40" s="74" t="inlineStr">
        <is>
          <t>Mongolian passport holders can visit Hong Kong visa-free for up to 14 days.</t>
        </is>
      </c>
    </row>
    <row r="41" ht="15" customHeight="1" s="56">
      <c r="A41" s="75" t="inlineStr">
        <is>
          <t>Trade-off</t>
        </is>
      </c>
      <c r="B41" s="74" t="inlineStr">
        <is>
          <t>~35–40 min each way on the MTR (wake ~06:15 for a 09:00 start; still ≥7.5 h in bed with lights out at 22:30). Request a high floor away from the street, bring earplugs. Guesthouse rooms are small. Fits ₮12M before the 10% contingency (about ₮11.3M).</t>
        </is>
      </c>
    </row>
    <row r="43" ht="15" customHeight="1" s="56">
      <c r="A43" s="72" t="inlineStr">
        <is>
          <t>Day-by-day plan</t>
        </is>
      </c>
    </row>
    <row r="44" ht="15" customHeight="1" s="56">
      <c r="A44" s="96" t="inlineStr">
        <is>
          <t>Date</t>
        </is>
      </c>
      <c r="B44" s="96" t="inlineStr">
        <is>
          <t>Sleep in</t>
        </is>
      </c>
      <c r="C44" s="96" t="inlineStr">
        <is>
          <t>What happens</t>
        </is>
      </c>
    </row>
    <row r="45" ht="15" customHeight="1" s="56">
      <c r="A45" s="74" t="inlineStr">
        <is>
          <t>Fri 8 Jan</t>
        </is>
      </c>
      <c r="B45" s="74" t="inlineStr">
        <is>
          <t>Hong Kong</t>
        </is>
      </c>
      <c r="C45" s="74" t="inlineStr">
        <is>
          <t>MIAT OM297 UB 06:45 → Hong Kong 11:25 (4 h 40 min). Airport bus A21 to Yau Ma Tei, leave bags, check in at the guesthouse and nap.</t>
        </is>
      </c>
    </row>
    <row r="46" ht="15" customHeight="1" s="56">
      <c r="A46" s="74" t="inlineStr">
        <is>
          <t>Sat 9 Jan</t>
        </is>
      </c>
      <c r="B46" s="74" t="inlineStr">
        <is>
          <t>Hong Kong</t>
        </is>
      </c>
      <c r="C46" s="74" t="inlineStr">
        <is>
          <t>Registration, opening and warm-up at the University of Hong Kong (2025 HK regional used the same day-1 pattern).</t>
        </is>
      </c>
    </row>
    <row r="47" ht="15" customHeight="1" s="56">
      <c r="A47" s="74" t="inlineStr">
        <is>
          <t>Sun 10 Jan</t>
        </is>
      </c>
      <c r="B47" s="74" t="inlineStr">
        <is>
          <t>Hong Kong</t>
        </is>
      </c>
      <c r="C47" s="74" t="inlineStr">
        <is>
          <t>HONG KONG REGIONAL contest day, closing &amp; solutions.</t>
        </is>
      </c>
    </row>
    <row r="48" ht="15" customHeight="1" s="56">
      <c r="A48" s="74" t="inlineStr">
        <is>
          <t>Mon 11 Jan</t>
        </is>
      </c>
      <c r="B48" s="74" t="inlineStr">
        <is>
          <t>Home</t>
        </is>
      </c>
      <c r="C48" s="74" t="inlineStr">
        <is>
          <t>MIAT OM298 Hong Kong 12:25 → UB 17:05.</t>
        </is>
      </c>
    </row>
    <row r="50" ht="15" customHeight="1" s="56">
      <c r="A50" s="72" t="inlineStr">
        <is>
          <t>Door-to-door travel times</t>
        </is>
      </c>
    </row>
    <row r="51" ht="15" customHeight="1" s="56">
      <c r="A51" s="96" t="inlineStr">
        <is>
          <t>Date</t>
        </is>
      </c>
      <c r="B51" s="96" t="inlineStr">
        <is>
          <t>Leg</t>
        </is>
      </c>
      <c r="C51" s="96" t="inlineStr">
        <is>
          <t>Mode</t>
        </is>
      </c>
      <c r="D51" s="96" t="inlineStr">
        <is>
          <t>Expected time</t>
        </is>
      </c>
      <c r="E51" s="96" t="inlineStr">
        <is>
          <t>Notes</t>
        </is>
      </c>
    </row>
    <row r="52" ht="15" customHeight="1" s="56">
      <c r="A52" s="105" t="inlineStr">
        <is>
          <t>8 Jan</t>
        </is>
      </c>
      <c r="B52" s="105" t="inlineStr">
        <is>
          <t>Home → Chinggis Khaan airport</t>
        </is>
      </c>
      <c r="C52" s="82" t="inlineStr">
        <is>
          <t>Taxi (~50 km)</t>
        </is>
      </c>
      <c r="D52" s="104" t="n">
        <v>0.04166666666666666</v>
      </c>
      <c r="E52" s="106" t="inlineStr">
        <is>
          <t>Leave ~03:45 for 06:45 flight</t>
        </is>
      </c>
      <c r="F52" s="107" t="n"/>
      <c r="G52" s="107" t="n"/>
      <c r="H52" s="107" t="n"/>
      <c r="I52" s="107" t="n"/>
      <c r="J52" s="107" t="n"/>
      <c r="K52" s="107" t="n"/>
      <c r="L52" s="107" t="n"/>
    </row>
    <row r="53" ht="26.85" customHeight="1" s="56">
      <c r="A53" s="105" t="inlineStr">
        <is>
          <t>8 Jan</t>
        </is>
      </c>
      <c r="B53" s="105" t="inlineStr">
        <is>
          <t>Ulaanbaatar → Hong Kong (HKG)</t>
        </is>
      </c>
      <c r="C53" s="82" t="inlineStr">
        <is>
          <t>MIAT OM297 06:45–11:25</t>
        </is>
      </c>
      <c r="D53" s="84" t="n">
        <v>0.1944444444444444</v>
      </c>
      <c r="E53" s="106" t="n"/>
      <c r="F53" s="107" t="n"/>
      <c r="G53" s="107" t="n"/>
      <c r="H53" s="107" t="n"/>
      <c r="I53" s="107" t="n"/>
      <c r="J53" s="107" t="n"/>
      <c r="K53" s="107" t="n"/>
      <c r="L53" s="107" t="n"/>
    </row>
    <row r="54" ht="15" customHeight="1" s="56">
      <c r="A54" s="105" t="inlineStr">
        <is>
          <t>8 Jan</t>
        </is>
      </c>
      <c r="B54" s="105" t="inlineStr">
        <is>
          <t>HKG arrival: immigration, bags</t>
        </is>
      </c>
      <c r="C54" s="82" t="inlineStr">
        <is>
          <t>—</t>
        </is>
      </c>
      <c r="D54" s="104" t="n">
        <v>0.02777777777777778</v>
      </c>
      <c r="E54" s="106" t="inlineStr">
        <is>
          <t>Estimate</t>
        </is>
      </c>
      <c r="F54" s="107" t="n"/>
      <c r="G54" s="107" t="n"/>
      <c r="H54" s="107" t="n"/>
      <c r="I54" s="107" t="n"/>
      <c r="J54" s="107" t="n"/>
      <c r="K54" s="107" t="n"/>
      <c r="L54" s="107" t="n"/>
    </row>
    <row r="55" ht="39.55" customHeight="1" s="56">
      <c r="A55" s="105" t="inlineStr">
        <is>
          <t>8 Jan</t>
        </is>
      </c>
      <c r="B55" s="105" t="inlineStr">
        <is>
          <t>HKG → Good Fortune Inn</t>
        </is>
      </c>
      <c r="C55" s="82" t="inlineStr">
        <is>
          <t>Airport bus A21 + walk</t>
        </is>
      </c>
      <c r="D55" s="104" t="n">
        <v>0.04166666666666666</v>
      </c>
      <c r="E55" s="106" t="inlineStr">
        <is>
          <t>Estimate</t>
        </is>
      </c>
      <c r="F55" s="107" t="n"/>
      <c r="G55" s="107" t="n"/>
      <c r="H55" s="107" t="n"/>
      <c r="I55" s="107" t="n"/>
      <c r="J55" s="107" t="n"/>
      <c r="K55" s="107" t="n"/>
      <c r="L55" s="107" t="n"/>
    </row>
    <row r="56" ht="15" customHeight="1" s="56">
      <c r="A56" s="105" t="inlineStr">
        <is>
          <t>9–10 Jan</t>
        </is>
      </c>
      <c r="B56" s="105" t="inlineStr">
        <is>
          <t>Hotel ↔ HKU (each way)</t>
        </is>
      </c>
      <c r="C56" s="82" t="inlineStr">
        <is>
          <t>—</t>
        </is>
      </c>
      <c r="D56" s="108" t="inlineStr">
        <is>
          <t>daily</t>
        </is>
      </c>
      <c r="E56" s="106" t="inlineStr">
        <is>
          <t>~35–40 min MTR (Yau Ma Tei → Admiralty → HKU); leave ~07:15 for a 09:00 start</t>
        </is>
      </c>
      <c r="F56" s="107" t="n"/>
      <c r="G56" s="107" t="n"/>
      <c r="H56" s="107" t="n"/>
      <c r="I56" s="107" t="n"/>
      <c r="J56" s="107" t="n"/>
      <c r="K56" s="107" t="n"/>
      <c r="L56" s="107" t="n"/>
    </row>
    <row r="57" ht="26.85" customHeight="1" s="56">
      <c r="A57" s="105" t="inlineStr">
        <is>
          <t>11 Jan</t>
        </is>
      </c>
      <c r="B57" s="105" t="inlineStr">
        <is>
          <t>Guesthouse → HKG</t>
        </is>
      </c>
      <c r="C57" s="82" t="inlineStr">
        <is>
          <t>Airport bus A21 + walk</t>
        </is>
      </c>
      <c r="D57" s="104" t="n">
        <v>0.04166666666666666</v>
      </c>
      <c r="E57" s="106" t="inlineStr">
        <is>
          <t>Estimate</t>
        </is>
      </c>
      <c r="F57" s="107" t="n"/>
      <c r="G57" s="107" t="n"/>
      <c r="H57" s="107" t="n"/>
      <c r="I57" s="107" t="n"/>
      <c r="J57" s="107" t="n"/>
      <c r="K57" s="107" t="n"/>
      <c r="L57" s="107" t="n"/>
    </row>
    <row r="58" ht="26.85" customHeight="1" s="56">
      <c r="A58" s="105" t="inlineStr">
        <is>
          <t>11 Jan</t>
        </is>
      </c>
      <c r="B58" s="105" t="inlineStr">
        <is>
          <t>Hong Kong (HKG) → Ulaanbaatar</t>
        </is>
      </c>
      <c r="C58" s="82" t="inlineStr">
        <is>
          <t>MIAT OM298 12:25–17:05</t>
        </is>
      </c>
      <c r="D58" s="84" t="n">
        <v>0.1944444444444444</v>
      </c>
      <c r="E58" s="106" t="inlineStr">
        <is>
          <t>Be at HKG by ~10:25</t>
        </is>
      </c>
      <c r="F58" s="107" t="n"/>
      <c r="G58" s="107" t="n"/>
      <c r="H58" s="107" t="n"/>
      <c r="I58" s="107" t="n"/>
      <c r="J58" s="107" t="n"/>
      <c r="K58" s="107" t="n"/>
      <c r="L58" s="107" t="n"/>
    </row>
    <row r="59" ht="14.15" customHeight="1" s="56">
      <c r="A59" s="105" t="inlineStr">
        <is>
          <t>11 Jan</t>
        </is>
      </c>
      <c r="B59" s="105" t="inlineStr">
        <is>
          <t>Chinggis Khaan airport → home</t>
        </is>
      </c>
      <c r="C59" s="82" t="inlineStr">
        <is>
          <t>Taxi</t>
        </is>
      </c>
      <c r="D59" s="104" t="n">
        <v>0.04166666666666666</v>
      </c>
      <c r="E59" s="106" t="n"/>
      <c r="F59" s="107" t="n"/>
      <c r="G59" s="107" t="n"/>
      <c r="H59" s="107" t="n"/>
      <c r="I59" s="107" t="n"/>
      <c r="J59" s="107" t="n"/>
      <c r="K59" s="107" t="n"/>
      <c r="L59" s="107" t="n"/>
    </row>
    <row r="60" ht="15" customHeight="1" s="56">
      <c r="C60" s="59" t="inlineStr">
        <is>
          <t>Total door-to-door</t>
        </is>
      </c>
      <c r="D60" s="109">
        <f>SUM(D52:D59)</f>
        <v/>
      </c>
    </row>
  </sheetData>
  <mergeCells count="18">
    <mergeCell ref="E57:L57"/>
    <mergeCell ref="E56:L56"/>
    <mergeCell ref="E58:L58"/>
    <mergeCell ref="C45:L45"/>
    <mergeCell ref="B38:L38"/>
    <mergeCell ref="E59:L59"/>
    <mergeCell ref="E51:L51"/>
    <mergeCell ref="C48:L48"/>
    <mergeCell ref="B39:L39"/>
    <mergeCell ref="E54:L54"/>
    <mergeCell ref="B40:L40"/>
    <mergeCell ref="E55:L55"/>
    <mergeCell ref="E52:L52"/>
    <mergeCell ref="C46:L46"/>
    <mergeCell ref="C47:L47"/>
    <mergeCell ref="E53:L53"/>
    <mergeCell ref="B41:L41"/>
    <mergeCell ref="C44:L4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Train</t>
        </is>
      </c>
    </row>
    <row r="2" ht="15" customHeight="1" s="56">
      <c r="A2" s="62" t="inlineStr">
        <is>
          <t>MIAT to Beijing + overnight D17 sleeper train to Hangzhou (no first hotel night); Air China through ticket Hangzhou → UB back (home on 29 Jan); hotel ~1.6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MIAT OM223 Ulaanbaatar → Beijing (PEK), 08:15–10:30</t>
        </is>
      </c>
      <c r="C10" s="83" t="inlineStr">
        <is>
          <t>25 Jan</t>
        </is>
      </c>
      <c r="D10" s="84" t="n">
        <v>0.09375</v>
      </c>
      <c r="E10" s="85" t="n">
        <v>150</v>
      </c>
      <c r="F10" s="86" t="inlineStr">
        <is>
          <t>USD</t>
        </is>
      </c>
      <c r="G10" s="87">
        <f>Compare!$B$6</f>
        <v/>
      </c>
      <c r="H10" s="88">
        <f>E10*G10*IF(F10="USD",Compare!$B$8,IF(F10="CNY",Compare!$B$9,IF(F10="HKD",Compare!$B$10,1)))</f>
        <v/>
      </c>
      <c r="I10" s="89">
        <f>E10</f>
        <v/>
      </c>
      <c r="J10" s="87">
        <f>Compare!$B$7</f>
        <v/>
      </c>
      <c r="K10" s="88">
        <f>I10*J10*IF(F10="USD",Compare!$B$8,IF(F10="CNY",Compare!$B$9,IF(F10="HKD",Compare!$B$10,1)))</f>
        <v/>
      </c>
      <c r="L10" s="90" t="inlineStr">
        <is>
          <t>Trip.com 1 Oct: MIAT 08:15–10:30 $150 pp (SlickTrip 30 Sep: $154)</t>
        </is>
      </c>
    </row>
    <row r="11" ht="26.85" customHeight="1" s="56">
      <c r="A11" s="81" t="n"/>
      <c r="B11" s="82" t="inlineStr">
        <is>
          <t>Air China through ticket Hangzhou 08:00 → Beijing Capital (2 h 35 min transfer) → Ulaanbaatar 15:05, bags checked through</t>
        </is>
      </c>
      <c r="C11" s="83" t="inlineStr">
        <is>
          <t>29 Jan</t>
        </is>
      </c>
      <c r="D11" s="84" t="n">
        <v>0.1875</v>
      </c>
      <c r="E11" s="85" t="n">
        <v>2250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¥2,250 pp (same price for 07:00 and 09:00 departures). Replaces Hangzhou→Beijing ¥1,809 + a Beijing hotel night + MIAT on 30 Jan $219 (~¥3,280 pp + hotel)</t>
        </is>
      </c>
    </row>
    <row r="12" ht="15" customHeight="1" s="56">
      <c r="A12" s="79" t="inlineStr">
        <is>
          <t>Trains</t>
        </is>
      </c>
      <c r="B12" s="80" t="n"/>
      <c r="C12" s="80" t="n"/>
      <c r="D12" s="80" t="n"/>
      <c r="E12" s="80" t="n"/>
      <c r="F12" s="80" t="n"/>
      <c r="G12" s="80" t="n"/>
      <c r="H12" s="80" t="n"/>
      <c r="I12" s="80" t="n"/>
      <c r="J12" s="80" t="n"/>
      <c r="K12" s="80" t="n"/>
      <c r="L12" s="80" t="n"/>
    </row>
    <row r="13" ht="26.85" customHeight="1" s="56">
      <c r="A13" s="81" t="n"/>
      <c r="B13" s="82" t="inlineStr">
        <is>
          <t>Overnight D-train D17 Beijing 19:10 → Hangzhou 09:15 (+1), 2nd-class sleeper</t>
        </is>
      </c>
      <c r="C13" s="83" t="inlineStr">
        <is>
          <t>25 Jan (night)</t>
        </is>
      </c>
      <c r="D13" s="84" t="n">
        <v>0.5868055555555556</v>
      </c>
      <c r="E13" s="85" t="n">
        <v>491</v>
      </c>
      <c r="F13" s="86" t="inlineStr">
        <is>
          <t>CNY</t>
        </is>
      </c>
      <c r="G13" s="87">
        <f>Compare!$B$6</f>
        <v/>
      </c>
      <c r="H13" s="88">
        <f>E13*G13*IF(F13="USD",Compare!$B$8,IF(F13="CNY",Compare!$B$9,IF(F13="HKD",Compare!$B$10,1)))</f>
        <v/>
      </c>
      <c r="I13" s="89">
        <f>E13</f>
        <v/>
      </c>
      <c r="J13" s="87">
        <f>Compare!$B$7</f>
        <v/>
      </c>
      <c r="K13" s="88">
        <f>I13*J13*IF(F13="USD",Compare!$B$8,IF(F13="CNY",Compare!$B$9,IF(F13="HKD",Compare!$B$10,1)))</f>
        <v/>
      </c>
      <c r="L13" s="90" t="inlineStr">
        <is>
          <t>12306 3 Oct (official fare, 15 Oct train): D17 2nd-class sleeper ¥491, 1st-class sleeper ¥670. Replaces the afternoon G-train (¥601–644) + the 25 Jan hotel night. Sales open 11 Jan 10:00 (Beijing station). Backups: D11 Beijing South 21:22 → Hangzhou 11:20 (sleeper ¥564), Z281 Fengtai 19:10 → 10:36 (hard sleeper ¥328), or an afternoon G-train + hotel night. ChinaTicketOnline charges ~$110 + $12 fee for the same berth.</t>
        </is>
      </c>
    </row>
    <row r="14" ht="26.85" customHeight="1" s="56">
      <c r="A14" s="81" t="n"/>
      <c r="B14" s="82" t="inlineStr">
        <is>
          <t>Taxi hotel → Hangzhou airport (~55 km), replaces the return train</t>
        </is>
      </c>
      <c r="C14" s="83" t="inlineStr">
        <is>
          <t>29 Jan</t>
        </is>
      </c>
      <c r="D14" s="84" t="n"/>
      <c r="E14" s="92" t="n">
        <v>150</v>
      </c>
      <c r="F14" s="86" t="inlineStr">
        <is>
          <t>CNY</t>
        </is>
      </c>
      <c r="G14" s="87" t="n">
        <v>1</v>
      </c>
      <c r="H14" s="88">
        <f>E14*G14*IF(F14="USD",Compare!$B$8,IF(F14="CNY",Compare!$B$9,IF(F14="HKD",Compare!$B$10,1)))</f>
        <v/>
      </c>
      <c r="I14" s="89">
        <f>E14</f>
        <v/>
      </c>
      <c r="J14" s="87" t="n">
        <v>1</v>
      </c>
      <c r="K14" s="88">
        <f>I14*J14*IF(F14="USD",Compare!$B$8,IF(F14="CNY",Compare!$B$9,IF(F14="HKD",Compare!$B$10,1)))</f>
        <v/>
      </c>
      <c r="L14" s="90" t="inlineStr">
        <is>
          <t>ASSUMPTION ~150 CNY per car. The return train (601 CNY) + Beijing night + MIAT 30 Jan cost about the same as the through ticket but take a day longer</t>
        </is>
      </c>
    </row>
    <row r="15" ht="15" customHeight="1" s="56">
      <c r="A15" s="79" t="inlineStr">
        <is>
          <t>Accommodation</t>
        </is>
      </c>
      <c r="B15" s="80" t="n"/>
      <c r="C15" s="80" t="n"/>
      <c r="D15" s="80" t="n"/>
      <c r="E15" s="80" t="n"/>
      <c r="F15" s="80" t="n"/>
      <c r="G15" s="80" t="n"/>
      <c r="H15" s="80" t="n"/>
      <c r="I15" s="80" t="n"/>
      <c r="J15" s="80" t="n"/>
      <c r="K15" s="80" t="n"/>
      <c r="L15" s="80" t="n"/>
    </row>
    <row r="16" ht="26.85" customHeight="1" s="56">
      <c r="A16" s="81" t="n"/>
      <c r="B16" s="82" t="inlineStr">
        <is>
          <t>HanTing Hotel Future Sci-Tech Town (~1.6 km to HZNU Cangqian; 3 ppl Family Room; 4 ppl 2 twin rooms)</t>
        </is>
      </c>
      <c r="C16" s="83" t="inlineStr">
        <is>
          <t>26–29 Jan (3 nights)</t>
        </is>
      </c>
      <c r="D16" s="81" t="n"/>
      <c r="E16" s="85" t="n">
        <v>315.75</v>
      </c>
      <c r="F16" s="86" t="inlineStr">
        <is>
          <t>CNY</t>
        </is>
      </c>
      <c r="G16" s="91" t="n">
        <v>3</v>
      </c>
      <c r="H16" s="88">
        <f>E16*G16*IF(F16="USD",Compare!$B$8,IF(F16="CNY",Compare!$B$9,IF(F16="HKD",Compare!$B$10,1)))</f>
        <v/>
      </c>
      <c r="I16" s="85" t="n">
        <v>548</v>
      </c>
      <c r="J16" s="91" t="n">
        <v>3</v>
      </c>
      <c r="K16" s="88">
        <f>I16*J16*IF(F16="USD",Compare!$B$8,IF(F16="CNY",Compare!$B$9,IF(F16="HKD",Compare!$B$10,1)))</f>
        <v/>
      </c>
      <c r="L16" s="90" t="inlineStr">
        <is>
          <t>Trip.com 1 Oct: ¥1,263 (3 ppl, Family Room) / ¥2,192 (4 ppl, 2 twin rooms) for 4 nights; rated 9.9 (70 reviews, new). Was CitiGO ¥1,630 / ¥2,576 on Booking.com Plan now books 3 of these nights (average per night); the 25 Jan night is on the D17 sleeper.</t>
        </is>
      </c>
    </row>
    <row r="17" ht="26.85" customHeight="1" s="56">
      <c r="A17" s="81" t="n"/>
      <c r="B17" s="82" t="n"/>
      <c r="C17" s="83" t="n"/>
      <c r="D17" s="81" t="n"/>
      <c r="E17" s="85" t="n"/>
      <c r="F17" s="86" t="n"/>
      <c r="G17" s="91" t="n"/>
      <c r="H17" s="88" t="n"/>
      <c r="I17" s="85" t="n"/>
      <c r="J17" s="91" t="n"/>
      <c r="K17" s="88" t="n"/>
      <c r="L17" s="90" t="n"/>
    </row>
    <row r="18" ht="15" customHeight="1" s="56">
      <c r="A18" s="79" t="inlineStr">
        <is>
          <t>Meals &amp; local transport</t>
        </is>
      </c>
      <c r="B18" s="80" t="n"/>
      <c r="C18" s="80" t="n"/>
      <c r="D18" s="80" t="n"/>
      <c r="E18" s="80" t="n"/>
      <c r="F18" s="80" t="n"/>
      <c r="G18" s="80" t="n"/>
      <c r="H18" s="80" t="n"/>
      <c r="I18" s="80" t="n"/>
      <c r="J18" s="80" t="n"/>
      <c r="K18" s="80" t="n"/>
      <c r="L18" s="80" t="n"/>
    </row>
    <row r="19" ht="15" customHeight="1" s="56">
      <c r="A19" s="81" t="n"/>
      <c r="B19" s="82" t="inlineStr">
        <is>
          <t>Meals</t>
        </is>
      </c>
      <c r="C19" s="83" t="inlineStr">
        <is>
          <t>in China</t>
        </is>
      </c>
      <c r="D19" s="81" t="n"/>
      <c r="E19" s="92" t="n">
        <v>80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80 CNY/person/day; EC Final usually includes banquets</t>
        </is>
      </c>
    </row>
    <row r="20" ht="15" customHeight="1" s="56">
      <c r="A20" s="81" t="n"/>
      <c r="B20" s="82" t="inlineStr">
        <is>
          <t>Local transport (metro, taxis)</t>
        </is>
      </c>
      <c r="C20" s="83" t="inlineStr">
        <is>
          <t>in China</t>
        </is>
      </c>
      <c r="D20" s="81" t="n"/>
      <c r="E20" s="92" t="n">
        <v>30</v>
      </c>
      <c r="F20" s="86" t="inlineStr">
        <is>
          <t>CNY</t>
        </is>
      </c>
      <c r="G20" s="87">
        <f>Compare!$B$6*$B$4</f>
        <v/>
      </c>
      <c r="H20" s="88">
        <f>E20*G20*IF(F20="USD",Compare!$B$8,IF(F20="CNY",Compare!$B$9,IF(F20="HKD",Compare!$B$10,1)))</f>
        <v/>
      </c>
      <c r="I20" s="93">
        <f>E20</f>
        <v/>
      </c>
      <c r="J20" s="87">
        <f>Compare!$B$7*$B$4</f>
        <v/>
      </c>
      <c r="K20" s="88">
        <f>I20*J20*IF(F20="USD",Compare!$B$8,IF(F20="CNY",Compare!$B$9,IF(F20="HKD",Compare!$B$10,1)))</f>
        <v/>
      </c>
      <c r="L20" s="90" t="inlineStr">
        <is>
          <t>ASSUMPTION 30 CNY/person/day</t>
        </is>
      </c>
    </row>
    <row r="21" ht="15" customHeight="1" s="56">
      <c r="A21" s="81" t="n"/>
      <c r="B21" s="82" t="inlineStr">
        <is>
          <t>Taxi Hangzhou station ↔ Cangqian (~25 km) on 26 Jan; hotel → HGH is row 14</t>
        </is>
      </c>
      <c r="C21" s="83" t="inlineStr">
        <is>
          <t>26 Jan</t>
        </is>
      </c>
      <c r="D21" s="81" t="n"/>
      <c r="E21" s="92" t="n">
        <v>100</v>
      </c>
      <c r="F21" s="86" t="inlineStr">
        <is>
          <t>CNY</t>
        </is>
      </c>
      <c r="G21" s="91" t="n">
        <v>1</v>
      </c>
      <c r="H21" s="88">
        <f>E21*G21*IF(F21="USD",Compare!$B$8,IF(F21="CNY",Compare!$B$9,IF(F21="HKD",Compare!$B$10,1)))</f>
        <v/>
      </c>
      <c r="I21" s="93">
        <f>E21</f>
        <v/>
      </c>
      <c r="J21" s="91" t="n">
        <v>1</v>
      </c>
      <c r="K21" s="88">
        <f>I21*J21*IF(F21="USD",Compare!$B$8,IF(F21="CNY",Compare!$B$9,IF(F21="HKD",Compare!$B$10,1)))</f>
        <v/>
      </c>
      <c r="L21" s="90" t="inlineStr">
        <is>
          <t>ASSUMPTION ~100 CNY per car (4 ppl: may need XL car). Metro ~1 h is the cheap alternative</t>
        </is>
      </c>
    </row>
    <row r="22" ht="15" customHeight="1" s="56">
      <c r="A22" s="94" t="inlineStr">
        <is>
          <t>PAID PERSONALLY (university won't cover)</t>
        </is>
      </c>
      <c r="B22" s="95" t="n"/>
      <c r="C22" s="95" t="n"/>
      <c r="D22" s="95" t="n"/>
      <c r="E22" s="95" t="n"/>
      <c r="F22" s="95" t="n"/>
      <c r="G22" s="95" t="n"/>
      <c r="H22" s="95" t="n"/>
      <c r="I22" s="95" t="n"/>
      <c r="J22" s="95" t="n"/>
      <c r="K22" s="95" t="n"/>
      <c r="L22" s="95" t="n"/>
    </row>
    <row r="23" ht="15" customHeight="1" s="56">
      <c r="A23" s="79" t="inlineStr">
        <is>
          <t>Contest fee</t>
        </is>
      </c>
      <c r="B23" s="80" t="n"/>
      <c r="C23" s="80" t="n"/>
      <c r="D23" s="80" t="n"/>
      <c r="E23" s="80" t="n"/>
      <c r="F23" s="80" t="n"/>
      <c r="G23" s="80" t="n"/>
      <c r="H23" s="80" t="n"/>
      <c r="I23" s="80" t="n"/>
      <c r="J23" s="80" t="n"/>
      <c r="K23" s="80" t="n"/>
      <c r="L23" s="80" t="n"/>
    </row>
    <row r="24" ht="15" customHeight="1" s="56">
      <c r="A24" s="81" t="n"/>
      <c r="B24" s="82" t="inlineStr">
        <is>
          <t>EC Final registration fee (per team)</t>
        </is>
      </c>
      <c r="C24" s="83" t="inlineStr">
        <is>
          <t>TBC</t>
        </is>
      </c>
      <c r="D24" s="81" t="n"/>
      <c r="E24" s="92" t="n">
        <v>1500</v>
      </c>
      <c r="F24" s="86" t="inlineStr">
        <is>
          <t>CNY</t>
        </is>
      </c>
      <c r="G24" s="91" t="n">
        <v>1</v>
      </c>
      <c r="H24" s="88">
        <f>E24*G24*IF(F24="USD",Compare!$B$8,IF(F24="CNY",Compare!$B$9,IF(F24="HKD",Compare!$B$10,1)))</f>
        <v/>
      </c>
      <c r="I24" s="93">
        <f>E24</f>
        <v/>
      </c>
      <c r="J24" s="91" t="n">
        <v>1</v>
      </c>
      <c r="K24" s="88">
        <f>I24*J24*IF(F24="USD",Compare!$B$8,IF(F24="CNY",Compare!$B$9,IF(F24="HKD",Compare!$B$10,1)))</f>
        <v/>
      </c>
      <c r="L24" s="90" t="inlineStr">
        <is>
          <t>ASSUMPTION: no public figure found; 1,500 CNY/team like regionals</t>
        </is>
      </c>
    </row>
    <row r="25" ht="15" customHeight="1" s="56">
      <c r="A25" s="79" t="inlineStr">
        <is>
          <t>Other</t>
        </is>
      </c>
      <c r="B25" s="80" t="n"/>
      <c r="C25" s="80" t="n"/>
      <c r="D25" s="80" t="n"/>
      <c r="E25" s="80" t="n"/>
      <c r="F25" s="80" t="n"/>
      <c r="G25" s="80" t="n"/>
      <c r="H25" s="80" t="n"/>
      <c r="I25" s="80" t="n"/>
      <c r="J25" s="80" t="n"/>
      <c r="K25" s="80" t="n"/>
      <c r="L25" s="80" t="n"/>
    </row>
    <row r="26" ht="15" customHeight="1" s="56">
      <c r="A26" s="81" t="n"/>
      <c r="B26" s="82" t="inlineStr">
        <is>
          <t>Taxi to/from Chinggis Khaan airport (UB), per trip</t>
        </is>
      </c>
      <c r="C26" s="83" t="inlineStr">
        <is>
          <t>out &amp; back</t>
        </is>
      </c>
      <c r="D26" s="84" t="n">
        <v>0.04166666666666666</v>
      </c>
      <c r="E26" s="92" t="n">
        <v>100000</v>
      </c>
      <c r="F26" s="86" t="inlineStr">
        <is>
          <t>MNT</t>
        </is>
      </c>
      <c r="G26" s="91" t="n">
        <v>2</v>
      </c>
      <c r="H26" s="88">
        <f>E26*G26*IF(F26="USD",Compare!$B$8,IF(F26="CNY",Compare!$B$9,IF(F26="HKD",Compare!$B$10,1)))</f>
        <v/>
      </c>
      <c r="I26" s="93">
        <f>E26</f>
        <v/>
      </c>
      <c r="J26" s="91" t="n">
        <v>2</v>
      </c>
      <c r="K26" s="88">
        <f>I26*J26*IF(F26="USD",Compare!$B$8,IF(F26="CNY",Compare!$B$9,IF(F26="HKD",Compare!$B$10,1)))</f>
        <v/>
      </c>
      <c r="L26" s="90" t="inlineStr">
        <is>
          <t>ASSUMPTION 100k MNT per trip for the group</t>
        </is>
      </c>
    </row>
    <row r="27" ht="15" customHeight="1" s="56">
      <c r="A27" s="81" t="n"/>
      <c r="B27" s="82" t="inlineStr">
        <is>
          <t>Travel medical insurance</t>
        </is>
      </c>
      <c r="C27" s="83" t="n"/>
      <c r="D27" s="81" t="n"/>
      <c r="E27" s="92" t="n">
        <v>30000</v>
      </c>
      <c r="F27" s="86" t="inlineStr">
        <is>
          <t>MNT</t>
        </is>
      </c>
      <c r="G27" s="87">
        <f>Compare!$B$6</f>
        <v/>
      </c>
      <c r="H27" s="88">
        <f>E27*G27*IF(F27="USD",Compare!$B$8,IF(F27="CNY",Compare!$B$9,IF(F27="HKD",Compare!$B$10,1)))</f>
        <v/>
      </c>
      <c r="I27" s="93">
        <f>E27</f>
        <v/>
      </c>
      <c r="J27" s="87">
        <f>Compare!$B$7</f>
        <v/>
      </c>
      <c r="K27" s="88">
        <f>I27*J27*IF(F27="USD",Compare!$B$8,IF(F27="CNY",Compare!$B$9,IF(F27="HKD",Compare!$B$10,1)))</f>
        <v/>
      </c>
      <c r="L27" s="90" t="inlineStr">
        <is>
          <t>ASSUMPTION ~30k MNT per person, Mongolian insurer</t>
        </is>
      </c>
    </row>
    <row r="28" ht="15" customHeight="1" s="56">
      <c r="A28" s="81" t="n"/>
      <c r="B28" s="82" t="inlineStr">
        <is>
          <t>Mobile data eSIM</t>
        </is>
      </c>
      <c r="C28" s="83" t="n"/>
      <c r="D28" s="81" t="n"/>
      <c r="E28" s="92" t="n">
        <v>10</v>
      </c>
      <c r="F28" s="86" t="inlineStr">
        <is>
          <t>USD</t>
        </is>
      </c>
      <c r="G28" s="87">
        <f>Compare!$B$6</f>
        <v/>
      </c>
      <c r="H28" s="88">
        <f>E28*G28*IF(F28="USD",Compare!$B$8,IF(F28="CNY",Compare!$B$9,IF(F28="HKD",Compare!$B$10,1)))</f>
        <v/>
      </c>
      <c r="I28" s="93">
        <f>E28</f>
        <v/>
      </c>
      <c r="J28" s="87">
        <f>Compare!$B$7</f>
        <v/>
      </c>
      <c r="K28" s="88">
        <f>I28*J28*IF(F28="USD",Compare!$B$8,IF(F28="CNY",Compare!$B$9,IF(F28="HKD",Compare!$B$10,1)))</f>
        <v/>
      </c>
      <c r="L28" s="90" t="inlineStr">
        <is>
          <t>ASSUMPTION ~$10 pp</t>
        </is>
      </c>
    </row>
    <row r="29" ht="22.35" customHeight="1" s="56">
      <c r="A29" s="81" t="n"/>
      <c r="B29" s="82" t="inlineStr">
        <is>
          <t>Visa</t>
        </is>
      </c>
      <c r="C29" s="83" t="n"/>
      <c r="D29" s="81" t="n"/>
      <c r="E29" s="85" t="n">
        <v>0</v>
      </c>
      <c r="F29" s="86" t="inlineStr">
        <is>
          <t>MNT</t>
        </is>
      </c>
      <c r="G29" s="87">
        <f>Compare!$B$6</f>
        <v/>
      </c>
      <c r="H29" s="88">
        <f>E29*G29*IF(F29="USD",Compare!$B$8,IF(F29="CNY",Compare!$B$9,IF(F29="HKD",Compare!$B$10,1)))</f>
        <v/>
      </c>
      <c r="I29" s="89">
        <f>E29</f>
        <v/>
      </c>
      <c r="J29" s="87">
        <f>Compare!$B$7</f>
        <v/>
      </c>
      <c r="K29" s="88">
        <f>I29*J29*IF(F29="USD",Compare!$B$8,IF(F29="CNY",Compare!$B$9,IF(F29="HKD",Compare!$B$10,1)))</f>
        <v/>
      </c>
      <c r="L29" s="90" t="inlineStr">
        <is>
          <t>Mongolian passports: visa-free (mainland China up to 30 days; Hong Kong up to 14 days)</t>
        </is>
      </c>
    </row>
    <row r="31" ht="15" customHeight="1" s="56">
      <c r="G31" s="60" t="n"/>
      <c r="H31" s="96" t="inlineStr">
        <is>
          <t>3 people – UNFUNDED</t>
        </is>
      </c>
      <c r="K31" s="96" t="inlineStr">
        <is>
          <t>4 people – FUNDED ₮12M</t>
        </is>
      </c>
    </row>
    <row r="32" ht="15" customHeight="1" s="56">
      <c r="G32" s="97" t="inlineStr">
        <is>
          <t>University-paid subtotal</t>
        </is>
      </c>
      <c r="H32" s="98">
        <f>SUM(H9:H21)</f>
        <v/>
      </c>
      <c r="K32" s="98">
        <f>SUM(K9:K21)</f>
        <v/>
      </c>
    </row>
    <row r="33" ht="15" customHeight="1" s="56">
      <c r="G33" s="99" t="inlineStr">
        <is>
          <t>Contingency</t>
        </is>
      </c>
      <c r="H33" s="100">
        <f>H32*Compare!$B$11</f>
        <v/>
      </c>
      <c r="K33" s="100">
        <f>K32*Compare!$B$11</f>
        <v/>
      </c>
    </row>
    <row r="34" ht="15" customHeight="1" s="56">
      <c r="G34" s="97" t="inlineStr">
        <is>
          <t>University-paid total incl. contingency</t>
        </is>
      </c>
      <c r="H34" s="98">
        <f>H32+H33</f>
        <v/>
      </c>
      <c r="K34" s="98">
        <f>K32+K33</f>
        <v/>
      </c>
    </row>
    <row r="35" ht="15" customHeight="1" s="56">
      <c r="G35" s="97" t="inlineStr">
        <is>
          <t>Funding left (negative = over)</t>
        </is>
      </c>
      <c r="H35" s="101">
        <f>Compare!$B$12-H34</f>
        <v/>
      </c>
      <c r="K35" s="101">
        <f>Compare!$B$5-K34</f>
        <v/>
      </c>
    </row>
    <row r="36" ht="15" customHeight="1" s="56">
      <c r="G36" s="97" t="inlineStr">
        <is>
          <t>Personal costs – team</t>
        </is>
      </c>
      <c r="H36" s="102">
        <f>SUM(H23:H29)</f>
        <v/>
      </c>
      <c r="K36" s="102">
        <f>SUM(K23:K29)</f>
        <v/>
      </c>
    </row>
    <row r="37" ht="15" customHeight="1" s="56">
      <c r="G37" s="97" t="inlineStr">
        <is>
          <t>Out-of-pocket per person (personal + any overrun)</t>
        </is>
      </c>
      <c r="H37" s="102">
        <f>(H36+MAX(0,-H35))/Compare!$B$6</f>
        <v/>
      </c>
      <c r="K37" s="102">
        <f>(K36+MAX(0,-K35))/Compare!$B$7</f>
        <v/>
      </c>
    </row>
    <row r="38" ht="15" customHeight="1" s="56">
      <c r="G38" s="97" t="inlineStr">
        <is>
          <t>Whole trip cost (university + personal)</t>
        </is>
      </c>
      <c r="H38" s="103">
        <f>H34+H36</f>
        <v/>
      </c>
      <c r="K38" s="103">
        <f>K34+K36</f>
        <v/>
      </c>
    </row>
    <row r="39" ht="15" customHeight="1" s="56">
      <c r="G39" s="99" t="inlineStr">
        <is>
          <t>Time in planes &amp; trains</t>
        </is>
      </c>
      <c r="H39" s="104">
        <f>SUM(D10:D11)+SUM(D13:D14)</f>
        <v/>
      </c>
      <c r="K39" s="104">
        <f>SUM(D10:D11)+SUM(D13:D14)</f>
        <v/>
      </c>
    </row>
    <row r="41" ht="15" customHeight="1" s="56">
      <c r="A41" s="72" t="inlineStr">
        <is>
          <t>Key facts</t>
        </is>
      </c>
    </row>
    <row r="42" ht="30" customHeight="1" s="56">
      <c r="A42" s="75" t="inlineStr">
        <is>
          <t>Contest</t>
        </is>
      </c>
      <c r="B42" s="74" t="inlineStr">
        <is>
          <t>ICPC Asia East Continent Final, 26–28 Jan 2027 (provisional), Hangzhou Normal University (Cangqian campus assumed). Qualification-only: the team must earn an EC Final slot at a regional first.</t>
        </is>
      </c>
    </row>
    <row r="43" ht="15" customHeight="1" s="56">
      <c r="A43" s="75" t="inlineStr">
        <is>
          <t>Why this route</t>
        </is>
      </c>
      <c r="B43" s="74" t="inlineStr">
        <is>
          <t>MIAT to Beijing + rail is by far the cheapest. Flying UB→Hangzhou is ~$1,548 pp one way via Hong Kong.</t>
        </is>
      </c>
    </row>
    <row r="44" ht="30" customHeight="1" s="56">
      <c r="A44" s="75" t="inlineStr">
        <is>
          <t>Warning</t>
        </is>
      </c>
      <c r="B44" s="74" t="inlineStr">
        <is>
          <t>Late January is the start of the Spring Festival travel rush (Spring Festival 2027 is 6 Feb). Sleepers sell out – buy D17 on 12306 at 10:00 on 11 Jan (or put in a 候补 waitlist), fall back to D11 / Z281 / an afternoon G-train, or use the Fly variant.</t>
        </is>
      </c>
    </row>
    <row r="46" ht="15" customHeight="1" s="56">
      <c r="A46" s="72" t="inlineStr">
        <is>
          <t>Day-by-day plan</t>
        </is>
      </c>
    </row>
    <row r="47" ht="15" customHeight="1" s="56">
      <c r="A47" s="96" t="inlineStr">
        <is>
          <t>Date</t>
        </is>
      </c>
      <c r="B47" s="96" t="inlineStr">
        <is>
          <t>Sleep in</t>
        </is>
      </c>
      <c r="C47" s="96" t="inlineStr">
        <is>
          <t>What happens</t>
        </is>
      </c>
    </row>
    <row r="48" ht="15" customHeight="1" s="56">
      <c r="A48" s="74" t="inlineStr">
        <is>
          <t>Mon 25 Jan</t>
        </is>
      </c>
      <c r="B48" s="74" t="inlineStr">
        <is>
          <t>Train</t>
        </is>
      </c>
      <c r="C48" s="74" t="inlineStr">
        <is>
          <t>MIAT OM223 UB 08:15 → Beijing 10:30; Airport Express + metro to Beijing station (left-luggage, lunch, rest); D17 sleeper 19:10 → Hangzhou.</t>
        </is>
      </c>
    </row>
    <row r="49" ht="15" customHeight="1" s="56">
      <c r="A49" s="74" t="inlineStr">
        <is>
          <t>Tue 26 Jan</t>
        </is>
      </c>
      <c r="B49" s="74" t="inlineStr">
        <is>
          <t>Hangzhou</t>
        </is>
      </c>
      <c r="C49" s="74" t="inlineStr">
        <is>
          <t>Arrive Hangzhou station 09:15; taxi to hotel (~45 min, leave bags). EC Final day 1: check-in, opening, warm-up (pattern of recent EC Finals).</t>
        </is>
      </c>
    </row>
    <row r="50" ht="15" customHeight="1" s="56">
      <c r="A50" s="74" t="inlineStr">
        <is>
          <t>Wed 27 Jan</t>
        </is>
      </c>
      <c r="B50" s="74" t="inlineStr">
        <is>
          <t>Hangzhou</t>
        </is>
      </c>
      <c r="C50" s="74" t="inlineStr">
        <is>
          <t>EC FINAL contest day.</t>
        </is>
      </c>
    </row>
    <row r="51" ht="15" customHeight="1" s="56">
      <c r="A51" s="74" t="inlineStr">
        <is>
          <t>Thu 28 Jan</t>
        </is>
      </c>
      <c r="B51" s="74" t="inlineStr">
        <is>
          <t>Hangzhou</t>
        </is>
      </c>
      <c r="C51" s="74" t="inlineStr">
        <is>
          <t>Forums, closing ceremony &amp; awards banquet.</t>
        </is>
      </c>
    </row>
    <row r="52" ht="15" customHeight="1" s="56">
      <c r="A52" s="74" t="inlineStr">
        <is>
          <t>Fri 29 Jan</t>
        </is>
      </c>
      <c r="B52" s="74" t="inlineStr">
        <is>
          <t>Home</t>
        </is>
      </c>
      <c r="C52" s="74" t="inlineStr">
        <is>
          <t>Air China through ticket Hangzhou 08:00 → Beijing Capital 10:20 (exit immigration) → Beijing 12:55 → UB 15:05. Home the same day.</t>
        </is>
      </c>
    </row>
    <row r="53" ht="15" customHeight="1" s="56">
      <c r="A53" s="74" t="n"/>
      <c r="B53" s="74" t="n"/>
      <c r="C53" s="74" t="n"/>
    </row>
    <row r="55" ht="15" customHeight="1" s="56">
      <c r="A55" s="72" t="inlineStr">
        <is>
          <t>Door-to-door travel times</t>
        </is>
      </c>
    </row>
    <row r="56" ht="15" customHeight="1" s="56">
      <c r="A56" s="96" t="inlineStr">
        <is>
          <t>Date</t>
        </is>
      </c>
      <c r="B56" s="96" t="inlineStr">
        <is>
          <t>Leg</t>
        </is>
      </c>
      <c r="C56" s="96" t="inlineStr">
        <is>
          <t>Mode</t>
        </is>
      </c>
      <c r="D56" s="96" t="inlineStr">
        <is>
          <t>Expected time</t>
        </is>
      </c>
      <c r="E56" s="96" t="inlineStr">
        <is>
          <t>Notes</t>
        </is>
      </c>
    </row>
    <row r="57" ht="15" customHeight="1" s="56">
      <c r="A57" s="105" t="inlineStr">
        <is>
          <t>25 Jan</t>
        </is>
      </c>
      <c r="B57" s="105" t="inlineStr">
        <is>
          <t>Home → Chinggis Khaan airport</t>
        </is>
      </c>
      <c r="C57" s="82" t="inlineStr">
        <is>
          <t>Taxi (~50 km)</t>
        </is>
      </c>
      <c r="D57" s="104" t="n">
        <v>0.04166666666666666</v>
      </c>
      <c r="E57" s="106" t="inlineStr">
        <is>
          <t>Leave ~05:15</t>
        </is>
      </c>
      <c r="F57" s="107" t="n"/>
      <c r="G57" s="107" t="n"/>
      <c r="H57" s="107" t="n"/>
      <c r="I57" s="107" t="n"/>
      <c r="J57" s="107" t="n"/>
      <c r="K57" s="107" t="n"/>
      <c r="L57" s="107" t="n"/>
    </row>
    <row r="58" ht="26.85" customHeight="1" s="56">
      <c r="A58" s="105" t="inlineStr">
        <is>
          <t>25 Jan</t>
        </is>
      </c>
      <c r="B58" s="105" t="inlineStr">
        <is>
          <t>Ulaanbaatar → Beijing (PEK)</t>
        </is>
      </c>
      <c r="C58" s="82" t="inlineStr">
        <is>
          <t>MIAT OM223 08:15–10:30</t>
        </is>
      </c>
      <c r="D58" s="84" t="n">
        <v>0.09375</v>
      </c>
      <c r="E58" s="106" t="n"/>
      <c r="F58" s="107" t="n"/>
      <c r="G58" s="107" t="n"/>
      <c r="H58" s="107" t="n"/>
      <c r="I58" s="107" t="n"/>
      <c r="J58" s="107" t="n"/>
      <c r="K58" s="107" t="n"/>
      <c r="L58" s="107" t="n"/>
    </row>
    <row r="59" ht="15" customHeight="1" s="56">
      <c r="A59" s="105" t="inlineStr">
        <is>
          <t>25 Jan</t>
        </is>
      </c>
      <c r="B59" s="105" t="inlineStr">
        <is>
          <t>PEK arrival: immigration, bags</t>
        </is>
      </c>
      <c r="C59" s="82" t="inlineStr">
        <is>
          <t>—</t>
        </is>
      </c>
      <c r="D59" s="104" t="n">
        <v>0.03125</v>
      </c>
      <c r="E59" s="106" t="inlineStr">
        <is>
          <t>Estimate</t>
        </is>
      </c>
      <c r="F59" s="107" t="n"/>
      <c r="G59" s="107" t="n"/>
      <c r="H59" s="107" t="n"/>
      <c r="I59" s="107" t="n"/>
      <c r="J59" s="107" t="n"/>
      <c r="K59" s="107" t="n"/>
      <c r="L59" s="107" t="n"/>
    </row>
    <row r="60" ht="39.55" customHeight="1" s="56">
      <c r="A60" s="105" t="inlineStr">
        <is>
          <t>25 Jan</t>
        </is>
      </c>
      <c r="B60" s="105" t="inlineStr">
        <is>
          <t>PEK → Beijing station</t>
        </is>
      </c>
      <c r="C60" s="82" t="inlineStr">
        <is>
          <t>Airport Express + metro line 2</t>
        </is>
      </c>
      <c r="D60" s="104" t="n">
        <v>0.04166666666666666</v>
      </c>
      <c r="E60" s="106" t="inlineStr">
        <is>
          <t>~8 h spare before D17 – buffer for a late MIAT</t>
        </is>
      </c>
      <c r="F60" s="107" t="n"/>
      <c r="G60" s="107" t="n"/>
      <c r="H60" s="107" t="n"/>
      <c r="I60" s="107" t="n"/>
      <c r="J60" s="107" t="n"/>
      <c r="K60" s="107" t="n"/>
      <c r="L60" s="107" t="n"/>
    </row>
    <row r="61" ht="15" customHeight="1" s="56">
      <c r="A61" s="105" t="inlineStr">
        <is>
          <t>25 Jan</t>
        </is>
      </c>
      <c r="B61" s="105" t="inlineStr">
        <is>
          <t>Beijing → Hangzhou</t>
        </is>
      </c>
      <c r="C61" s="82" t="inlineStr">
        <is>
          <t>D17 2nd-class sleeper</t>
        </is>
      </c>
      <c r="D61" s="84" t="n">
        <v>0.5868055555555556</v>
      </c>
      <c r="E61" s="106" t="inlineStr">
        <is>
          <t>19:10 → 09:15 (+1)</t>
        </is>
      </c>
      <c r="F61" s="107" t="n"/>
      <c r="G61" s="107" t="n"/>
      <c r="H61" s="107" t="n"/>
      <c r="I61" s="107" t="n"/>
      <c r="J61" s="107" t="n"/>
      <c r="K61" s="107" t="n"/>
      <c r="L61" s="107" t="n"/>
    </row>
    <row r="62" ht="15" customHeight="1" s="56">
      <c r="A62" s="105" t="inlineStr">
        <is>
          <t>26 Jan</t>
        </is>
      </c>
      <c r="B62" s="105" t="inlineStr">
        <is>
          <t>Hangzhou station → hotel (Cangqian)</t>
        </is>
      </c>
      <c r="C62" s="82" t="inlineStr">
        <is>
          <t>Taxi (~25 km)</t>
        </is>
      </c>
      <c r="D62" s="104" t="n">
        <v>0.03125</v>
      </c>
      <c r="E62" s="106" t="inlineStr">
        <is>
          <t>Metro ~1 h</t>
        </is>
      </c>
      <c r="F62" s="107" t="n"/>
      <c r="G62" s="107" t="n"/>
      <c r="H62" s="107" t="n"/>
      <c r="I62" s="107" t="n"/>
      <c r="J62" s="107" t="n"/>
      <c r="K62" s="107" t="n"/>
      <c r="L62" s="107" t="n"/>
    </row>
    <row r="63" ht="15" customHeight="1" s="56">
      <c r="A63" s="105" t="inlineStr">
        <is>
          <t>26–28 Jan</t>
        </is>
      </c>
      <c r="B63" s="105" t="inlineStr">
        <is>
          <t>Hotel ↔ HZNU Cangqian (each way)</t>
        </is>
      </c>
      <c r="C63" s="82" t="inlineStr">
        <is>
          <t>Walk</t>
        </is>
      </c>
      <c r="D63" s="108" t="inlineStr">
        <is>
          <t>daily</t>
        </is>
      </c>
      <c r="E63" s="106" t="inlineStr">
        <is>
          <t>~20 min walk (1.6 km)</t>
        </is>
      </c>
      <c r="F63" s="107" t="n"/>
      <c r="G63" s="107" t="n"/>
      <c r="H63" s="107" t="n"/>
      <c r="I63" s="107" t="n"/>
      <c r="J63" s="107" t="n"/>
      <c r="K63" s="107" t="n"/>
      <c r="L63" s="107" t="n"/>
    </row>
    <row r="64" ht="15" customHeight="1" s="56">
      <c r="A64" s="105" t="inlineStr">
        <is>
          <t>29 Jan</t>
        </is>
      </c>
      <c r="B64" s="105" t="inlineStr">
        <is>
          <t>Hotel → HGH</t>
        </is>
      </c>
      <c r="C64" s="82" t="inlineStr">
        <is>
          <t>Taxi (~55 km)</t>
        </is>
      </c>
      <c r="D64" s="104" t="n">
        <v>0.04166666666666666</v>
      </c>
      <c r="E64" s="106" t="inlineStr">
        <is>
          <t>Leave ~05:30</t>
        </is>
      </c>
      <c r="F64" s="107" t="n"/>
      <c r="G64" s="107" t="n"/>
      <c r="H64" s="107" t="n"/>
      <c r="I64" s="107" t="n"/>
      <c r="J64" s="107" t="n"/>
      <c r="K64" s="107" t="n"/>
      <c r="L64" s="107" t="n"/>
    </row>
    <row r="65" ht="15" customHeight="1" s="56">
      <c r="A65" s="105" t="inlineStr">
        <is>
          <t>29 Jan</t>
        </is>
      </c>
      <c r="B65" s="105" t="inlineStr">
        <is>
          <t>HGH check-in &amp; security</t>
        </is>
      </c>
      <c r="C65" s="82" t="inlineStr">
        <is>
          <t>—</t>
        </is>
      </c>
      <c r="D65" s="84" t="n">
        <v>0.0625</v>
      </c>
      <c r="E65" s="106" t="n"/>
      <c r="F65" s="107" t="n"/>
      <c r="G65" s="107" t="n"/>
      <c r="H65" s="107" t="n"/>
      <c r="I65" s="107" t="n"/>
      <c r="J65" s="107" t="n"/>
      <c r="K65" s="107" t="n"/>
      <c r="L65" s="107" t="n"/>
    </row>
    <row r="66" ht="15" customHeight="1" s="56">
      <c r="A66" s="105" t="inlineStr">
        <is>
          <t>29 Jan</t>
        </is>
      </c>
      <c r="B66" s="105" t="inlineStr">
        <is>
          <t>Hangzhou → Beijing Capital (PEK)</t>
        </is>
      </c>
      <c r="C66" s="82" t="inlineStr">
        <is>
          <t>Air China 08:00–10:20</t>
        </is>
      </c>
      <c r="D66" s="104" t="n">
        <v>0.09722222222222222</v>
      </c>
      <c r="E66" s="106" t="n"/>
      <c r="F66" s="107" t="n"/>
      <c r="G66" s="107" t="n"/>
      <c r="H66" s="107" t="n"/>
      <c r="I66" s="107" t="n"/>
      <c r="J66" s="107" t="n"/>
      <c r="K66" s="107" t="n"/>
      <c r="L66" s="107" t="n"/>
    </row>
    <row r="67" ht="15" customHeight="1" s="56">
      <c r="A67" s="105" t="inlineStr">
        <is>
          <t>29 Jan</t>
        </is>
      </c>
      <c r="B67" s="105" t="inlineStr">
        <is>
          <t>PEK: domestic-to-international transfer, exit immigration</t>
        </is>
      </c>
      <c r="C67" s="82" t="inlineStr">
        <is>
          <t>—</t>
        </is>
      </c>
      <c r="D67" s="104" t="n">
        <v>0.1076388888888889</v>
      </c>
      <c r="E67" s="106" t="n"/>
      <c r="F67" s="107" t="n"/>
      <c r="G67" s="107" t="n"/>
      <c r="H67" s="107" t="n"/>
      <c r="I67" s="107" t="n"/>
      <c r="J67" s="107" t="n"/>
      <c r="K67" s="107" t="n"/>
      <c r="L67" s="107" t="n"/>
    </row>
    <row r="68" ht="26.85" customHeight="1" s="56">
      <c r="A68" s="105" t="inlineStr">
        <is>
          <t>29 Jan</t>
        </is>
      </c>
      <c r="B68" s="105" t="inlineStr">
        <is>
          <t>Beijing Capital → Ulaanbaatar</t>
        </is>
      </c>
      <c r="C68" s="82" t="inlineStr">
        <is>
          <t>Air China 12:55–15:05</t>
        </is>
      </c>
      <c r="D68" s="84" t="n">
        <v>0.09027777777777778</v>
      </c>
      <c r="E68" s="106" t="n"/>
      <c r="F68" s="107" t="n"/>
      <c r="G68" s="107" t="n"/>
      <c r="H68" s="107" t="n"/>
      <c r="I68" s="107" t="n"/>
      <c r="J68" s="107" t="n"/>
      <c r="K68" s="107" t="n"/>
      <c r="L68" s="107" t="n"/>
    </row>
    <row r="69" ht="14.15" customHeight="1" s="56">
      <c r="A69" s="105" t="inlineStr">
        <is>
          <t>29 Jan</t>
        </is>
      </c>
      <c r="B69" s="105" t="inlineStr">
        <is>
          <t>Chinggis Khaan airport → home</t>
        </is>
      </c>
      <c r="C69" s="82" t="inlineStr">
        <is>
          <t>Taxi</t>
        </is>
      </c>
      <c r="D69" s="104" t="n">
        <v>0.04166666666666666</v>
      </c>
      <c r="E69" s="106" t="n"/>
      <c r="F69" s="107" t="n"/>
      <c r="G69" s="107" t="n"/>
      <c r="H69" s="107" t="n"/>
      <c r="I69" s="107" t="n"/>
      <c r="J69" s="107" t="n"/>
      <c r="K69" s="107" t="n"/>
      <c r="L69" s="107" t="n"/>
    </row>
    <row r="70" ht="15" customHeight="1" s="56">
      <c r="C70" s="59" t="inlineStr">
        <is>
          <t>Total door-to-door</t>
        </is>
      </c>
      <c r="D70" s="109">
        <f>SUM(D57:D69)</f>
        <v/>
      </c>
    </row>
  </sheetData>
  <mergeCells count="24">
    <mergeCell ref="E56:L56"/>
    <mergeCell ref="E58:L58"/>
    <mergeCell ref="C52:L52"/>
    <mergeCell ref="E68:L68"/>
    <mergeCell ref="C48:L48"/>
    <mergeCell ref="E62:L62"/>
    <mergeCell ref="E67:L67"/>
    <mergeCell ref="B43:L43"/>
    <mergeCell ref="C53:L53"/>
    <mergeCell ref="E64:L64"/>
    <mergeCell ref="C49:L49"/>
    <mergeCell ref="E63:L63"/>
    <mergeCell ref="B42:L42"/>
    <mergeCell ref="E60:L60"/>
    <mergeCell ref="E69:L69"/>
    <mergeCell ref="E65:L65"/>
    <mergeCell ref="B44:L44"/>
    <mergeCell ref="E59:L59"/>
    <mergeCell ref="C47:L47"/>
    <mergeCell ref="C50:L50"/>
    <mergeCell ref="E61:L61"/>
    <mergeCell ref="E57:L57"/>
    <mergeCell ref="E66:L66"/>
    <mergeCell ref="C51:L5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L70"/>
  <sheetViews>
    <sheetView showFormulas="0" showGridLines="1" showRowColHeaders="1" showZeros="1" rightToLeft="0" tabSelected="0" showOutlineSymbols="1" defaultGridColor="1" view="normal" topLeftCell="A1" colorId="64" zoomScale="100" zoomScaleNormal="100" zoomScalePageLayoutView="100" workbookViewId="0">
      <pane xSplit="2" ySplit="7" topLeftCell="C8" activePane="bottomRight" state="frozen"/>
      <selection pane="topLeft" activeCell="A1" activeCellId="0" sqref="A1"/>
      <selection pane="topRight" activeCell="C1" activeCellId="0" sqref="C1"/>
      <selection pane="bottomLeft" activeCell="A8" activeCellId="0" sqref="A8"/>
      <selection pane="bottomRight" activeCell="A1" activeCellId="0" sqref="A1"/>
    </sheetView>
  </sheetViews>
  <sheetFormatPr baseColWidth="8" defaultColWidth="8.6796875" defaultRowHeight="15" zeroHeight="0" outlineLevelRow="0"/>
  <cols>
    <col width="26" customWidth="1" style="55" min="1" max="1"/>
    <col width="52" customWidth="1" style="55" min="2" max="2"/>
    <col width="20" customWidth="1" style="55" min="3" max="3"/>
    <col width="15" customWidth="1" style="55" min="4" max="4"/>
    <col width="13" customWidth="1" style="55" min="5" max="5"/>
    <col width="9" customWidth="1" style="55" min="6" max="7"/>
    <col width="17" customWidth="1" style="55" min="8" max="8"/>
    <col width="13" customWidth="1" style="55" min="9" max="9"/>
    <col width="9" customWidth="1" style="55" min="10" max="10"/>
    <col width="17" customWidth="1" style="55" min="11" max="11"/>
    <col width="58" customWidth="1" style="55" min="12" max="12"/>
  </cols>
  <sheetData>
    <row r="1" ht="17.35" customHeight="1" s="56">
      <c r="A1" s="57" t="inlineStr">
        <is>
          <t>EC Final Hangzhou – Fly</t>
        </is>
      </c>
    </row>
    <row r="2" ht="15" customHeight="1" s="56">
      <c r="A2" s="62" t="inlineStr">
        <is>
          <t>Out: Aero Mongolia UB → Hohhot + Xiamen Airlines Hohhot → Hangzhou (separate tickets). Back: Air China through ticket via Beijing (home 29 Jan). Hotel ~1.7 km from HZNU Cangqian.</t>
        </is>
      </c>
    </row>
    <row r="4" ht="15" customHeight="1" s="56">
      <c r="A4" s="60" t="inlineStr">
        <is>
          <t>Days in destination (meals &amp; local transport)</t>
        </is>
      </c>
      <c r="B4" s="76" t="n">
        <v>4.5</v>
      </c>
      <c r="C4" s="62" t="inlineStr">
        <is>
          <t>25 Jan → morning 29 Jan</t>
        </is>
      </c>
    </row>
    <row r="5" ht="15" customHeight="1" s="56">
      <c r="A5" s="62" t="inlineStr">
        <is>
          <t>Shared inputs are on the Compare sheet. Scroll down for the day-by-day plan and door-to-door travel times.</t>
        </is>
      </c>
    </row>
    <row r="7" ht="31.5" customHeight="1" s="56">
      <c r="A7" s="66" t="inlineStr">
        <is>
          <t>Category</t>
        </is>
      </c>
      <c r="B7" s="66" t="inlineStr">
        <is>
          <t>Item</t>
        </is>
      </c>
      <c r="C7" s="66" t="inlineStr">
        <is>
          <t>Date</t>
        </is>
      </c>
      <c r="D7" s="66" t="inlineStr">
        <is>
          <t>Travel time</t>
        </is>
      </c>
      <c r="E7" s="66" t="inlineStr">
        <is>
          <t>Unit cost (3 ppl)</t>
        </is>
      </c>
      <c r="F7" s="66" t="inlineStr">
        <is>
          <t>Currency</t>
        </is>
      </c>
      <c r="G7" s="66" t="inlineStr">
        <is>
          <t>Qty (3 ppl)</t>
        </is>
      </c>
      <c r="H7" s="66" t="inlineStr">
        <is>
          <t>Total MNT – 3 people</t>
        </is>
      </c>
      <c r="I7" s="66" t="inlineStr">
        <is>
          <t>Unit cost (4 ppl)</t>
        </is>
      </c>
      <c r="J7" s="66" t="inlineStr">
        <is>
          <t>Qty (4 ppl)</t>
        </is>
      </c>
      <c r="K7" s="66" t="inlineStr">
        <is>
          <t>Total MNT – 4 people</t>
        </is>
      </c>
      <c r="L7" s="66" t="inlineStr">
        <is>
          <t>Source / notes</t>
        </is>
      </c>
    </row>
    <row r="8" ht="15" customHeight="1" s="56">
      <c r="A8" s="77" t="inlineStr">
        <is>
          <t>PAID BY UNIVERSITY</t>
        </is>
      </c>
      <c r="B8" s="78" t="n"/>
      <c r="C8" s="78" t="n"/>
      <c r="D8" s="78" t="n"/>
      <c r="E8" s="78" t="n"/>
      <c r="F8" s="78" t="n"/>
      <c r="G8" s="78" t="n"/>
      <c r="H8" s="78" t="n"/>
      <c r="I8" s="78" t="n"/>
      <c r="J8" s="78" t="n"/>
      <c r="K8" s="78" t="n"/>
      <c r="L8" s="78" t="n"/>
    </row>
    <row r="9" ht="15" customHeight="1" s="56">
      <c r="A9" s="79" t="inlineStr">
        <is>
          <t>Flights</t>
        </is>
      </c>
      <c r="B9" s="80" t="n"/>
      <c r="C9" s="80" t="n"/>
      <c r="D9" s="80" t="n"/>
      <c r="E9" s="80" t="n"/>
      <c r="F9" s="80" t="n"/>
      <c r="G9" s="80" t="n"/>
      <c r="H9" s="80" t="n"/>
      <c r="I9" s="80" t="n"/>
      <c r="J9" s="80" t="n"/>
      <c r="K9" s="80" t="n"/>
      <c r="L9" s="80" t="n"/>
    </row>
    <row r="10" ht="26.85" customHeight="1" s="56">
      <c r="A10" s="81" t="n"/>
      <c r="B10" s="82" t="inlineStr">
        <is>
          <t>Aero Mongolia Ulaanbaatar 06:30 → Hohhot (HET) 08:00, nonstop</t>
        </is>
      </c>
      <c r="C10" s="83" t="inlineStr">
        <is>
          <t>25 Jan</t>
        </is>
      </c>
      <c r="D10" s="84" t="n">
        <v>0.0625</v>
      </c>
      <c r="E10" s="85" t="n">
        <v>892</v>
      </c>
      <c r="F10" s="86" t="inlineStr">
        <is>
          <t>CNY</t>
        </is>
      </c>
      <c r="G10" s="87">
        <f>Compare!$B$6</f>
        <v/>
      </c>
      <c r="H10" s="88">
        <f>E10*G10*IF(F10="USD",Compare!$B$8,IF(F10="CNY",Compare!$B$9,IF(F10="HKD",Compare!$B$10,1)))</f>
        <v/>
      </c>
      <c r="I10" s="89">
        <f>E10</f>
        <v/>
      </c>
      <c r="J10" s="87">
        <f>Compare!$B$7</f>
        <v/>
      </c>
      <c r="K10" s="88">
        <f>I10*J10*IF(F10="USD",Compare!$B$8,IF(F10="CNY",Compare!$B$9,IF(F10="HKD",Compare!$B$10,1)))</f>
        <v/>
      </c>
      <c r="L10" s="90" t="inlineStr">
        <is>
          <t>Trip.com 1 Oct: ¥892 pp (bag shown as included – confirm). Self-transfer at Hohhot. Together with row 11: ¥2,752 pp vs ¥3,265 for the Air China through ticket via Beijing (the backup)</t>
        </is>
      </c>
    </row>
    <row r="11" ht="43.25" customHeight="1" s="56">
      <c r="A11" s="81" t="n"/>
      <c r="B11" s="82" t="inlineStr">
        <is>
          <t>Xiamen Airlines Hohhot (HET) 11:15 → Hangzhou (HGH) 13:40, nonstop</t>
        </is>
      </c>
      <c r="C11" s="83" t="inlineStr">
        <is>
          <t>25 Jan</t>
        </is>
      </c>
      <c r="D11" s="84" t="n">
        <v>0.1006944444444444</v>
      </c>
      <c r="E11" s="85" t="n">
        <v>1860</v>
      </c>
      <c r="F11" s="86" t="inlineStr">
        <is>
          <t>CNY</t>
        </is>
      </c>
      <c r="G11" s="87">
        <f>Compare!$B$6</f>
        <v/>
      </c>
      <c r="H11" s="88">
        <f>E11*G11*IF(F11="USD",Compare!$B$8,IF(F11="CNY",Compare!$B$9,IF(F11="HKD",Compare!$B$10,1)))</f>
        <v/>
      </c>
      <c r="I11" s="89">
        <f>E11</f>
        <v/>
      </c>
      <c r="J11" s="87">
        <f>Compare!$B$7</f>
        <v/>
      </c>
      <c r="K11" s="88">
        <f>I11*J11*IF(F11="USD",Compare!$B$8,IF(F11="CNY",Compare!$B$9,IF(F11="HKD",Compare!$B$10,1)))</f>
        <v/>
      </c>
      <c r="L11" s="90" t="inlineStr">
        <is>
          <t>Trip.com 1 Oct: ¥1,860 pp. 3 h 15 min to clear immigration and re-check bags at HET. Air China 19:40 (lands 22:20) is ¥1,710</t>
        </is>
      </c>
    </row>
    <row r="12" ht="43.25" customHeight="1" s="56">
      <c r="A12" s="81" t="n"/>
      <c r="B12" s="82" t="inlineStr">
        <is>
          <t>Air China through ticket Hangzhou 08:00 → Beijing Capital (2 h 35 min transfer) → Ulaanbaatar 15:05, bags checked through</t>
        </is>
      </c>
      <c r="C12" s="83" t="inlineStr">
        <is>
          <t>29 Jan</t>
        </is>
      </c>
      <c r="D12" s="84" t="n">
        <v>0.1875</v>
      </c>
      <c r="E12" s="85" t="n">
        <v>2250</v>
      </c>
      <c r="F12" s="86" t="inlineStr">
        <is>
          <t>CNY</t>
        </is>
      </c>
      <c r="G12" s="87">
        <f>Compare!$B$6</f>
        <v/>
      </c>
      <c r="H12" s="88">
        <f>E12*G12*IF(F12="USD",Compare!$B$8,IF(F12="CNY",Compare!$B$9,IF(F12="HKD",Compare!$B$10,1)))</f>
        <v/>
      </c>
      <c r="I12" s="89">
        <f>E12</f>
        <v/>
      </c>
      <c r="J12" s="87">
        <f>Compare!$B$7</f>
        <v/>
      </c>
      <c r="K12" s="88">
        <f>I12*J12*IF(F12="USD",Compare!$B$8,IF(F12="CNY",Compare!$B$9,IF(F12="HKD",Compare!$B$10,1)))</f>
        <v/>
      </c>
      <c r="L12" s="90" t="inlineStr">
        <is>
          <t>Trip.com 1 Oct: ¥2,250 pp (same price for 07:00 and 09:00 departures). Replaces Hangzhou→Beijing ¥1,809 + a Beijing hotel night + MIAT on 30 Jan $219 (~¥3,280 pp + hotel)</t>
        </is>
      </c>
    </row>
    <row r="13" ht="26.85" customHeight="1" s="56">
      <c r="A13" s="81" t="n"/>
      <c r="B13" s="82" t="n"/>
      <c r="C13" s="83" t="n"/>
      <c r="D13" s="84" t="n"/>
      <c r="E13" s="85" t="n"/>
      <c r="F13" s="86" t="n"/>
      <c r="G13" s="87" t="n"/>
      <c r="H13" s="88" t="n"/>
      <c r="I13" s="89" t="n"/>
      <c r="J13" s="87" t="n"/>
      <c r="K13" s="88" t="n"/>
      <c r="L13" s="90" t="n"/>
    </row>
    <row r="14" ht="15" customHeight="1" s="56">
      <c r="A14" s="79" t="inlineStr">
        <is>
          <t>Accommodation</t>
        </is>
      </c>
      <c r="B14" s="80" t="n"/>
      <c r="C14" s="80" t="n"/>
      <c r="D14" s="80" t="n"/>
      <c r="E14" s="80" t="n"/>
      <c r="F14" s="80" t="n"/>
      <c r="G14" s="80" t="n"/>
      <c r="H14" s="80" t="n"/>
      <c r="I14" s="80" t="n"/>
      <c r="J14" s="80" t="n"/>
      <c r="K14" s="80" t="n"/>
      <c r="L14" s="80" t="n"/>
    </row>
    <row r="15" ht="26.85" customHeight="1" s="56">
      <c r="A15" s="81" t="n"/>
      <c r="B15" s="82" t="inlineStr">
        <is>
          <t>Mehood Theater Hotel, Future Sci-Tech City (~1.7 km to HZNU Cangqian; 3 ppl Family Room; 4 ppl 2 rooms)</t>
        </is>
      </c>
      <c r="C15" s="83" t="inlineStr">
        <is>
          <t>25–29 Jan (4 nights)</t>
        </is>
      </c>
      <c r="D15" s="81" t="n"/>
      <c r="E15" s="85" t="n">
        <v>450</v>
      </c>
      <c r="F15" s="86" t="inlineStr">
        <is>
          <t>CNY</t>
        </is>
      </c>
      <c r="G15" s="91" t="n">
        <v>4</v>
      </c>
      <c r="H15" s="88">
        <f>E15*G15*IF(F15="USD",Compare!$B$8,IF(F15="CNY",Compare!$B$9,IF(F15="HKD",Compare!$B$10,1)))</f>
        <v/>
      </c>
      <c r="I15" s="85" t="n">
        <v>712</v>
      </c>
      <c r="J15" s="91" t="n">
        <v>4</v>
      </c>
      <c r="K15" s="88">
        <f>I15*J15*IF(F15="USD",Compare!$B$8,IF(F15="CNY",Compare!$B$9,IF(F15="HKD",Compare!$B$10,1)))</f>
        <v/>
      </c>
      <c r="L15" s="90" t="inlineStr">
        <is>
          <t>Trip.com 1 Oct: ¥1,800 (3 ppl, Family Room) / ¥2,848 (4 ppl, 2 double rooms) for 4 nights; rated 9.6 (2,037 reviews). Was Atour S ¥2,141 / ¥3,379 on Booking.com</t>
        </is>
      </c>
    </row>
    <row r="16" ht="26.85" customHeight="1" s="56">
      <c r="A16" s="81" t="n"/>
      <c r="B16" s="82" t="n"/>
      <c r="C16" s="83" t="n"/>
      <c r="D16" s="81" t="n"/>
      <c r="E16" s="85" t="n"/>
      <c r="F16" s="86" t="n"/>
      <c r="G16" s="91" t="n"/>
      <c r="H16" s="88" t="n"/>
      <c r="I16" s="85" t="n"/>
      <c r="J16" s="91" t="n"/>
      <c r="K16" s="88" t="n"/>
      <c r="L16" s="90" t="n"/>
    </row>
    <row r="17" ht="15" customHeight="1" s="56">
      <c r="A17" s="79" t="inlineStr">
        <is>
          <t>Meals &amp; local transport</t>
        </is>
      </c>
      <c r="B17" s="80" t="n"/>
      <c r="C17" s="80" t="n"/>
      <c r="D17" s="80" t="n"/>
      <c r="E17" s="80" t="n"/>
      <c r="F17" s="80" t="n"/>
      <c r="G17" s="80" t="n"/>
      <c r="H17" s="80" t="n"/>
      <c r="I17" s="80" t="n"/>
      <c r="J17" s="80" t="n"/>
      <c r="K17" s="80" t="n"/>
      <c r="L17" s="80" t="n"/>
    </row>
    <row r="18" ht="15" customHeight="1" s="56">
      <c r="A18" s="81" t="n"/>
      <c r="B18" s="82" t="inlineStr">
        <is>
          <t>Meals</t>
        </is>
      </c>
      <c r="C18" s="83" t="inlineStr">
        <is>
          <t>in China</t>
        </is>
      </c>
      <c r="D18" s="81" t="n"/>
      <c r="E18" s="92" t="n">
        <v>80</v>
      </c>
      <c r="F18" s="86" t="inlineStr">
        <is>
          <t>CNY</t>
        </is>
      </c>
      <c r="G18" s="87">
        <f>Compare!$B$6*$B$4</f>
        <v/>
      </c>
      <c r="H18" s="88">
        <f>E18*G18*IF(F18="USD",Compare!$B$8,IF(F18="CNY",Compare!$B$9,IF(F18="HKD",Compare!$B$10,1)))</f>
        <v/>
      </c>
      <c r="I18" s="93">
        <f>E18</f>
        <v/>
      </c>
      <c r="J18" s="87">
        <f>Compare!$B$7*$B$4</f>
        <v/>
      </c>
      <c r="K18" s="88">
        <f>I18*J18*IF(F18="USD",Compare!$B$8,IF(F18="CNY",Compare!$B$9,IF(F18="HKD",Compare!$B$10,1)))</f>
        <v/>
      </c>
      <c r="L18" s="90" t="inlineStr">
        <is>
          <t>ASSUMPTION 80 CNY/person/day; EC Final usually includes banquets</t>
        </is>
      </c>
    </row>
    <row r="19" ht="15" customHeight="1" s="56">
      <c r="A19" s="81" t="n"/>
      <c r="B19" s="82" t="inlineStr">
        <is>
          <t>Local transport (metro, taxis)</t>
        </is>
      </c>
      <c r="C19" s="83" t="inlineStr">
        <is>
          <t>in China</t>
        </is>
      </c>
      <c r="D19" s="81" t="n"/>
      <c r="E19" s="92" t="n">
        <v>30</v>
      </c>
      <c r="F19" s="86" t="inlineStr">
        <is>
          <t>CNY</t>
        </is>
      </c>
      <c r="G19" s="87">
        <f>Compare!$B$6*$B$4</f>
        <v/>
      </c>
      <c r="H19" s="88">
        <f>E19*G19*IF(F19="USD",Compare!$B$8,IF(F19="CNY",Compare!$B$9,IF(F19="HKD",Compare!$B$10,1)))</f>
        <v/>
      </c>
      <c r="I19" s="93">
        <f>E19</f>
        <v/>
      </c>
      <c r="J19" s="87">
        <f>Compare!$B$7*$B$4</f>
        <v/>
      </c>
      <c r="K19" s="88">
        <f>I19*J19*IF(F19="USD",Compare!$B$8,IF(F19="CNY",Compare!$B$9,IF(F19="HKD",Compare!$B$10,1)))</f>
        <v/>
      </c>
      <c r="L19" s="90" t="inlineStr">
        <is>
          <t>ASSUMPTION 30 CNY/person/day</t>
        </is>
      </c>
    </row>
    <row r="20" ht="26.85" customHeight="1" s="56">
      <c r="A20" s="81" t="n"/>
      <c r="B20" s="82" t="inlineStr">
        <is>
          <t>Taxi Hangzhou airport ↔ Cangqian (~55 km), both ways</t>
        </is>
      </c>
      <c r="C20" s="83" t="inlineStr">
        <is>
          <t>25 &amp; 29 Jan</t>
        </is>
      </c>
      <c r="D20" s="81" t="n"/>
      <c r="E20" s="92" t="n">
        <v>150</v>
      </c>
      <c r="F20" s="86" t="inlineStr">
        <is>
          <t>CNY</t>
        </is>
      </c>
      <c r="G20" s="91" t="n">
        <v>2</v>
      </c>
      <c r="H20" s="88">
        <f>E20*G20*IF(F20="USD",Compare!$B$8,IF(F20="CNY",Compare!$B$9,IF(F20="HKD",Compare!$B$10,1)))</f>
        <v/>
      </c>
      <c r="I20" s="93">
        <f>E20</f>
        <v/>
      </c>
      <c r="J20" s="91" t="n">
        <v>2</v>
      </c>
      <c r="K20" s="88">
        <f>I20*J20*IF(F20="USD",Compare!$B$8,IF(F20="CNY",Compare!$B$9,IF(F20="HKD",Compare!$B$10,1)))</f>
        <v/>
      </c>
      <c r="L20" s="90" t="inlineStr">
        <is>
          <t>ASSUMPTION ~150 CNY per car per trip</t>
        </is>
      </c>
    </row>
    <row r="21" ht="15" customHeight="1" s="56">
      <c r="A21" s="94" t="inlineStr">
        <is>
          <t>PAID PERSONALLY (university won't cover)</t>
        </is>
      </c>
      <c r="B21" s="95" t="n"/>
      <c r="C21" s="95" t="n"/>
      <c r="D21" s="95" t="n"/>
      <c r="E21" s="95" t="n"/>
      <c r="F21" s="95" t="n"/>
      <c r="G21" s="95" t="n"/>
      <c r="H21" s="95" t="n"/>
      <c r="I21" s="95" t="n"/>
      <c r="J21" s="95" t="n"/>
      <c r="K21" s="95" t="n"/>
      <c r="L21" s="95" t="n"/>
    </row>
    <row r="22" ht="15" customHeight="1" s="56">
      <c r="A22" s="79" t="inlineStr">
        <is>
          <t>Contest fee</t>
        </is>
      </c>
      <c r="B22" s="80" t="n"/>
      <c r="C22" s="80" t="n"/>
      <c r="D22" s="80" t="n"/>
      <c r="E22" s="80" t="n"/>
      <c r="F22" s="80" t="n"/>
      <c r="G22" s="80" t="n"/>
      <c r="H22" s="80" t="n"/>
      <c r="I22" s="80" t="n"/>
      <c r="J22" s="80" t="n"/>
      <c r="K22" s="80" t="n"/>
      <c r="L22" s="80" t="n"/>
    </row>
    <row r="23" ht="15" customHeight="1" s="56">
      <c r="A23" s="81" t="n"/>
      <c r="B23" s="82" t="inlineStr">
        <is>
          <t>EC Final registration fee (per team)</t>
        </is>
      </c>
      <c r="C23" s="83" t="inlineStr">
        <is>
          <t>TBC</t>
        </is>
      </c>
      <c r="D23" s="81" t="n"/>
      <c r="E23" s="92" t="n">
        <v>1500</v>
      </c>
      <c r="F23" s="86" t="inlineStr">
        <is>
          <t>CNY</t>
        </is>
      </c>
      <c r="G23" s="91" t="n">
        <v>1</v>
      </c>
      <c r="H23" s="88">
        <f>E23*G23*IF(F23="USD",Compare!$B$8,IF(F23="CNY",Compare!$B$9,IF(F23="HKD",Compare!$B$10,1)))</f>
        <v/>
      </c>
      <c r="I23" s="93">
        <f>E23</f>
        <v/>
      </c>
      <c r="J23" s="91" t="n">
        <v>1</v>
      </c>
      <c r="K23" s="88">
        <f>I23*J23*IF(F23="USD",Compare!$B$8,IF(F23="CNY",Compare!$B$9,IF(F23="HKD",Compare!$B$10,1)))</f>
        <v/>
      </c>
      <c r="L23" s="90" t="inlineStr">
        <is>
          <t>ASSUMPTION: no public figure found; 1,500 CNY/team like regionals</t>
        </is>
      </c>
    </row>
    <row r="24" ht="15" customHeight="1" s="56">
      <c r="A24" s="79" t="inlineStr">
        <is>
          <t>Other</t>
        </is>
      </c>
      <c r="B24" s="80" t="n"/>
      <c r="C24" s="80" t="n"/>
      <c r="D24" s="80" t="n"/>
      <c r="E24" s="80" t="n"/>
      <c r="F24" s="80" t="n"/>
      <c r="G24" s="80" t="n"/>
      <c r="H24" s="80" t="n"/>
      <c r="I24" s="80" t="n"/>
      <c r="J24" s="80" t="n"/>
      <c r="K24" s="80" t="n"/>
      <c r="L24" s="80" t="n"/>
    </row>
    <row r="25" ht="15" customHeight="1" s="56">
      <c r="A25" s="81" t="n"/>
      <c r="B25" s="82" t="inlineStr">
        <is>
          <t>Taxi to/from Chinggis Khaan airport (UB), per trip</t>
        </is>
      </c>
      <c r="C25" s="83" t="inlineStr">
        <is>
          <t>out &amp; back</t>
        </is>
      </c>
      <c r="D25" s="84" t="n">
        <v>0.04166666666666666</v>
      </c>
      <c r="E25" s="92" t="n">
        <v>100000</v>
      </c>
      <c r="F25" s="86" t="inlineStr">
        <is>
          <t>MNT</t>
        </is>
      </c>
      <c r="G25" s="91" t="n">
        <v>2</v>
      </c>
      <c r="H25" s="88">
        <f>E25*G25*IF(F25="USD",Compare!$B$8,IF(F25="CNY",Compare!$B$9,IF(F25="HKD",Compare!$B$10,1)))</f>
        <v/>
      </c>
      <c r="I25" s="93">
        <f>E25</f>
        <v/>
      </c>
      <c r="J25" s="91" t="n">
        <v>2</v>
      </c>
      <c r="K25" s="88">
        <f>I25*J25*IF(F25="USD",Compare!$B$8,IF(F25="CNY",Compare!$B$9,IF(F25="HKD",Compare!$B$10,1)))</f>
        <v/>
      </c>
      <c r="L25" s="90" t="inlineStr">
        <is>
          <t>ASSUMPTION 100k MNT per trip for the group</t>
        </is>
      </c>
    </row>
    <row r="26" ht="15" customHeight="1" s="56">
      <c r="A26" s="81" t="n"/>
      <c r="B26" s="82" t="inlineStr">
        <is>
          <t>Travel medical insurance</t>
        </is>
      </c>
      <c r="C26" s="83" t="n"/>
      <c r="D26" s="81" t="n"/>
      <c r="E26" s="92" t="n">
        <v>30000</v>
      </c>
      <c r="F26" s="86" t="inlineStr">
        <is>
          <t>MNT</t>
        </is>
      </c>
      <c r="G26" s="87">
        <f>Compare!$B$6</f>
        <v/>
      </c>
      <c r="H26" s="88">
        <f>E26*G26*IF(F26="USD",Compare!$B$8,IF(F26="CNY",Compare!$B$9,IF(F26="HKD",Compare!$B$10,1)))</f>
        <v/>
      </c>
      <c r="I26" s="93">
        <f>E26</f>
        <v/>
      </c>
      <c r="J26" s="87">
        <f>Compare!$B$7</f>
        <v/>
      </c>
      <c r="K26" s="88">
        <f>I26*J26*IF(F26="USD",Compare!$B$8,IF(F26="CNY",Compare!$B$9,IF(F26="HKD",Compare!$B$10,1)))</f>
        <v/>
      </c>
      <c r="L26" s="90" t="inlineStr">
        <is>
          <t>ASSUMPTION ~30k MNT per person, Mongolian insurer</t>
        </is>
      </c>
    </row>
    <row r="27" ht="15" customHeight="1" s="56">
      <c r="A27" s="81" t="n"/>
      <c r="B27" s="82" t="inlineStr">
        <is>
          <t>Mobile data eSIM</t>
        </is>
      </c>
      <c r="C27" s="83" t="n"/>
      <c r="D27" s="81" t="n"/>
      <c r="E27" s="92" t="n">
        <v>10</v>
      </c>
      <c r="F27" s="86" t="inlineStr">
        <is>
          <t>USD</t>
        </is>
      </c>
      <c r="G27" s="87">
        <f>Compare!$B$6</f>
        <v/>
      </c>
      <c r="H27" s="88">
        <f>E27*G27*IF(F27="USD",Compare!$B$8,IF(F27="CNY",Compare!$B$9,IF(F27="HKD",Compare!$B$10,1)))</f>
        <v/>
      </c>
      <c r="I27" s="93">
        <f>E27</f>
        <v/>
      </c>
      <c r="J27" s="87">
        <f>Compare!$B$7</f>
        <v/>
      </c>
      <c r="K27" s="88">
        <f>I27*J27*IF(F27="USD",Compare!$B$8,IF(F27="CNY",Compare!$B$9,IF(F27="HKD",Compare!$B$10,1)))</f>
        <v/>
      </c>
      <c r="L27" s="90" t="inlineStr">
        <is>
          <t>ASSUMPTION ~$10 pp</t>
        </is>
      </c>
    </row>
    <row r="28" ht="22.35" customHeight="1" s="56">
      <c r="A28" s="81" t="n"/>
      <c r="B28" s="82" t="inlineStr">
        <is>
          <t>Visa</t>
        </is>
      </c>
      <c r="C28" s="83" t="n"/>
      <c r="D28" s="81" t="n"/>
      <c r="E28" s="85" t="n">
        <v>0</v>
      </c>
      <c r="F28" s="86" t="inlineStr">
        <is>
          <t>MNT</t>
        </is>
      </c>
      <c r="G28" s="87">
        <f>Compare!$B$6</f>
        <v/>
      </c>
      <c r="H28" s="88">
        <f>E28*G28*IF(F28="USD",Compare!$B$8,IF(F28="CNY",Compare!$B$9,IF(F28="HKD",Compare!$B$10,1)))</f>
        <v/>
      </c>
      <c r="I28" s="89">
        <f>E28</f>
        <v/>
      </c>
      <c r="J28" s="87">
        <f>Compare!$B$7</f>
        <v/>
      </c>
      <c r="K28" s="88">
        <f>I28*J28*IF(F28="USD",Compare!$B$8,IF(F28="CNY",Compare!$B$9,IF(F28="HKD",Compare!$B$10,1)))</f>
        <v/>
      </c>
      <c r="L28" s="90" t="inlineStr">
        <is>
          <t>Mongolian passports: visa-free (mainland China up to 30 days; Hong Kong up to 14 days)</t>
        </is>
      </c>
    </row>
    <row r="30" ht="15" customHeight="1" s="56">
      <c r="G30" s="60" t="n"/>
      <c r="H30" s="96" t="inlineStr">
        <is>
          <t>3 people – UNFUNDED</t>
        </is>
      </c>
      <c r="K30" s="96" t="inlineStr">
        <is>
          <t>4 people – FUNDED ₮12M</t>
        </is>
      </c>
    </row>
    <row r="31" ht="15" customHeight="1" s="56">
      <c r="G31" s="97" t="inlineStr">
        <is>
          <t>University-paid subtotal</t>
        </is>
      </c>
      <c r="H31" s="98">
        <f>SUM(H9:H20)</f>
        <v/>
      </c>
      <c r="K31" s="98">
        <f>SUM(K9:K20)</f>
        <v/>
      </c>
    </row>
    <row r="32" ht="15" customHeight="1" s="56">
      <c r="G32" s="99" t="inlineStr">
        <is>
          <t>Contingency</t>
        </is>
      </c>
      <c r="H32" s="100">
        <f>H31*Compare!$B$11</f>
        <v/>
      </c>
      <c r="K32" s="100">
        <f>K31*Compare!$B$11</f>
        <v/>
      </c>
    </row>
    <row r="33" ht="15" customHeight="1" s="56">
      <c r="G33" s="97" t="inlineStr">
        <is>
          <t>University-paid total incl. contingency</t>
        </is>
      </c>
      <c r="H33" s="98">
        <f>H31+H32</f>
        <v/>
      </c>
      <c r="K33" s="98">
        <f>K31+K32</f>
        <v/>
      </c>
    </row>
    <row r="34" ht="15" customHeight="1" s="56">
      <c r="G34" s="97" t="inlineStr">
        <is>
          <t>Funding left (negative = over)</t>
        </is>
      </c>
      <c r="H34" s="101">
        <f>Compare!$B$12-H33</f>
        <v/>
      </c>
      <c r="K34" s="101">
        <f>Compare!$B$5-K33</f>
        <v/>
      </c>
    </row>
    <row r="35" ht="15" customHeight="1" s="56">
      <c r="G35" s="97" t="inlineStr">
        <is>
          <t>Personal costs – team</t>
        </is>
      </c>
      <c r="H35" s="102">
        <f>SUM(H22:H28)</f>
        <v/>
      </c>
      <c r="K35" s="102">
        <f>SUM(K22:K28)</f>
        <v/>
      </c>
    </row>
    <row r="36" ht="15" customHeight="1" s="56">
      <c r="G36" s="97" t="inlineStr">
        <is>
          <t>Out-of-pocket per person (personal + any overrun)</t>
        </is>
      </c>
      <c r="H36" s="102">
        <f>(H35+MAX(0,-H34))/Compare!$B$6</f>
        <v/>
      </c>
      <c r="K36" s="102">
        <f>(K35+MAX(0,-K34))/Compare!$B$7</f>
        <v/>
      </c>
    </row>
    <row r="37" ht="15" customHeight="1" s="56">
      <c r="G37" s="97" t="inlineStr">
        <is>
          <t>Whole trip cost (university + personal)</t>
        </is>
      </c>
      <c r="H37" s="103">
        <f>H33+H35</f>
        <v/>
      </c>
      <c r="K37" s="103">
        <f>K33+K35</f>
        <v/>
      </c>
    </row>
    <row r="38" ht="15" customHeight="1" s="56">
      <c r="G38" s="99" t="inlineStr">
        <is>
          <t>Time in planes &amp; trains</t>
        </is>
      </c>
      <c r="H38" s="104">
        <f>SUM(D10:D13)</f>
        <v/>
      </c>
      <c r="K38" s="104">
        <f>SUM(D10:D13)</f>
        <v/>
      </c>
    </row>
    <row r="40" ht="15" customHeight="1" s="56">
      <c r="A40" s="72" t="inlineStr">
        <is>
          <t>Key facts</t>
        </is>
      </c>
    </row>
    <row r="41" ht="30" customHeight="1" s="56">
      <c r="A41" s="75" t="inlineStr">
        <is>
          <t>Contest</t>
        </is>
      </c>
      <c r="B41" s="74" t="inlineStr">
        <is>
          <t>ICPC Asia East Continent Final, 26–28 Jan 2027 (provisional), Hangzhou Normal University (Cangqian campus assumed). Qualification-only.</t>
        </is>
      </c>
    </row>
    <row r="42" ht="30" customHeight="1" s="56">
      <c r="A42" s="75" t="inlineStr">
        <is>
          <t>Why this plan</t>
        </is>
      </c>
      <c r="B42" s="74" t="inlineStr">
        <is>
          <t>Out via Hohhot: Aero Mongolia's early flight + a nonstop Xiamen Airlines flight land in Hangzhou at 13:40 for ¥2,752 pp, ¥513 less than the Air China through ticket via Beijing (lands 18:45). Back: Air China through ticket, home on 29 Jan.</t>
        </is>
      </c>
    </row>
    <row r="43" ht="30" customHeight="1" s="56">
      <c r="A43" s="75" t="inlineStr">
        <is>
          <t>Buying tickets</t>
        </is>
      </c>
      <c r="B43" s="74" t="inlineStr">
        <is>
          <t>Book on Trip.com as soon as the EC Final slot is confirmed. The outbound is two separate tickets: if Aero Mongolia is late the domestic ticket is not protected (fallback: Air China 19:40 HET → HGH). Late January is the Spring Festival rush; re-check fares about 40 days ahead.</t>
        </is>
      </c>
    </row>
    <row r="45" ht="15" customHeight="1" s="56">
      <c r="A45" s="72" t="inlineStr">
        <is>
          <t>Day-by-day plan</t>
        </is>
      </c>
    </row>
    <row r="46" ht="15" customHeight="1" s="56">
      <c r="A46" s="96" t="inlineStr">
        <is>
          <t>Date</t>
        </is>
      </c>
      <c r="B46" s="96" t="inlineStr">
        <is>
          <t>Sleep in</t>
        </is>
      </c>
      <c r="C46" s="96" t="inlineStr">
        <is>
          <t>What happens</t>
        </is>
      </c>
    </row>
    <row r="47" ht="30" customHeight="1" s="56">
      <c r="A47" s="74" t="inlineStr">
        <is>
          <t>Mon 25 Jan</t>
        </is>
      </c>
      <c r="B47" s="74" t="inlineStr">
        <is>
          <t>Hangzhou</t>
        </is>
      </c>
      <c r="C47" s="74" t="inlineStr">
        <is>
          <t>Aero Mongolia UB 06:30 → Hohhot 08:00 (immigration, collect bags, re-check) → Xiamen Airlines 11:15 → Hangzhou 13:40. Taxi to hotel.</t>
        </is>
      </c>
    </row>
    <row r="48" ht="15" customHeight="1" s="56">
      <c r="A48" s="74" t="inlineStr">
        <is>
          <t>Tue 26 Jan</t>
        </is>
      </c>
      <c r="B48" s="74" t="inlineStr">
        <is>
          <t>Hangzhou</t>
        </is>
      </c>
      <c r="C48" s="74" t="inlineStr">
        <is>
          <t>EC Final day 1: check-in, opening, warm-up.</t>
        </is>
      </c>
    </row>
    <row r="49" ht="15" customHeight="1" s="56">
      <c r="A49" s="74" t="inlineStr">
        <is>
          <t>Wed 27 Jan</t>
        </is>
      </c>
      <c r="B49" s="74" t="inlineStr">
        <is>
          <t>Hangzhou</t>
        </is>
      </c>
      <c r="C49" s="74" t="inlineStr">
        <is>
          <t>EC FINAL contest day.</t>
        </is>
      </c>
    </row>
    <row r="50" ht="15" customHeight="1" s="56">
      <c r="A50" s="74" t="inlineStr">
        <is>
          <t>Thu 28 Jan</t>
        </is>
      </c>
      <c r="B50" s="74" t="inlineStr">
        <is>
          <t>Hangzhou</t>
        </is>
      </c>
      <c r="C50" s="74" t="inlineStr">
        <is>
          <t>Forums, closing ceremony &amp; awards banquet.</t>
        </is>
      </c>
    </row>
    <row r="51" ht="15" customHeight="1" s="56">
      <c r="A51" s="74" t="inlineStr">
        <is>
          <t>Fri 29 Jan</t>
        </is>
      </c>
      <c r="B51" s="74" t="inlineStr">
        <is>
          <t>Home</t>
        </is>
      </c>
      <c r="C51" s="74" t="inlineStr">
        <is>
          <t>Air China through ticket Hangzhou 08:00 → Beijing Capital 10:20 (exit immigration) → Beijing 12:55 → UB 15:05. Home the same day.</t>
        </is>
      </c>
    </row>
    <row r="52" ht="15" customHeight="1" s="56">
      <c r="A52" s="74" t="n"/>
      <c r="B52" s="74" t="n"/>
      <c r="C52" s="74" t="n"/>
    </row>
    <row r="54" ht="15" customHeight="1" s="56">
      <c r="A54" s="72" t="inlineStr">
        <is>
          <t>Door-to-door travel times</t>
        </is>
      </c>
    </row>
    <row r="55" ht="15" customHeight="1" s="56">
      <c r="A55" s="96" t="inlineStr">
        <is>
          <t>Date</t>
        </is>
      </c>
      <c r="B55" s="96" t="inlineStr">
        <is>
          <t>Leg</t>
        </is>
      </c>
      <c r="C55" s="96" t="inlineStr">
        <is>
          <t>Mode</t>
        </is>
      </c>
      <c r="D55" s="96" t="inlineStr">
        <is>
          <t>Expected time</t>
        </is>
      </c>
      <c r="E55" s="96" t="inlineStr">
        <is>
          <t>Notes</t>
        </is>
      </c>
    </row>
    <row r="56" ht="15" customHeight="1" s="56">
      <c r="A56" s="105" t="inlineStr">
        <is>
          <t>25 Jan</t>
        </is>
      </c>
      <c r="B56" s="105" t="inlineStr">
        <is>
          <t>Home → Chinggis Khaan airport</t>
        </is>
      </c>
      <c r="C56" s="82" t="inlineStr">
        <is>
          <t>Taxi (~50 km)</t>
        </is>
      </c>
      <c r="D56" s="104" t="n">
        <v>0.04166666666666666</v>
      </c>
      <c r="E56" s="106" t="inlineStr">
        <is>
          <t>Leave ~03:30 for the 06:30 flight</t>
        </is>
      </c>
      <c r="F56" s="107" t="n"/>
      <c r="G56" s="107" t="n"/>
      <c r="H56" s="107" t="n"/>
      <c r="I56" s="107" t="n"/>
      <c r="J56" s="107" t="n"/>
      <c r="K56" s="107" t="n"/>
      <c r="L56" s="107" t="n"/>
    </row>
    <row r="57" ht="26.85" customHeight="1" s="56">
      <c r="A57" s="105" t="inlineStr">
        <is>
          <t>25 Jan</t>
        </is>
      </c>
      <c r="B57" s="105" t="inlineStr">
        <is>
          <t>Ulaanbaatar → Hohhot (HET)</t>
        </is>
      </c>
      <c r="C57" s="82" t="inlineStr">
        <is>
          <t>Aero Mongolia 06:30–08:00</t>
        </is>
      </c>
      <c r="D57" s="84" t="n">
        <v>0.0625</v>
      </c>
      <c r="E57" s="106" t="n"/>
      <c r="F57" s="107" t="n"/>
      <c r="G57" s="107" t="n"/>
      <c r="H57" s="107" t="n"/>
      <c r="I57" s="107" t="n"/>
      <c r="J57" s="107" t="n"/>
      <c r="K57" s="107" t="n"/>
      <c r="L57" s="107" t="n"/>
    </row>
    <row r="58" ht="15" customHeight="1" s="56">
      <c r="A58" s="105" t="inlineStr">
        <is>
          <t>25 Jan</t>
        </is>
      </c>
      <c r="B58" s="105" t="inlineStr">
        <is>
          <t>HET: immigration, collect bags, check in for the domestic flight</t>
        </is>
      </c>
      <c r="C58" s="82" t="inlineStr">
        <is>
          <t>—</t>
        </is>
      </c>
      <c r="D58" s="104" t="n">
        <v>0.1354166666666667</v>
      </c>
      <c r="E58" s="106" t="inlineStr">
        <is>
          <t>Self-transfer on separate tickets</t>
        </is>
      </c>
      <c r="F58" s="107" t="n"/>
      <c r="G58" s="107" t="n"/>
      <c r="H58" s="107" t="n"/>
      <c r="I58" s="107" t="n"/>
      <c r="J58" s="107" t="n"/>
      <c r="K58" s="107" t="n"/>
      <c r="L58" s="107" t="n"/>
    </row>
    <row r="59" ht="15" customHeight="1" s="56">
      <c r="A59" s="105" t="inlineStr">
        <is>
          <t>25 Jan</t>
        </is>
      </c>
      <c r="B59" s="105" t="inlineStr">
        <is>
          <t>Hohhot → Hangzhou (HGH)</t>
        </is>
      </c>
      <c r="C59" s="82" t="inlineStr">
        <is>
          <t>Xiamen Airlines 11:15–13:40</t>
        </is>
      </c>
      <c r="D59" s="104" t="n">
        <v>0.1006944444444444</v>
      </c>
      <c r="E59" s="106" t="n"/>
      <c r="F59" s="107" t="n"/>
      <c r="G59" s="107" t="n"/>
      <c r="H59" s="107" t="n"/>
      <c r="I59" s="107" t="n"/>
      <c r="J59" s="107" t="n"/>
      <c r="K59" s="107" t="n"/>
      <c r="L59" s="107" t="n"/>
    </row>
    <row r="60" ht="39.55" customHeight="1" s="56">
      <c r="A60" s="105" t="inlineStr">
        <is>
          <t>25 Jan</t>
        </is>
      </c>
      <c r="B60" s="105" t="inlineStr">
        <is>
          <t>HGH → hotel (Cangqian)</t>
        </is>
      </c>
      <c r="C60" s="82" t="inlineStr">
        <is>
          <t>Taxi (~55 km)</t>
        </is>
      </c>
      <c r="D60" s="104" t="n">
        <v>0.04166666666666666</v>
      </c>
      <c r="E60" s="106" t="inlineStr">
        <is>
          <t>Estimate</t>
        </is>
      </c>
      <c r="F60" s="107" t="n"/>
      <c r="G60" s="107" t="n"/>
      <c r="H60" s="107" t="n"/>
      <c r="I60" s="107" t="n"/>
      <c r="J60" s="107" t="n"/>
      <c r="K60" s="107" t="n"/>
      <c r="L60" s="107" t="n"/>
    </row>
    <row r="61" ht="15" customHeight="1" s="56">
      <c r="A61" s="105" t="inlineStr">
        <is>
          <t>26–28 Jan</t>
        </is>
      </c>
      <c r="B61" s="105" t="inlineStr">
        <is>
          <t>Hotel ↔ HZNU Cangqian (each way)</t>
        </is>
      </c>
      <c r="C61" s="82" t="inlineStr">
        <is>
          <t>Walk</t>
        </is>
      </c>
      <c r="D61" s="104" t="inlineStr">
        <is>
          <t>daily</t>
        </is>
      </c>
      <c r="E61" s="106" t="inlineStr">
        <is>
          <t>~20 min walk (1.7 km)</t>
        </is>
      </c>
      <c r="F61" s="107" t="n"/>
      <c r="G61" s="107" t="n"/>
      <c r="H61" s="107" t="n"/>
      <c r="I61" s="107" t="n"/>
      <c r="J61" s="107" t="n"/>
      <c r="K61" s="107" t="n"/>
      <c r="L61" s="107" t="n"/>
    </row>
    <row r="62" ht="15" customHeight="1" s="56">
      <c r="A62" s="105" t="inlineStr">
        <is>
          <t>29 Jan</t>
        </is>
      </c>
      <c r="B62" s="105" t="inlineStr">
        <is>
          <t>Hotel → HGH</t>
        </is>
      </c>
      <c r="C62" s="82" t="inlineStr">
        <is>
          <t>Taxi</t>
        </is>
      </c>
      <c r="D62" s="110" t="n">
        <v>0.04166666666666666</v>
      </c>
      <c r="E62" s="106" t="inlineStr">
        <is>
          <t>Leave ~05:30</t>
        </is>
      </c>
      <c r="F62" s="107" t="n"/>
      <c r="G62" s="107" t="n"/>
      <c r="H62" s="107" t="n"/>
      <c r="I62" s="107" t="n"/>
      <c r="J62" s="107" t="n"/>
      <c r="K62" s="107" t="n"/>
      <c r="L62" s="107" t="n"/>
    </row>
    <row r="63" ht="15" customHeight="1" s="56">
      <c r="A63" s="105" t="inlineStr">
        <is>
          <t>29 Jan</t>
        </is>
      </c>
      <c r="B63" s="105" t="inlineStr">
        <is>
          <t>HGH check-in &amp; security</t>
        </is>
      </c>
      <c r="C63" s="82" t="inlineStr">
        <is>
          <t>—</t>
        </is>
      </c>
      <c r="D63" s="104" t="n">
        <v>0.0625</v>
      </c>
      <c r="E63" s="106" t="n"/>
      <c r="F63" s="107" t="n"/>
      <c r="G63" s="107" t="n"/>
      <c r="H63" s="107" t="n"/>
      <c r="I63" s="107" t="n"/>
      <c r="J63" s="107" t="n"/>
      <c r="K63" s="107" t="n"/>
      <c r="L63" s="107" t="n"/>
    </row>
    <row r="64" ht="15" customHeight="1" s="56">
      <c r="A64" s="105" t="inlineStr">
        <is>
          <t>29 Jan</t>
        </is>
      </c>
      <c r="B64" s="105" t="inlineStr">
        <is>
          <t>Hangzhou → Beijing Capital (PEK)</t>
        </is>
      </c>
      <c r="C64" s="82" t="inlineStr">
        <is>
          <t>Air China 08:00–10:20</t>
        </is>
      </c>
      <c r="D64" s="104" t="n">
        <v>0.09722222222222222</v>
      </c>
      <c r="E64" s="106" t="n"/>
      <c r="F64" s="107" t="n"/>
      <c r="G64" s="107" t="n"/>
      <c r="H64" s="107" t="n"/>
      <c r="I64" s="107" t="n"/>
      <c r="J64" s="107" t="n"/>
      <c r="K64" s="107" t="n"/>
      <c r="L64" s="107" t="n"/>
    </row>
    <row r="65" ht="39.55" customHeight="1" s="56">
      <c r="A65" s="105" t="inlineStr">
        <is>
          <t>29 Jan</t>
        </is>
      </c>
      <c r="B65" s="105" t="inlineStr">
        <is>
          <t>PEK: domestic-to-international transfer, exit immigration</t>
        </is>
      </c>
      <c r="C65" s="82" t="inlineStr">
        <is>
          <t>—</t>
        </is>
      </c>
      <c r="D65" s="104" t="n">
        <v>0.1076388888888889</v>
      </c>
      <c r="E65" s="106" t="n"/>
      <c r="F65" s="107" t="n"/>
      <c r="G65" s="107" t="n"/>
      <c r="H65" s="107" t="n"/>
      <c r="I65" s="107" t="n"/>
      <c r="J65" s="107" t="n"/>
      <c r="K65" s="107" t="n"/>
      <c r="L65" s="107" t="n"/>
    </row>
    <row r="66" ht="15" customHeight="1" s="56">
      <c r="A66" s="105" t="inlineStr">
        <is>
          <t>29 Jan</t>
        </is>
      </c>
      <c r="B66" s="105" t="inlineStr">
        <is>
          <t>Beijing Capital → Ulaanbaatar</t>
        </is>
      </c>
      <c r="C66" s="82" t="inlineStr">
        <is>
          <t>Air China 12:55–15:05</t>
        </is>
      </c>
      <c r="D66" s="104" t="n">
        <v>0.09027777777777778</v>
      </c>
      <c r="E66" s="106" t="n"/>
      <c r="F66" s="107" t="n"/>
      <c r="G66" s="107" t="n"/>
      <c r="H66" s="107" t="n"/>
      <c r="I66" s="107" t="n"/>
      <c r="J66" s="107" t="n"/>
      <c r="K66" s="107" t="n"/>
      <c r="L66" s="107" t="n"/>
    </row>
    <row r="67" ht="15" customHeight="1" s="56">
      <c r="A67" s="105" t="inlineStr">
        <is>
          <t>29 Jan</t>
        </is>
      </c>
      <c r="B67" s="105" t="inlineStr">
        <is>
          <t>Chinggis Khaan airport → home</t>
        </is>
      </c>
      <c r="C67" s="82" t="inlineStr">
        <is>
          <t>Taxi</t>
        </is>
      </c>
      <c r="D67" s="104" t="n">
        <v>0.04166666666666666</v>
      </c>
      <c r="E67" s="106" t="n"/>
      <c r="F67" s="107" t="n"/>
      <c r="G67" s="107" t="n"/>
      <c r="H67" s="107" t="n"/>
      <c r="I67" s="107" t="n"/>
      <c r="J67" s="107" t="n"/>
      <c r="K67" s="107" t="n"/>
      <c r="L67" s="107" t="n"/>
    </row>
    <row r="68" ht="26.85" customHeight="1" s="56">
      <c r="A68" s="105" t="n"/>
      <c r="B68" s="105" t="n"/>
      <c r="C68" s="82" t="n"/>
      <c r="D68" s="84" t="n"/>
      <c r="E68" s="106" t="n"/>
      <c r="F68" s="107" t="n"/>
      <c r="G68" s="107" t="n"/>
      <c r="H68" s="107" t="n"/>
      <c r="I68" s="107" t="n"/>
      <c r="J68" s="107" t="n"/>
      <c r="K68" s="107" t="n"/>
      <c r="L68" s="107" t="n"/>
    </row>
    <row r="69" ht="14.15" customHeight="1" s="56">
      <c r="A69" s="105" t="n"/>
      <c r="B69" s="105" t="n"/>
      <c r="C69" s="82" t="n"/>
      <c r="D69" s="104" t="n"/>
      <c r="E69" s="106" t="n"/>
      <c r="F69" s="107" t="n"/>
      <c r="G69" s="107" t="n"/>
      <c r="H69" s="107" t="n"/>
      <c r="I69" s="107" t="n"/>
      <c r="J69" s="107" t="n"/>
      <c r="K69" s="107" t="n"/>
      <c r="L69" s="107" t="n"/>
    </row>
    <row r="70" ht="15" customHeight="1" s="56">
      <c r="C70" s="59" t="inlineStr">
        <is>
          <t>Total door-to-door</t>
        </is>
      </c>
      <c r="D70" s="109">
        <f>SUM(D56:D69)</f>
        <v/>
      </c>
    </row>
  </sheetData>
  <mergeCells count="25">
    <mergeCell ref="E56:L56"/>
    <mergeCell ref="E58:L58"/>
    <mergeCell ref="C52:L52"/>
    <mergeCell ref="E68:L68"/>
    <mergeCell ref="C48:L48"/>
    <mergeCell ref="E55:L55"/>
    <mergeCell ref="E62:L62"/>
    <mergeCell ref="E67:L67"/>
    <mergeCell ref="B43:L43"/>
    <mergeCell ref="E64:L64"/>
    <mergeCell ref="C49:L49"/>
    <mergeCell ref="E63:L63"/>
    <mergeCell ref="B42:L42"/>
    <mergeCell ref="E60:L60"/>
    <mergeCell ref="E69:L69"/>
    <mergeCell ref="E65:L65"/>
    <mergeCell ref="E59:L59"/>
    <mergeCell ref="C47:L47"/>
    <mergeCell ref="C50:L50"/>
    <mergeCell ref="E61:L61"/>
    <mergeCell ref="E57:L57"/>
    <mergeCell ref="E66:L66"/>
    <mergeCell ref="C51:L51"/>
    <mergeCell ref="C46:L46"/>
    <mergeCell ref="B41:L4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2026-09-30T14:38:02Z</dcterms:created>
  <dcterms:modified xsi:type="dcterms:W3CDTF">2026-10-22T04:06:36Z</dcterms:modified>
  <cp:revision>0</cp:revision>
</cp:coreProperties>
</file>