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henyang – Budget" sheetId="2" state="visible" r:id="rId2"/>
    <sheet name="Shenyang – Comfort" sheetId="3" state="visible" r:id="rId3"/>
    <sheet name="Hong Kong – Budget" sheetId="4" state="visible" r:id="rId4"/>
    <sheet name="Hong Kong – Comfort" sheetId="5" state="visible" r:id="rId5"/>
    <sheet name="EC Final Hangzhou – Train" sheetId="6" state="visible" r:id="rId6"/>
    <sheet name="EC Final Hangzhou – Fl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  <numFmt numFmtId="168" formatCode="[hh]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Hong Kong, EC Final Hangzhou</t>
        </is>
      </c>
    </row>
    <row r="2" ht="42" customHeight="1" s="56">
      <c r="A2" s="58" t="inlineStr">
        <is>
          <t>Each trip planned as if it is the only contest attended. Two variants per contest, costed for 3 people (contestants, 1 room) and 4 people (3 contestants + coach). University pays flights, trains, hotels, meals &amp; local transport; contest fees and 'Other' are personal. Prices checked 30 Sep 2026; flights re-priced on Trip.com 30 Sep – 1 Oct 2026; trains (Ctrip) and hotels (Trip.com) re-checked 1 Oct. Blue = inputs; yellow = key assumptions; green = links.</t>
        </is>
      </c>
    </row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Hong Kong – Budget</t>
        </is>
      </c>
      <c r="B17" s="68">
        <f>'Hong Kong – Budget'!H30</f>
        <v/>
      </c>
      <c r="C17" s="68">
        <f>'Hong Kong – Budget'!H31</f>
        <v/>
      </c>
      <c r="D17" s="69">
        <f>'Hong Kong – Budget'!H33</f>
        <v/>
      </c>
      <c r="E17" s="68">
        <f>'Hong Kong – Budget'!K30</f>
        <v/>
      </c>
      <c r="F17" s="68">
        <f>'Hong Kong – Budget'!K31</f>
        <v/>
      </c>
      <c r="G17" s="69">
        <f>'Hong Kong – Budget'!K33</f>
        <v/>
      </c>
      <c r="H17" s="70">
        <f>'Hong Kong – Budget'!H34</f>
        <v/>
      </c>
      <c r="I17" s="70">
        <f>'Hong Kong – Budget'!K34</f>
        <v/>
      </c>
      <c r="J17" s="71">
        <f>'Hong Kong – Budget'!H35</f>
        <v/>
      </c>
      <c r="K17" s="71">
        <f>'Hong Kong – Budget'!D60</f>
        <v/>
      </c>
    </row>
    <row r="18" ht="15" customHeight="1" s="56">
      <c r="A18" s="67" t="inlineStr">
        <is>
          <t>Hong Kong – Comfort</t>
        </is>
      </c>
      <c r="B18" s="68">
        <f>'Hong Kong – Comfort'!H30</f>
        <v/>
      </c>
      <c r="C18" s="68">
        <f>'Hong Kong – Comfort'!H31</f>
        <v/>
      </c>
      <c r="D18" s="69">
        <f>'Hong Kong – Comfort'!H33</f>
        <v/>
      </c>
      <c r="E18" s="68">
        <f>'Hong Kong – Comfort'!K30</f>
        <v/>
      </c>
      <c r="F18" s="68">
        <f>'Hong Kong – Comfort'!K31</f>
        <v/>
      </c>
      <c r="G18" s="69">
        <f>'Hong Kong – Comfort'!K33</f>
        <v/>
      </c>
      <c r="H18" s="70">
        <f>'Hong Kong – Comfort'!H34</f>
        <v/>
      </c>
      <c r="I18" s="70">
        <f>'Hong Kong – Comfort'!K34</f>
        <v/>
      </c>
      <c r="J18" s="71">
        <f>'Hong Kong – Comfort'!H35</f>
        <v/>
      </c>
      <c r="K18" s="71">
        <f>'Hong Kong – Comfort'!D60</f>
        <v/>
      </c>
    </row>
    <row r="19" ht="15" customHeight="1" s="56">
      <c r="A19" s="67" t="inlineStr">
        <is>
          <t>EC Final Hangzhou – Train</t>
        </is>
      </c>
      <c r="B19" s="68">
        <f>'EC Final Hangzhou – Train'!H34</f>
        <v/>
      </c>
      <c r="C19" s="68">
        <f>'EC Final Hangzhou – Train'!H35</f>
        <v/>
      </c>
      <c r="D19" s="69">
        <f>'EC Final Hangzhou – Train'!H37</f>
        <v/>
      </c>
      <c r="E19" s="68">
        <f>'EC Final Hangzhou – Train'!K34</f>
        <v/>
      </c>
      <c r="F19" s="68">
        <f>'EC Final Hangzhou – Train'!K35</f>
        <v/>
      </c>
      <c r="G19" s="69">
        <f>'EC Final Hangzhou – Train'!K37</f>
        <v/>
      </c>
      <c r="H19" s="70">
        <f>'EC Final Hangzhou – Train'!H38</f>
        <v/>
      </c>
      <c r="I19" s="70">
        <f>'EC Final Hangzhou – Train'!K38</f>
        <v/>
      </c>
      <c r="J19" s="71">
        <f>'EC Final Hangzhou – Train'!H39</f>
        <v/>
      </c>
      <c r="K19" s="71">
        <f>'EC Final Hangzhou – Train'!D70</f>
        <v/>
      </c>
    </row>
    <row r="20" ht="15" customHeight="1" s="56">
      <c r="A20" s="67" t="inlineStr">
        <is>
          <t>EC Final Hangzhou – Fly</t>
        </is>
      </c>
      <c r="B20" s="68">
        <f>'EC Final Hangzhou – Fly'!H33</f>
        <v/>
      </c>
      <c r="C20" s="68">
        <f>'EC Final Hangzhou – Fly'!H34</f>
        <v/>
      </c>
      <c r="D20" s="69">
        <f>'EC Final Hangzhou – Fly'!H36</f>
        <v/>
      </c>
      <c r="E20" s="68">
        <f>'EC Final Hangzhou – Fly'!K33</f>
        <v/>
      </c>
      <c r="F20" s="68">
        <f>'EC Final Hangzhou – Fly'!K34</f>
        <v/>
      </c>
      <c r="G20" s="69">
        <f>'EC Final Hangzhou – Fly'!K36</f>
        <v/>
      </c>
      <c r="H20" s="70">
        <f>'EC Final Hangzhou – Fly'!H37</f>
        <v/>
      </c>
      <c r="I20" s="70">
        <f>'EC Final Hangzhou – Fly'!K37</f>
        <v/>
      </c>
      <c r="J20" s="71">
        <f>'EC Final Hangzhou – Fly'!H38</f>
        <v/>
      </c>
      <c r="K20" s="71">
        <f>'EC Final Hangzhou – Fly'!D70</f>
        <v/>
      </c>
    </row>
    <row r="22" ht="15" customHeight="1" s="56">
      <c r="A22" s="72" t="inlineStr">
        <is>
          <t>Recommended picks (not the expensive ones)</t>
        </is>
      </c>
    </row>
    <row r="23" ht="30" customHeight="1" s="56">
      <c r="A23" s="73" t="inlineStr">
        <is>
          <t>Regional 1 – Shenyang (14–15 Nov)</t>
        </is>
      </c>
      <c r="B23" s="74" t="inlineStr">
        <is>
          <t>Shenyang – Comfort: rest day, RiCH Hotel family room 1.3 km from NEU, overnight soft sleeper back to Beijing; leaves ~₮8.7M (3 ppl) / ~₮6.7M (with coach) of the ₮15M. Shenyang – Budget (sleepers both ways, no Beijing hotel) saves another ~₮1.3M. Fly home on Air China 12:55 ($171).</t>
        </is>
      </c>
    </row>
    <row r="24" ht="30" customHeight="1" s="56">
      <c r="A24" s="73" t="inlineStr">
        <is>
          <t>Regional 2 – Hong Kong (9–10 Jan)</t>
        </is>
      </c>
      <c r="B24" s="74" t="inlineStr">
        <is>
          <t>Hong Kong – Budget: same MIAT nonstop ($583 return on Trip.com), Kowloon guesthouse; leaves ~₮5.9M (3 ppl) / ~₮2.8M (with coach). Comfort only makes sense without a coach.</t>
        </is>
      </c>
    </row>
    <row r="25" ht="30" customHeight="1" s="56">
      <c r="A25" s="73" t="inlineStr">
        <is>
          <t>EC Final (only if qualified)</t>
        </is>
      </c>
      <c r="B25" s="74" t="inlineStr">
        <is>
          <t>Train is cheapest (~₮8.7M / ~₮11.8M with coach): MIAT + high-speed rail out, Air China through ticket Hangzhou → UB home on 29 Jan. Fly is now ~₮11.0M / ~₮14.8M with the coach (just inside ₮15M): Aero Mongolia UB → Hohhot 06:30 + Xiamen Airlines → Hangzhou 13:40 (¥2,752, separate tickets), Air China through ticket home. Buy the 25 Jan train the day sales open (~10 Jan).</t>
        </is>
      </c>
    </row>
    <row r="27" ht="30" customHeight="1" s="56">
      <c r="A27" s="75" t="inlineStr">
        <is>
          <t>Note</t>
        </is>
      </c>
      <c r="B27" s="74" t="inlineStr">
        <is>
          <t>Dates are provisional (ICPC Beijing HQ summary, 5 Aug 2026). Hong Kong host (HKU) and EC Final venue (HZNU Cangqian) are from secondary sources – confirm in each invitation.</t>
        </is>
      </c>
    </row>
    <row r="28" ht="30" customHeight="1" s="56">
      <c r="A28" s="75" t="inlineStr">
        <is>
          <t>Note</t>
        </is>
      </c>
      <c r="B28" s="74" t="inlineStr">
        <is>
          <t>EC Final is qualification-only: plan it only once the team has earned a slot at a regional.</t>
        </is>
      </c>
    </row>
    <row r="29" ht="30" customHeight="1" s="56">
      <c r="A29" s="75" t="inlineStr">
        <is>
          <t>Note</t>
        </is>
      </c>
      <c r="B29" s="74" t="inlineStr">
        <is>
          <t>4-person plans use whatever split is cheapest on Trip.com/Booking.com: one family room for 4 (Shenyang RiCH), or two rooms. Taxi costs assume one car; with luggage 4 people may need an XL car.</t>
        </is>
      </c>
    </row>
    <row r="30" ht="30" customHeight="1" s="56">
      <c r="A30" s="75" t="inlineStr">
        <is>
          <t>Note</t>
        </is>
      </c>
      <c r="B30" s="74" t="inlineStr">
        <is>
          <t>No plan needs a Beijing hotel night any more: Shenyang plans use overnight sleeper trains, EC Final plans use the Air China through ticket home on 29 Jan.</t>
        </is>
      </c>
    </row>
  </sheetData>
  <mergeCells count="8">
    <mergeCell ref="B23:K23"/>
    <mergeCell ref="B27:K27"/>
    <mergeCell ref="B30:K30"/>
    <mergeCell ref="A2:K2"/>
    <mergeCell ref="B29:K29"/>
    <mergeCell ref="B25:K25"/>
    <mergeCell ref="B24:K24"/>
    <mergeCell ref="B28:K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Overnight sleeper trains Beijing ⇄ Shenyang (no Beijing hotel nights), budget room, one night in Shenyang.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train K53 Beijing 22:35 → Shenyang North 07:00, hard sleeper</t>
        </is>
      </c>
      <c r="C13" s="83" t="inlineStr">
        <is>
          <t>13 Nov (night)</t>
        </is>
      </c>
      <c r="D13" s="84" t="n">
        <v>0.3506944444444444</v>
      </c>
      <c r="E13" s="85" t="n">
        <v>171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 1 Oct: K53 hard sleeper ¥171 (soft ¥263). Replaces the Beijing night + morning G-train (¥339). MIAT lands 19:30, so ~1 h 20 min spare after immigration + Airport Express; if MIAT is late, change the ticket (1 free change) to the 14 Nov G-train. Sales open 15 days ahead (29 Oct).</t>
        </is>
      </c>
    </row>
    <row r="14" ht="26.85" customHeight="1" s="56">
      <c r="A14" s="81" t="n"/>
      <c r="B14" s="82" t="inlineStr">
        <is>
          <t>Overnight train K54 Shenyang North 22:00 → Beijing 06:58, hard sleeper</t>
        </is>
      </c>
      <c r="C14" s="83" t="inlineStr">
        <is>
          <t>15 Nov (night)</t>
        </is>
      </c>
      <c r="D14" s="84" t="n">
        <v>0.3736111111111111</v>
      </c>
      <c r="E14" s="85" t="n">
        <v>171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Sales open 15 days ahead (31 Oct).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Nov.. Trip.com 1 Oct: rated 8.2 from 1,062 reviews (¥284 for 2 rooms × 2 nights) – the low price is real. Arrive 07:00 off the sleeper: leave bags until check-in</t>
        </is>
      </c>
    </row>
    <row r="18" ht="15" customHeight="1" s="56">
      <c r="A18" s="81" t="n"/>
      <c r="B18" s="82" t="n"/>
      <c r="C18" s="83" t="n"/>
      <c r="D18" s="81" t="n"/>
      <c r="E18" s="85" t="n"/>
      <c r="F18" s="86" t="n"/>
      <c r="G18" s="91" t="n"/>
      <c r="H18" s="88" t="n"/>
      <c r="I18" s="85" t="n"/>
      <c r="J18" s="91" t="n"/>
      <c r="K18" s="88" t="n"/>
      <c r="L18" s="90" t="n"/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overnight sleeper trains (¥171 each way, no Beijing hotel),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Two nights on sleeper trains (6-berth hard sleeper); very basic room; ~25 min metro to the venue.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Train</t>
        </is>
      </c>
      <c r="C48" s="74" t="inlineStr">
        <is>
          <t>Fly MIAT OM223 UB 17:15 → Beijing Capital 19:30. Airport Express + metro to Beijing station; K53 sleeper 22:35 → Shenyang North 07:00.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Arrive Shenyang North 07:00; leave bags at Bestay.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sleeper Shenyang North 22:00 → Beijing 06:58 (no rush after the closing ceremony).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Beijing station</t>
        </is>
      </c>
      <c r="C58" s="82" t="inlineStr">
        <is>
          <t>Airport Express + metro line 2</t>
        </is>
      </c>
      <c r="D58" s="104" t="n">
        <v>0.04166666666666666</v>
      </c>
      <c r="E58" s="106" t="inlineStr">
        <is>
          <t>Aim to be there by ~21:30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13–14 Nov</t>
        </is>
      </c>
      <c r="B59" s="105" t="inlineStr">
        <is>
          <t>Beijing → Shenyang North</t>
        </is>
      </c>
      <c r="C59" s="82" t="inlineStr">
        <is>
          <t>K53 hard sleeper 22:35–07:00</t>
        </is>
      </c>
      <c r="D59" s="104" t="n">
        <v>0.3506944444444444</v>
      </c>
      <c r="E59" s="106" t="inlineStr">
        <is>
          <t>Overnight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Shenyang North → Bestay hotel / NEU Nanhu</t>
        </is>
      </c>
      <c r="C60" s="82" t="inlineStr">
        <is>
          <t>Metro / taxi</t>
        </is>
      </c>
      <c r="D60" s="8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14–15 Nov</t>
        </is>
      </c>
      <c r="B61" s="105" t="inlineStr">
        <is>
          <t>Bestay hotel ↔ NEU Nanhu (each way)</t>
        </is>
      </c>
      <c r="C61" s="82" t="inlineStr">
        <is>
          <t>Metro</t>
        </is>
      </c>
      <c r="D61" s="104" t="inlineStr">
        <is>
          <t>daily</t>
        </is>
      </c>
      <c r="E61" s="106" t="inlineStr">
        <is>
          <t>~25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10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hard sleeper 22:00–06:58</t>
        </is>
      </c>
      <c r="D63" s="10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8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n"/>
      <c r="B67" s="105" t="n"/>
      <c r="C67" s="82" t="n"/>
      <c r="D67" s="8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n"/>
      <c r="B68" s="105" t="n"/>
      <c r="C68" s="82" t="n"/>
      <c r="D68" s="10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family room near the venue, MIAT + fast train out, overnight soft sleeper back to Beijing.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Overnight train K54 Shenyang North 22:00 → Beijing 06:58, soft sleeper (4-berth cabin)</t>
        </is>
      </c>
      <c r="C14" s="83" t="inlineStr">
        <is>
          <t>15 Nov (night)</t>
        </is>
      </c>
      <c r="D14" s="84" t="n">
        <v>0.3736111111111111</v>
      </c>
      <c r="E14" s="85" t="n">
        <v>263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Sales open 15 days ahead (31 Oct).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Shenyang RiCH Hotel, Sanhao St (~1.3 km to NEU Nanhu; Family Room sleeps 4, so one room for 3 or 4 ppl)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Family Room ¥976 for 3 nights, same price for 3 or 4 adults; rated 9.6 (1,802 reviews). Was Atour ¥527/night (3 ppl) / Mehood Lestie ¥718 (4 ppl, 2 rooms) on Booking.com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Nov; one night on the train back.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RiCH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soft sleeper Shenyang North 22:00 → Beijing 06:58.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(RiCH Hotel, 1.3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soft sleeper 22:00–06:58</t>
        </is>
      </c>
      <c r="D63" s="8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10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8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n"/>
      <c r="B67" s="105" t="n"/>
      <c r="C67" s="82" t="n"/>
      <c r="D67" s="10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1 room; 4 ppl 2 rooms)</t>
        </is>
      </c>
      <c r="C13" s="83" t="inlineStr">
        <is>
          <t>8–11 Jan (3 nights)</t>
        </is>
      </c>
      <c r="D13" s="81" t="n"/>
      <c r="E13" s="85" t="n">
        <v>435.96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596.61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1,307.88 HKD (3 ppl) / 1,789.83 HKD (4 ppl, 2 rooms) for 3 nights; rated 8.1 (1,228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291.5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return $583 pp, split half each way (SlickTrip 30 Sep: $590.50 pp)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291.5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$583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B39:L39"/>
    <mergeCell ref="C48:L48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high-speed rail to Hangzhou; Air China through ticket Hangzhou → UB back (home on 29 Jan); hotel ~1.6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South → Hangzhou East, 2nd class</t>
        </is>
      </c>
      <c r="C13" s="83" t="inlineStr">
        <is>
          <t>25 Jan (afternoon)</t>
        </is>
      </c>
      <c r="D13" s="84" t="n">
        <v>0.2291666666666667</v>
      </c>
      <c r="E13" s="85" t="n">
        <v>601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Ctrip: from 601 CNY (~6 h trains); fastest G39 4 h 37 min is 673 CNY</t>
        </is>
      </c>
    </row>
    <row r="14" ht="26.85" customHeight="1" s="56">
      <c r="A14" s="81" t="n"/>
      <c r="B14" s="82" t="inlineStr">
        <is>
          <t>Taxi hotel → Hangzhou airport (~55 km), replaces the return train</t>
        </is>
      </c>
      <c r="C14" s="83" t="inlineStr">
        <is>
          <t>29 Jan</t>
        </is>
      </c>
      <c r="D14" s="84" t="n"/>
      <c r="E14" s="92" t="n">
        <v>150</v>
      </c>
      <c r="F14" s="86" t="inlineStr">
        <is>
          <t>CNY</t>
        </is>
      </c>
      <c r="G14" s="87" t="n">
        <v>1</v>
      </c>
      <c r="H14" s="88">
        <f>E14*G14*IF(F14="USD",Compare!$B$8,IF(F14="CNY",Compare!$B$9,IF(F14="HKD",Compare!$B$10,1)))</f>
        <v/>
      </c>
      <c r="I14" s="89">
        <f>E14</f>
        <v/>
      </c>
      <c r="J14" s="87" t="n">
        <v>1</v>
      </c>
      <c r="K14" s="88">
        <f>I14*J14*IF(F14="USD",Compare!$B$8,IF(F14="CNY",Compare!$B$9,IF(F14="HKD",Compare!$B$10,1)))</f>
        <v/>
      </c>
      <c r="L14" s="90" t="inlineStr">
        <is>
          <t>ASSUMPTION ~150 CNY per car. The return train (601 CNY) + Beijing night + MIAT 30 Jan cost about the same as the through ticket but take a day longer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HanTing Hotel Future Sci-Tech Town (~1.6 km to HZNU Cangqian; 3 ppl Family Room; 4 ppl 2 twin rooms)</t>
        </is>
      </c>
      <c r="C16" s="83" t="inlineStr">
        <is>
          <t>25–29 Jan (4 nights)</t>
        </is>
      </c>
      <c r="D16" s="81" t="n"/>
      <c r="E16" s="85" t="n">
        <v>315.75</v>
      </c>
      <c r="F16" s="86" t="inlineStr">
        <is>
          <t>CNY</t>
        </is>
      </c>
      <c r="G16" s="91" t="n">
        <v>4</v>
      </c>
      <c r="H16" s="88">
        <f>E16*G16*IF(F16="USD",Compare!$B$8,IF(F16="CNY",Compare!$B$9,IF(F16="HKD",Compare!$B$10,1)))</f>
        <v/>
      </c>
      <c r="I16" s="85" t="n">
        <v>548</v>
      </c>
      <c r="J16" s="91" t="n">
        <v>4</v>
      </c>
      <c r="K16" s="88">
        <f>I16*J16*IF(F16="USD",Compare!$B$8,IF(F16="CNY",Compare!$B$9,IF(F16="HKD",Compare!$B$10,1)))</f>
        <v/>
      </c>
      <c r="L16" s="90" t="inlineStr">
        <is>
          <t>Trip.com 1 Oct: ¥1,263 (3 ppl, Family Room) / ¥2,192 (4 ppl, 2 twin rooms) for 4 nights; rated 9.9 (70 reviews, new). Was CitiGO ¥1,630 / ¥2,576 on Booking.com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East ↔ Cangqian (~30 km), both ways</t>
        </is>
      </c>
      <c r="C21" s="83" t="inlineStr">
        <is>
          <t>25 &amp; 29 Jan</t>
        </is>
      </c>
      <c r="D21" s="81" t="n"/>
      <c r="E21" s="92" t="n">
        <v>100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90" t="inlineStr">
        <is>
          <t>ASSUMPTION ~100 CNY per car per trip (4 ppl: may need XL car)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Trains sell out – buy the moment sales open (~15 days ahead) or use the Fly variant.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Hangzhou</t>
        </is>
      </c>
      <c r="C48" s="74" t="inlineStr">
        <is>
          <t>MIAT OM223 UB 08:15 → Beijing 10:30; to Beijing South; afternoon G-train to Hangzhou East (~5–6 h); taxi to hotel.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Home</t>
        </is>
      </c>
      <c r="C52" s="74" t="inlineStr">
        <is>
          <t>Air China through ticket Hangzhou 08:00 → Beijing Capital 10:20 (exit immigration) → Beijing 12:55 → UB 15:05. Home the same day.</t>
        </is>
      </c>
    </row>
    <row r="53" ht="15" customHeight="1" s="56">
      <c r="A53" s="74" t="n"/>
      <c r="B53" s="74" t="n"/>
      <c r="C53" s="74" t="n"/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South</t>
        </is>
      </c>
      <c r="C60" s="82" t="inlineStr">
        <is>
          <t>Taxi (~35 km) / Airport Express + metro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South → Hangzhou East</t>
        </is>
      </c>
      <c r="C61" s="82" t="inlineStr">
        <is>
          <t>G-train 2nd class</t>
        </is>
      </c>
      <c r="D61" s="84" t="n">
        <v>0.2291666666666667</v>
      </c>
      <c r="E61" s="106" t="inlineStr">
        <is>
          <t>~13:00 → ~18:30; fastest trains 4 h 37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25 Jan</t>
        </is>
      </c>
      <c r="B62" s="105" t="inlineStr">
        <is>
          <t>Hangzhou East → hotel (Cangqian)</t>
        </is>
      </c>
      <c r="C62" s="82" t="inlineStr">
        <is>
          <t>Taxi (~30 km)</t>
        </is>
      </c>
      <c r="D62" s="104" t="n">
        <v>0.03125</v>
      </c>
      <c r="E62" s="106" t="inlineStr">
        <is>
          <t>Metro ~1 h 10 min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~20 min walk (1.6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HGH</t>
        </is>
      </c>
      <c r="C64" s="82" t="inlineStr">
        <is>
          <t>Taxi (~55 km)</t>
        </is>
      </c>
      <c r="D64" s="104" t="n">
        <v>0.04166666666666666</v>
      </c>
      <c r="E64" s="106" t="inlineStr">
        <is>
          <t>Leave ~05:30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HGH check-in &amp; security</t>
        </is>
      </c>
      <c r="C65" s="82" t="inlineStr">
        <is>
          <t>—</t>
        </is>
      </c>
      <c r="D65" s="84" t="n">
        <v>0.0625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Hangzhou → Beijing Capital (PEK)</t>
        </is>
      </c>
      <c r="C66" s="82" t="inlineStr">
        <is>
          <t>Air China 08:00–10:20</t>
        </is>
      </c>
      <c r="D66" s="104" t="n">
        <v>0.09722222222222222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PEK: domestic-to-international transfer, exit immigration</t>
        </is>
      </c>
      <c r="C67" s="82" t="inlineStr">
        <is>
          <t>—</t>
        </is>
      </c>
      <c r="D67" s="104" t="n">
        <v>0.1076388888888889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29 Jan</t>
        </is>
      </c>
      <c r="B68" s="105" t="inlineStr">
        <is>
          <t>Beijing Capital → Ulaanbaatar</t>
        </is>
      </c>
      <c r="C68" s="82" t="inlineStr">
        <is>
          <t>Air China 12:55–15:05</t>
        </is>
      </c>
      <c r="D68" s="84" t="n">
        <v>0.09027777777777778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29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Out: Aero Mongolia UB → Hohhot + Xiamen Airlines Hohhot → Hangzhou (separate tickets). Back: Air China through ticket via Beijing (home 29 Jan). Hotel ~1.7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Aero Mongolia Ulaanbaatar 06:30 → Hohhot (HET) 08:00, nonstop</t>
        </is>
      </c>
      <c r="C10" s="83" t="inlineStr">
        <is>
          <t>25 Jan</t>
        </is>
      </c>
      <c r="D10" s="84" t="n">
        <v>0.0625</v>
      </c>
      <c r="E10" s="85" t="n">
        <v>892</v>
      </c>
      <c r="F10" s="86" t="inlineStr">
        <is>
          <t>CNY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¥892 pp (bag shown as included – confirm). Self-transfer at Hohhot. Together with row 11: ¥2,752 pp vs ¥3,265 for the Air China through ticket via Beijing (the backup)</t>
        </is>
      </c>
    </row>
    <row r="11" ht="43.25" customHeight="1" s="56">
      <c r="A11" s="81" t="n"/>
      <c r="B11" s="82" t="inlineStr">
        <is>
          <t>Xiamen Airlines Hohhot (HET) 11:15 → Hangzhou (HGH) 13:40, nonstop</t>
        </is>
      </c>
      <c r="C11" s="83" t="inlineStr">
        <is>
          <t>25 Jan</t>
        </is>
      </c>
      <c r="D11" s="84" t="n">
        <v>0.1006944444444444</v>
      </c>
      <c r="E11" s="85" t="n">
        <v>1860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¥1,860 pp. 3 h 15 min to clear immigration and re-check bags at HET. Air China 19:40 (lands 22:20) is ¥1,710</t>
        </is>
      </c>
    </row>
    <row r="12" ht="43.25" customHeight="1" s="56">
      <c r="A12" s="81" t="n"/>
      <c r="B12" s="82" t="inlineStr">
        <is>
          <t>Air China through ticket Hangzhou 08:00 → Beijing Capital (2 h 35 min transfer) → Ulaanbaatar 15:05, bags checked through</t>
        </is>
      </c>
      <c r="C12" s="83" t="inlineStr">
        <is>
          <t>29 Jan</t>
        </is>
      </c>
      <c r="D12" s="84" t="n">
        <v>0.1875</v>
      </c>
      <c r="E12" s="85" t="n">
        <v>2250</v>
      </c>
      <c r="F12" s="86" t="inlineStr">
        <is>
          <t>CNY</t>
        </is>
      </c>
      <c r="G12" s="87">
        <f>Compare!$B$6</f>
        <v/>
      </c>
      <c r="H12" s="88">
        <f>E12*G12*IF(F12="USD",Compare!$B$8,IF(F12="CNY",Compare!$B$9,IF(F12="HKD",Compare!$B$10,1)))</f>
        <v/>
      </c>
      <c r="I12" s="89">
        <f>E12</f>
        <v/>
      </c>
      <c r="J12" s="87">
        <f>Compare!$B$7</f>
        <v/>
      </c>
      <c r="K12" s="88">
        <f>I12*J12*IF(F12="USD",Compare!$B$8,IF(F12="CNY",Compare!$B$9,IF(F12="HKD",Compare!$B$10,1)))</f>
        <v/>
      </c>
      <c r="L12" s="90" t="inlineStr">
        <is>
          <t>Trip.com 1 Oct: ¥2,250 pp (same price for 07:00 and 09:00 departures). Replaces Hangzhou→Beijing ¥1,809 + a Beijing hotel night + MIAT on 30 Jan $219 (~¥3,280 pp + hotel)</t>
        </is>
      </c>
    </row>
    <row r="13" ht="26.85" customHeight="1" s="56">
      <c r="A13" s="81" t="n"/>
      <c r="B13" s="82" t="n"/>
      <c r="C13" s="83" t="n"/>
      <c r="D13" s="84" t="n"/>
      <c r="E13" s="85" t="n"/>
      <c r="F13" s="86" t="n"/>
      <c r="G13" s="87" t="n"/>
      <c r="H13" s="88" t="n"/>
      <c r="I13" s="89" t="n"/>
      <c r="J13" s="87" t="n"/>
      <c r="K13" s="88" t="n"/>
      <c r="L13" s="90" t="n"/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Mehood Theater Hotel, Future Sci-Tech City (~1.7 km to HZNU Cangqian; 3 ppl Family Room; 4 ppl 2 rooms)</t>
        </is>
      </c>
      <c r="C15" s="83" t="inlineStr">
        <is>
          <t>25–29 Jan (4 nights)</t>
        </is>
      </c>
      <c r="D15" s="81" t="n"/>
      <c r="E15" s="85" t="n">
        <v>450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712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Trip.com 1 Oct: ¥1,800 (3 ppl, Family Room) / ¥2,848 (4 ppl, 2 double rooms) for 4 nights; rated 9.6 (2,037 reviews). Was Atour S ¥2,141 / ¥3,379 on Booking.com</t>
        </is>
      </c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Out via Hohhot: Aero Mongolia's early flight + a nonstop Xiamen Airlines flight land in Hangzhou at 13:40 for ¥2,752 pp, ¥513 less than the Air China through ticket via Beijing (lands 18:45). Back: Air China through ticket, home on 29 Jan.</t>
        </is>
      </c>
    </row>
    <row r="43" ht="30" customHeight="1" s="56">
      <c r="A43" s="75" t="inlineStr">
        <is>
          <t>Buying tickets</t>
        </is>
      </c>
      <c r="B43" s="74" t="inlineStr">
        <is>
          <t>Book on Trip.com as soon as the EC Final slot is confirmed. The outbound is two separate tickets: if Aero Mongolia is late the domestic ticket is not protected (fallback: Air China 19:40 HET → HGH). Late January is the Spring Festival rush; re-check fares about 40 days ahead.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Aero Mongolia UB 06:30 → Hohhot 08:00 (immigration, collect bags, re-check) → Xiamen Airlines 11:15 → Hangzhou 13:40.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Home</t>
        </is>
      </c>
      <c r="C51" s="74" t="inlineStr">
        <is>
          <t>Air China through ticket Hangzhou 08:00 → Beijing Capital 10:20 (exit immigration) → Beijing 12:55 → UB 15:05. Home the same day.</t>
        </is>
      </c>
    </row>
    <row r="52" ht="15" customHeight="1" s="56">
      <c r="A52" s="74" t="n"/>
      <c r="B52" s="74" t="n"/>
      <c r="C52" s="74" t="n"/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~03:30 for the 06:30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Hohhot (HET)</t>
        </is>
      </c>
      <c r="C57" s="82" t="inlineStr">
        <is>
          <t>Aero Mongolia 06:30–08:00</t>
        </is>
      </c>
      <c r="D57" s="84" t="n">
        <v>0.0625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HET: immigration, collect bags, check in for the domestic flight</t>
        </is>
      </c>
      <c r="C58" s="82" t="inlineStr">
        <is>
          <t>—</t>
        </is>
      </c>
      <c r="D58" s="104" t="n">
        <v>0.1354166666666667</v>
      </c>
      <c r="E58" s="106" t="inlineStr">
        <is>
          <t>Self-transfer on separate tickets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Hohhot → Hangzhou (HGH)</t>
        </is>
      </c>
      <c r="C59" s="82" t="inlineStr">
        <is>
          <t>Xiamen Airlines 11:15–13:40</t>
        </is>
      </c>
      <c r="D59" s="104" t="n">
        <v>0.1006944444444444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HGH → hotel (Cangqian)</t>
        </is>
      </c>
      <c r="C60" s="82" t="inlineStr">
        <is>
          <t>Taxi (~55 km)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26–28 Jan</t>
        </is>
      </c>
      <c r="B61" s="105" t="inlineStr">
        <is>
          <t>Hotel ↔ HZNU Cangqian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~20 min walk (1.7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29 Jan</t>
        </is>
      </c>
      <c r="B62" s="105" t="inlineStr">
        <is>
          <t>Hotel → HGH</t>
        </is>
      </c>
      <c r="C62" s="82" t="inlineStr">
        <is>
          <t>Taxi</t>
        </is>
      </c>
      <c r="D62" s="110" t="n">
        <v>0.04166666666666666</v>
      </c>
      <c r="E62" s="106" t="inlineStr">
        <is>
          <t>Leave ~05:30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HGH check-in &amp; security</t>
        </is>
      </c>
      <c r="C63" s="82" t="inlineStr">
        <is>
          <t>—</t>
        </is>
      </c>
      <c r="D63" s="104" t="n">
        <v>0.0625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Hangzhou → Beijing Capital (PEK)</t>
        </is>
      </c>
      <c r="C64" s="82" t="inlineStr">
        <is>
          <t>Air China 08:00–10:20</t>
        </is>
      </c>
      <c r="D64" s="104" t="n">
        <v>0.09722222222222222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PEK: domestic-to-international transfer, exit immigration</t>
        </is>
      </c>
      <c r="C65" s="82" t="inlineStr">
        <is>
          <t>—</t>
        </is>
      </c>
      <c r="D65" s="104" t="n">
        <v>0.1076388888888889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Capital → Ulaanbaatar</t>
        </is>
      </c>
      <c r="C66" s="82" t="inlineStr">
        <is>
          <t>Air China 12:55–15:05</t>
        </is>
      </c>
      <c r="D66" s="10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n"/>
      <c r="B68" s="105" t="n"/>
      <c r="C68" s="82" t="n"/>
      <c r="D68" s="8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n"/>
      <c r="B69" s="105" t="n"/>
      <c r="C69" s="82" t="n"/>
      <c r="D69" s="104" t="n"/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2026-10-01T05:48:18Z</dcterms:modified>
  <cp:revision>0</cp:revision>
</cp:coreProperties>
</file>