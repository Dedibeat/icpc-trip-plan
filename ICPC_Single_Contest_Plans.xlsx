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ompare" sheetId="1" state="visible" r:id="rId1"/>
    <sheet name="Sleep check" sheetId="2" state="visible" r:id="rId2"/>
    <sheet name="Shenyang – Budget" sheetId="3" state="visible" r:id="rId3"/>
    <sheet name="Shenyang – Comfort" sheetId="4" state="visible" r:id="rId4"/>
    <sheet name="Shenyang – Budget (G-train)" sheetId="5" state="visible" r:id="rId5"/>
    <sheet name="Shenyang – Comfort (G-train)" sheetId="6" state="visible" r:id="rId6"/>
    <sheet name="Shenyang – Sleep first" sheetId="7" state="visible" r:id="rId7"/>
    <sheet name="Shenyang – Sleep value" sheetId="8" state="visible" r:id="rId8"/>
    <sheet name="Shenyang – Overland home" sheetId="9" state="visible" r:id="rId9"/>
    <sheet name="Shenyang – Overland out (seats)" sheetId="10" state="visible" r:id="rId10"/>
    <sheet name="Shenyang – Overland out, berths" sheetId="11" state="visible" r:id="rId11"/>
    <sheet name="Shenyang – Manzhouli seats" sheetId="12" state="visible" r:id="rId12"/>
    <sheet name="Shenyang – Hunnu Daxing + K341" sheetId="13" state="visible" r:id="rId13"/>
    <sheet name="Shenyang – MIAT 13 Nov + K341" sheetId="14" state="visible" r:id="rId14"/>
    <sheet name="Shenyang – Hunnu Erenhot" sheetId="15" state="visible" r:id="rId15"/>
    <sheet name="Shenyang – Hohhot red-eye" sheetId="16" state="visible" r:id="rId16"/>
    <sheet name="Shenyang – Hohhot + Spring" sheetId="17" state="visible" r:id="rId17"/>
    <sheet name="Shenyang – Way out" sheetId="18" state="visible" r:id="rId18"/>
    <sheet name="Shanghai – Sleeper" sheetId="19" state="visible" r:id="rId19"/>
    <sheet name="Shanghai – Spring nonstop" sheetId="20" state="visible" r:id="rId20"/>
    <sheet name="Shanghai – Nonstop cheap rooms" sheetId="21" state="visible" r:id="rId21"/>
    <sheet name="Shanghai – Fly out, train home" sheetId="22" state="visible" r:id="rId22"/>
    <sheet name="Shanghai – Train (no sleeper)" sheetId="23" state="visible" r:id="rId23"/>
    <sheet name="Nanchang – Sleeper" sheetId="24" state="visible" r:id="rId24"/>
    <sheet name="Nanchang – Comfort" sheetId="25" state="visible" r:id="rId25"/>
    <sheet name="Nanchang – Fly in (Air China)" sheetId="26" state="visible" r:id="rId26"/>
    <sheet name="Hong Kong – Budget" sheetId="27" state="visible" r:id="rId27"/>
    <sheet name="Hong Kong – Comfort" sheetId="28" state="visible" r:id="rId28"/>
    <sheet name="Hong Kong – Value" sheetId="29" state="visible" r:id="rId29"/>
    <sheet name="Hong Kong – Sleep first" sheetId="30" state="visible" r:id="rId30"/>
    <sheet name="Hong Kong – Funded 12M" sheetId="31" state="visible" r:id="rId31"/>
    <sheet name="Hong Kong – Sleep priority" sheetId="32" state="visible" r:id="rId32"/>
    <sheet name="EC Final Hangzhou – Train" sheetId="33" state="visible" r:id="rId33"/>
    <sheet name="EC Final Hangzhou – Fly" sheetId="34" state="visible" r:id="rId34"/>
  </sheets>
  <definedNames/>
  <calcPr calcId="124519" fullCalcOnLoad="1" refMode="A1" iterate="0" iterateCount="100" iterateDelta="0.0001"/>
</workbook>
</file>

<file path=xl/styles.xml><?xml version="1.0" encoding="utf-8"?>
<styleSheet xmlns="http://schemas.openxmlformats.org/spreadsheetml/2006/main">
  <numFmts count="5">
    <numFmt numFmtId="164" formatCode="#,##0&quot; ₮&quot;;\(#,##0&quot; ₮)&quot;;\-"/>
    <numFmt numFmtId="165" formatCode="[h]&quot; h &quot;mm&quot; min&quot;"/>
    <numFmt numFmtId="166" formatCode="#,##0.00;\(#,##0.00\);\-"/>
    <numFmt numFmtId="167" formatCode="0.#"/>
    <numFmt numFmtId="168" formatCode="[hh]:mm:ss"/>
  </numFmts>
  <fonts count="16">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i val="1"/>
      <color rgb="FF595959"/>
      <sz val="11"/>
    </font>
    <font>
      <name val="Arial"/>
      <charset val="1"/>
      <family val="0"/>
      <b val="1"/>
      <sz val="11"/>
    </font>
    <font>
      <name val="Arial"/>
      <charset val="1"/>
      <family val="0"/>
      <sz val="11"/>
    </font>
    <font>
      <name val="Arial"/>
      <charset val="1"/>
      <family val="0"/>
      <color rgb="FF0000FF"/>
      <sz val="11"/>
    </font>
    <font>
      <name val="Arial"/>
      <charset val="1"/>
      <family val="0"/>
      <b val="1"/>
      <color rgb="FFFFFFFF"/>
      <sz val="11"/>
    </font>
    <font>
      <name val="Arial"/>
      <charset val="1"/>
      <family val="0"/>
      <color rgb="FF008000"/>
      <sz val="11"/>
    </font>
    <font>
      <name val="Arial"/>
      <charset val="1"/>
      <family val="0"/>
      <b val="1"/>
      <sz val="12"/>
    </font>
    <font>
      <name val="Arial"/>
      <charset val="1"/>
      <family val="0"/>
      <color rgb="FF595959"/>
      <sz val="9"/>
    </font>
    <font>
      <b val="1"/>
      <sz val="13"/>
    </font>
    <font>
      <b val="1"/>
      <color rgb="00FFFFFF"/>
    </font>
    <font>
      <b val="1"/>
    </font>
  </fonts>
  <fills count="13">
    <fill>
      <patternFill/>
    </fill>
    <fill>
      <patternFill patternType="gray125"/>
    </fill>
    <fill>
      <patternFill patternType="solid">
        <fgColor rgb="FFFFFF00"/>
        <bgColor rgb="FFFFFF00"/>
      </patternFill>
    </fill>
    <fill>
      <patternFill patternType="solid">
        <fgColor rgb="FF1F3864"/>
        <bgColor rgb="FF333333"/>
      </patternFill>
    </fill>
    <fill>
      <patternFill patternType="solid">
        <fgColor rgb="FFDDEBF7"/>
        <bgColor rgb="FFD9E1F2"/>
      </patternFill>
    </fill>
    <fill>
      <patternFill patternType="solid">
        <fgColor rgb="FFFCE4D6"/>
        <bgColor rgb="FFE2EFDA"/>
      </patternFill>
    </fill>
    <fill>
      <patternFill patternType="solid">
        <fgColor rgb="FFE2EFDA"/>
        <bgColor rgb="FFDDEBF7"/>
      </patternFill>
    </fill>
    <fill>
      <patternFill patternType="solid">
        <fgColor rgb="FFD9E1F2"/>
        <bgColor rgb="FFDDEBF7"/>
      </patternFill>
    </fill>
    <fill>
      <patternFill patternType="solid">
        <fgColor rgb="FFFFFF00"/>
      </patternFill>
    </fill>
    <fill>
      <patternFill patternType="solid">
        <fgColor rgb="001F3864"/>
      </patternFill>
    </fill>
    <fill>
      <patternFill patternType="solid">
        <fgColor rgb="00E2EFDA"/>
      </patternFill>
    </fill>
    <fill>
      <patternFill patternType="solid">
        <fgColor rgb="00FCE4D6"/>
      </patternFill>
    </fill>
    <fill>
      <patternFill patternType="solid">
        <fgColor rgb="00FFF2CC"/>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diagonal/>
    </border>
    <border>
      <left/>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25">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164" fontId="8" fillId="2" borderId="1" applyAlignment="1" pivotButton="0" quotePrefix="0" xfId="0">
      <alignment horizontal="general" vertical="bottom"/>
    </xf>
    <xf numFmtId="0" fontId="5" fillId="0" borderId="0" applyAlignment="1" pivotButton="0" quotePrefix="0" xfId="0">
      <alignment horizontal="general" vertical="bottom"/>
    </xf>
    <xf numFmtId="1" fontId="8" fillId="2" borderId="1" applyAlignment="1" pivotButton="0" quotePrefix="0" xfId="0">
      <alignment horizontal="general" vertical="bottom"/>
    </xf>
    <xf numFmtId="3" fontId="8" fillId="2" borderId="1" applyAlignment="1" pivotButton="0" quotePrefix="0" xfId="0">
      <alignment horizontal="general" vertical="bottom"/>
    </xf>
    <xf numFmtId="9" fontId="8" fillId="2" borderId="1" applyAlignment="1" pivotButton="0" quotePrefix="0" xfId="0">
      <alignment horizontal="general" vertical="bottom"/>
    </xf>
    <xf numFmtId="0" fontId="9" fillId="3" borderId="0" applyAlignment="1" pivotButton="0" quotePrefix="0" xfId="0">
      <alignment horizontal="general" vertical="center" wrapText="1"/>
    </xf>
    <xf numFmtId="0" fontId="6" fillId="0" borderId="1" applyAlignment="1" pivotButton="0" quotePrefix="0" xfId="0">
      <alignment horizontal="general" vertical="bottom"/>
    </xf>
    <xf numFmtId="164" fontId="10" fillId="4" borderId="1" applyAlignment="1" pivotButton="0" quotePrefix="0" xfId="0">
      <alignment horizontal="general" vertical="bottom"/>
    </xf>
    <xf numFmtId="164" fontId="10" fillId="5" borderId="1" applyAlignment="1" pivotButton="0" quotePrefix="0" xfId="0">
      <alignment horizontal="general" vertical="bottom"/>
    </xf>
    <xf numFmtId="164" fontId="10" fillId="6" borderId="1" applyAlignment="1" pivotButton="0" quotePrefix="0" xfId="0">
      <alignment horizontal="general" vertical="bottom"/>
    </xf>
    <xf numFmtId="165" fontId="10" fillId="0" borderId="1" applyAlignment="1" pivotButton="0" quotePrefix="0" xfId="0">
      <alignment horizontal="general" vertical="bottom"/>
    </xf>
    <xf numFmtId="0" fontId="11" fillId="0" borderId="0" applyAlignment="1" pivotButton="0" quotePrefix="0" xfId="0">
      <alignment horizontal="general" vertical="bottom"/>
    </xf>
    <xf numFmtId="0" fontId="6" fillId="6" borderId="0" applyAlignment="1" pivotButton="0" quotePrefix="0" xfId="0">
      <alignment horizontal="general" vertical="top" wrapText="1"/>
    </xf>
    <xf numFmtId="0" fontId="7" fillId="0" borderId="0" applyAlignment="1" pivotButton="0" quotePrefix="0" xfId="0">
      <alignment horizontal="general" vertical="top" wrapText="1"/>
    </xf>
    <xf numFmtId="0" fontId="6" fillId="0" borderId="0" applyAlignment="1" pivotButton="0" quotePrefix="0" xfId="0">
      <alignment horizontal="general" vertical="top" wrapText="1"/>
    </xf>
    <xf numFmtId="0" fontId="8" fillId="2" borderId="1" applyAlignment="1" pivotButton="0" quotePrefix="0" xfId="0">
      <alignment horizontal="general" vertical="bottom"/>
    </xf>
    <xf numFmtId="0" fontId="6" fillId="4" borderId="0" applyAlignment="1" pivotButton="0" quotePrefix="0" xfId="0">
      <alignment horizontal="general" vertical="bottom"/>
    </xf>
    <xf numFmtId="0" fontId="0" fillId="4" borderId="0" applyAlignment="1" pivotButton="0" quotePrefix="0" xfId="0">
      <alignment horizontal="general" vertical="bottom"/>
    </xf>
    <xf numFmtId="0" fontId="6" fillId="7" borderId="0" applyAlignment="1" pivotButton="0" quotePrefix="0" xfId="0">
      <alignment horizontal="general" vertical="bottom"/>
    </xf>
    <xf numFmtId="0" fontId="0" fillId="7" borderId="0" applyAlignment="1" pivotButton="0" quotePrefix="0" xfId="0">
      <alignment horizontal="general" vertical="bottom"/>
    </xf>
    <xf numFmtId="0" fontId="0" fillId="0" borderId="1" applyAlignment="1" pivotButton="0" quotePrefix="0" xfId="0">
      <alignment horizontal="general" vertical="bottom"/>
    </xf>
    <xf numFmtId="0" fontId="7" fillId="0" borderId="1" applyAlignment="1" pivotButton="0" quotePrefix="0" xfId="0">
      <alignment horizontal="general" vertical="bottom" wrapText="1"/>
    </xf>
    <xf numFmtId="0" fontId="7" fillId="0" borderId="1" applyAlignment="1" pivotButton="0" quotePrefix="0" xfId="0">
      <alignment horizontal="general" vertical="bottom"/>
    </xf>
    <xf numFmtId="165" fontId="8" fillId="0" borderId="1" applyAlignment="1" pivotButton="0" quotePrefix="0" xfId="0">
      <alignment horizontal="general" vertical="bottom"/>
    </xf>
    <xf numFmtId="166" fontId="8" fillId="0" borderId="1" applyAlignment="1" pivotButton="0" quotePrefix="0" xfId="0">
      <alignment horizontal="general" vertical="bottom"/>
    </xf>
    <xf numFmtId="0" fontId="8" fillId="0" borderId="1" applyAlignment="1" pivotButton="0" quotePrefix="0" xfId="0">
      <alignment horizontal="general" vertical="bottom"/>
    </xf>
    <xf numFmtId="167" fontId="10" fillId="0" borderId="1" applyAlignment="1" pivotButton="0" quotePrefix="0" xfId="0">
      <alignment horizontal="general" vertical="bottom"/>
    </xf>
    <xf numFmtId="164" fontId="0" fillId="0" borderId="1" applyAlignment="1" pivotButton="0" quotePrefix="0" xfId="0">
      <alignment horizontal="general" vertical="bottom"/>
    </xf>
    <xf numFmtId="166" fontId="7" fillId="0" borderId="1" applyAlignment="1" pivotButton="0" quotePrefix="0" xfId="0">
      <alignment horizontal="general" vertical="bottom"/>
    </xf>
    <xf numFmtId="0" fontId="12" fillId="0" borderId="1" applyAlignment="1" pivotButton="0" quotePrefix="0" xfId="0">
      <alignment horizontal="general" vertical="bottom" wrapText="1"/>
    </xf>
    <xf numFmtId="167" fontId="8" fillId="0" borderId="1" applyAlignment="1" pivotButton="0" quotePrefix="0" xfId="0">
      <alignment horizontal="general" vertical="bottom"/>
    </xf>
    <xf numFmtId="166" fontId="8" fillId="2" borderId="1" applyAlignment="1" pivotButton="0" quotePrefix="0" xfId="0">
      <alignment horizontal="general" vertical="bottom"/>
    </xf>
    <xf numFmtId="166" fontId="7" fillId="2" borderId="1" applyAlignment="1" pivotButton="0" quotePrefix="0" xfId="0">
      <alignment horizontal="general" vertical="bottom"/>
    </xf>
    <xf numFmtId="0" fontId="6" fillId="5" borderId="0" applyAlignment="1" pivotButton="0" quotePrefix="0" xfId="0">
      <alignment horizontal="general" vertical="bottom"/>
    </xf>
    <xf numFmtId="0" fontId="0" fillId="5" borderId="0" applyAlignment="1" pivotButton="0" quotePrefix="0" xfId="0">
      <alignment horizontal="general" vertical="bottom"/>
    </xf>
    <xf numFmtId="0" fontId="9" fillId="3" borderId="0" applyAlignment="1" pivotButton="0" quotePrefix="0" xfId="0">
      <alignment horizontal="general" vertical="bottom"/>
    </xf>
    <xf numFmtId="0" fontId="6" fillId="0" borderId="0" applyAlignment="1" pivotButton="0" quotePrefix="0" xfId="0">
      <alignment horizontal="right" vertical="bottom"/>
    </xf>
    <xf numFmtId="164" fontId="6" fillId="4" borderId="1" applyAlignment="1" pivotButton="0" quotePrefix="0" xfId="0">
      <alignment horizontal="general" vertical="bottom"/>
    </xf>
    <xf numFmtId="0" fontId="7" fillId="0" borderId="0" applyAlignment="1" pivotButton="0" quotePrefix="0" xfId="0">
      <alignment horizontal="right" vertical="bottom"/>
    </xf>
    <xf numFmtId="164" fontId="7" fillId="4" borderId="1" applyAlignment="1" pivotButton="0" quotePrefix="0" xfId="0">
      <alignment horizontal="general" vertical="bottom"/>
    </xf>
    <xf numFmtId="164" fontId="6" fillId="0" borderId="1" applyAlignment="1" pivotButton="0" quotePrefix="0" xfId="0">
      <alignment horizontal="general" vertical="bottom"/>
    </xf>
    <xf numFmtId="164" fontId="6" fillId="5" borderId="1" applyAlignment="1" pivotButton="0" quotePrefix="0" xfId="0">
      <alignment horizontal="general" vertical="bottom"/>
    </xf>
    <xf numFmtId="164" fontId="6" fillId="6" borderId="1" applyAlignment="1" pivotButton="0" quotePrefix="0" xfId="0">
      <alignment horizontal="general" vertical="bottom"/>
    </xf>
    <xf numFmtId="165" fontId="7" fillId="0" borderId="1" applyAlignment="1" pivotButton="0" quotePrefix="0" xfId="0">
      <alignment horizontal="general" vertical="bottom"/>
    </xf>
    <xf numFmtId="0" fontId="9" fillId="3" borderId="0" applyAlignment="1" pivotButton="0" quotePrefix="0" xfId="0">
      <alignment horizontal="general" vertical="bottom"/>
    </xf>
    <xf numFmtId="0" fontId="7" fillId="0" borderId="0" applyAlignment="1" pivotButton="0" quotePrefix="0" xfId="0">
      <alignment horizontal="general" vertical="top" wrapText="1"/>
    </xf>
    <xf numFmtId="0" fontId="7" fillId="0" borderId="1" applyAlignment="1" pivotButton="0" quotePrefix="0" xfId="0">
      <alignment horizontal="general" vertical="top" wrapText="1"/>
    </xf>
    <xf numFmtId="0" fontId="12" fillId="0" borderId="2" applyAlignment="1" pivotButton="0" quotePrefix="0" xfId="0">
      <alignment horizontal="general" vertical="bottom"/>
    </xf>
    <xf numFmtId="0" fontId="5" fillId="0" borderId="1" applyAlignment="1" pivotButton="0" quotePrefix="0" xfId="0">
      <alignment horizontal="general" vertical="bottom"/>
    </xf>
    <xf numFmtId="165" fontId="6" fillId="6"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164" fontId="8" fillId="2" borderId="1" applyAlignment="1" pivotButton="0" quotePrefix="0" xfId="0">
      <alignment horizontal="general" vertical="bottom"/>
    </xf>
    <xf numFmtId="0" fontId="5" fillId="0" borderId="0" applyAlignment="1" pivotButton="0" quotePrefix="0" xfId="0">
      <alignment horizontal="general" vertical="bottom"/>
    </xf>
    <xf numFmtId="1" fontId="8" fillId="2" borderId="1" applyAlignment="1" pivotButton="0" quotePrefix="0" xfId="0">
      <alignment horizontal="general" vertical="bottom"/>
    </xf>
    <xf numFmtId="3" fontId="8" fillId="2" borderId="1" applyAlignment="1" pivotButton="0" quotePrefix="0" xfId="0">
      <alignment horizontal="general" vertical="bottom"/>
    </xf>
    <xf numFmtId="9" fontId="8" fillId="2" borderId="1" applyAlignment="1" pivotButton="0" quotePrefix="0" xfId="0">
      <alignment horizontal="general" vertical="bottom"/>
    </xf>
    <xf numFmtId="0" fontId="9" fillId="3" borderId="0" applyAlignment="1" pivotButton="0" quotePrefix="0" xfId="0">
      <alignment horizontal="general" vertical="center" wrapText="1"/>
    </xf>
    <xf numFmtId="0" fontId="6" fillId="0" borderId="1" applyAlignment="1" pivotButton="0" quotePrefix="0" xfId="0">
      <alignment horizontal="general" vertical="bottom"/>
    </xf>
    <xf numFmtId="164" fontId="10" fillId="4" borderId="1" applyAlignment="1" pivotButton="0" quotePrefix="0" xfId="0">
      <alignment horizontal="general" vertical="bottom"/>
    </xf>
    <xf numFmtId="164" fontId="10" fillId="5" borderId="1" applyAlignment="1" pivotButton="0" quotePrefix="0" xfId="0">
      <alignment horizontal="general" vertical="bottom"/>
    </xf>
    <xf numFmtId="164" fontId="10" fillId="6" borderId="1" applyAlignment="1" pivotButton="0" quotePrefix="0" xfId="0">
      <alignment horizontal="general" vertical="bottom"/>
    </xf>
    <xf numFmtId="165" fontId="10" fillId="0" borderId="1" applyAlignment="1" pivotButton="0" quotePrefix="0" xfId="0">
      <alignment horizontal="general" vertical="bottom"/>
    </xf>
    <xf numFmtId="0" fontId="11" fillId="0" borderId="0" applyAlignment="1" pivotButton="0" quotePrefix="0" xfId="0">
      <alignment horizontal="general" vertical="bottom"/>
    </xf>
    <xf numFmtId="0" fontId="6" fillId="6" borderId="0" applyAlignment="1" pivotButton="0" quotePrefix="0" xfId="0">
      <alignment horizontal="general" vertical="top" wrapText="1"/>
    </xf>
    <xf numFmtId="0" fontId="7" fillId="0" borderId="0" applyAlignment="1" pivotButton="0" quotePrefix="0" xfId="0">
      <alignment horizontal="general" vertical="top" wrapText="1"/>
    </xf>
    <xf numFmtId="0" fontId="6" fillId="0" borderId="0" applyAlignment="1" pivotButton="0" quotePrefix="0" xfId="0">
      <alignment horizontal="general" vertical="top" wrapText="1"/>
    </xf>
    <xf numFmtId="0" fontId="8" fillId="2" borderId="1" applyAlignment="1" pivotButton="0" quotePrefix="0" xfId="0">
      <alignment horizontal="general" vertical="bottom"/>
    </xf>
    <xf numFmtId="0" fontId="6" fillId="4" borderId="0" applyAlignment="1" pivotButton="0" quotePrefix="0" xfId="0">
      <alignment horizontal="general" vertical="bottom"/>
    </xf>
    <xf numFmtId="0" fontId="0" fillId="4" borderId="0" applyAlignment="1" pivotButton="0" quotePrefix="0" xfId="0">
      <alignment horizontal="general" vertical="bottom"/>
    </xf>
    <xf numFmtId="0" fontId="6" fillId="7" borderId="0" applyAlignment="1" pivotButton="0" quotePrefix="0" xfId="0">
      <alignment horizontal="general" vertical="bottom"/>
    </xf>
    <xf numFmtId="0" fontId="0" fillId="7" borderId="0" applyAlignment="1" pivotButton="0" quotePrefix="0" xfId="0">
      <alignment horizontal="general" vertical="bottom"/>
    </xf>
    <xf numFmtId="0" fontId="0" fillId="0" borderId="1" applyAlignment="1" pivotButton="0" quotePrefix="0" xfId="0">
      <alignment horizontal="general" vertical="bottom"/>
    </xf>
    <xf numFmtId="0" fontId="7" fillId="0" borderId="1" applyAlignment="1" pivotButton="0" quotePrefix="0" xfId="0">
      <alignment horizontal="general" vertical="bottom" wrapText="1"/>
    </xf>
    <xf numFmtId="0" fontId="7" fillId="0" borderId="1" applyAlignment="1" pivotButton="0" quotePrefix="0" xfId="0">
      <alignment horizontal="general" vertical="bottom"/>
    </xf>
    <xf numFmtId="165" fontId="8" fillId="0" borderId="1" applyAlignment="1" pivotButton="0" quotePrefix="0" xfId="0">
      <alignment horizontal="general" vertical="bottom"/>
    </xf>
    <xf numFmtId="166" fontId="8" fillId="0" borderId="1" applyAlignment="1" pivotButton="0" quotePrefix="0" xfId="0">
      <alignment horizontal="general" vertical="bottom"/>
    </xf>
    <xf numFmtId="0" fontId="8" fillId="0" borderId="1" applyAlignment="1" pivotButton="0" quotePrefix="0" xfId="0">
      <alignment horizontal="general" vertical="bottom"/>
    </xf>
    <xf numFmtId="167" fontId="10" fillId="0" borderId="1" applyAlignment="1" pivotButton="0" quotePrefix="0" xfId="0">
      <alignment horizontal="general" vertical="bottom"/>
    </xf>
    <xf numFmtId="164" fontId="0" fillId="0" borderId="1" applyAlignment="1" pivotButton="0" quotePrefix="0" xfId="0">
      <alignment horizontal="general" vertical="bottom"/>
    </xf>
    <xf numFmtId="166" fontId="7" fillId="0" borderId="1" applyAlignment="1" pivotButton="0" quotePrefix="0" xfId="0">
      <alignment horizontal="general" vertical="bottom"/>
    </xf>
    <xf numFmtId="0" fontId="12" fillId="0" borderId="1" applyAlignment="1" pivotButton="0" quotePrefix="0" xfId="0">
      <alignment horizontal="general" vertical="bottom" wrapText="1"/>
    </xf>
    <xf numFmtId="167" fontId="8" fillId="0" borderId="1" applyAlignment="1" pivotButton="0" quotePrefix="0" xfId="0">
      <alignment horizontal="general" vertical="bottom"/>
    </xf>
    <xf numFmtId="166" fontId="8" fillId="2" borderId="1" applyAlignment="1" pivotButton="0" quotePrefix="0" xfId="0">
      <alignment horizontal="general" vertical="bottom"/>
    </xf>
    <xf numFmtId="166" fontId="7" fillId="2" borderId="1" applyAlignment="1" pivotButton="0" quotePrefix="0" xfId="0">
      <alignment horizontal="general" vertical="bottom"/>
    </xf>
    <xf numFmtId="0" fontId="6" fillId="5" borderId="0" applyAlignment="1" pivotButton="0" quotePrefix="0" xfId="0">
      <alignment horizontal="general" vertical="bottom"/>
    </xf>
    <xf numFmtId="0" fontId="0" fillId="5" borderId="0" applyAlignment="1" pivotButton="0" quotePrefix="0" xfId="0">
      <alignment horizontal="general" vertical="bottom"/>
    </xf>
    <xf numFmtId="0" fontId="9" fillId="3" borderId="0" applyAlignment="1" pivotButton="0" quotePrefix="0" xfId="0">
      <alignment horizontal="general" vertical="bottom"/>
    </xf>
    <xf numFmtId="0" fontId="6" fillId="0" borderId="0" applyAlignment="1" pivotButton="0" quotePrefix="0" xfId="0">
      <alignment horizontal="right" vertical="bottom"/>
    </xf>
    <xf numFmtId="164" fontId="6" fillId="4" borderId="1" applyAlignment="1" pivotButton="0" quotePrefix="0" xfId="0">
      <alignment horizontal="general" vertical="bottom"/>
    </xf>
    <xf numFmtId="0" fontId="7" fillId="0" borderId="0" applyAlignment="1" pivotButton="0" quotePrefix="0" xfId="0">
      <alignment horizontal="right" vertical="bottom"/>
    </xf>
    <xf numFmtId="164" fontId="7" fillId="4" borderId="1" applyAlignment="1" pivotButton="0" quotePrefix="0" xfId="0">
      <alignment horizontal="general" vertical="bottom"/>
    </xf>
    <xf numFmtId="164" fontId="6" fillId="0" borderId="1" applyAlignment="1" pivotButton="0" quotePrefix="0" xfId="0">
      <alignment horizontal="general" vertical="bottom"/>
    </xf>
    <xf numFmtId="164" fontId="6" fillId="5" borderId="1" applyAlignment="1" pivotButton="0" quotePrefix="0" xfId="0">
      <alignment horizontal="general" vertical="bottom"/>
    </xf>
    <xf numFmtId="164" fontId="6" fillId="6" borderId="1" applyAlignment="1" pivotButton="0" quotePrefix="0" xfId="0">
      <alignment horizontal="general" vertical="bottom"/>
    </xf>
    <xf numFmtId="165" fontId="7" fillId="0" borderId="1" applyAlignment="1" pivotButton="0" quotePrefix="0" xfId="0">
      <alignment horizontal="general" vertical="bottom"/>
    </xf>
    <xf numFmtId="0" fontId="7" fillId="0" borderId="1" applyAlignment="1" pivotButton="0" quotePrefix="0" xfId="0">
      <alignment horizontal="general" vertical="top" wrapText="1"/>
    </xf>
    <xf numFmtId="0" fontId="12" fillId="0" borderId="2" applyAlignment="1" pivotButton="0" quotePrefix="0" xfId="0">
      <alignment horizontal="general" vertical="bottom"/>
    </xf>
    <xf numFmtId="0" fontId="0" fillId="0" borderId="4" pivotButton="0" quotePrefix="0" xfId="0"/>
    <xf numFmtId="0" fontId="5" fillId="0" borderId="1" applyAlignment="1" pivotButton="0" quotePrefix="0" xfId="0">
      <alignment horizontal="general" vertical="bottom"/>
    </xf>
    <xf numFmtId="165" fontId="6" fillId="6" borderId="0" applyAlignment="1" pivotButton="0" quotePrefix="0" xfId="0">
      <alignment horizontal="general" vertical="bottom"/>
    </xf>
    <xf numFmtId="168" fontId="5" fillId="0" borderId="1" applyAlignment="1" pivotButton="0" quotePrefix="0" xfId="0">
      <alignment horizontal="general" vertical="bottom"/>
    </xf>
    <xf numFmtId="0" fontId="7" fillId="0" borderId="1" applyAlignment="1" pivotButton="0" quotePrefix="0" xfId="0">
      <alignment vertical="top" wrapText="1"/>
    </xf>
    <xf numFmtId="0" fontId="12" fillId="0" borderId="1" applyAlignment="1" pivotButton="0" quotePrefix="0" xfId="0">
      <alignment vertical="top" wrapText="1"/>
    </xf>
    <xf numFmtId="166" fontId="8" fillId="8" borderId="1" applyAlignment="1" pivotButton="0" quotePrefix="0" xfId="0">
      <alignment horizontal="general" vertical="bottom"/>
    </xf>
    <xf numFmtId="166" fontId="7" fillId="8" borderId="1" applyAlignment="1" pivotButton="0" quotePrefix="0" xfId="0">
      <alignment horizontal="general" vertical="bottom"/>
    </xf>
    <xf numFmtId="0" fontId="13" fillId="0" borderId="0" pivotButton="0" quotePrefix="0" xfId="0"/>
    <xf numFmtId="0" fontId="0" fillId="0" borderId="0" applyAlignment="1" pivotButton="0" quotePrefix="0" xfId="0">
      <alignment vertical="top" wrapText="1"/>
    </xf>
    <xf numFmtId="0" fontId="14" fillId="9" borderId="0" applyAlignment="1" pivotButton="0" quotePrefix="0" xfId="0">
      <alignment vertical="top" wrapText="1"/>
    </xf>
    <xf numFmtId="0" fontId="15" fillId="0" borderId="0" applyAlignment="1" pivotButton="0" quotePrefix="0" xfId="0">
      <alignment vertical="top" wrapText="1"/>
    </xf>
    <xf numFmtId="0" fontId="15" fillId="10" borderId="0" applyAlignment="1" pivotButton="0" quotePrefix="0" xfId="0">
      <alignment vertical="top" wrapText="1"/>
    </xf>
    <xf numFmtId="0" fontId="15" fillId="11" borderId="0" applyAlignment="1" pivotButton="0" quotePrefix="0" xfId="0">
      <alignment vertical="top" wrapText="1"/>
    </xf>
    <xf numFmtId="0" fontId="15" fillId="12" borderId="0" applyAlignment="1" pivotButton="0" quotePrefix="0" xfId="0">
      <alignment vertical="top" wrapText="1"/>
    </xf>
    <xf numFmtId="0" fontId="15" fillId="0" borderId="0" pivotButton="0" quotePrefix="0" xfId="0"/>
    <xf numFmtId="0" fontId="10" fillId="0" borderId="1" applyAlignment="1" pivotButton="0" quotePrefix="0" xfId="0">
      <alignment horizontal="general" vertical="bottom"/>
    </xf>
    <xf numFmtId="164" fontId="10" fillId="0" borderId="1"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D6"/>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M61"/>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55" min="1" max="1"/>
    <col width="17" customWidth="1" style="55" min="2" max="11"/>
    <col width="22" customWidth="1" style="56" min="12" max="12"/>
    <col width="24" customWidth="1" style="56" min="13" max="13"/>
  </cols>
  <sheetData>
    <row r="1" ht="17.35" customHeight="1" s="56">
      <c r="A1" s="57" t="inlineStr">
        <is>
          <t>ICPC single-contest trip plans — Shenyang, Shanghai, Nanchang, Hong Kong, EC Final Hangzhou</t>
        </is>
      </c>
    </row>
    <row r="2" ht="42" customHeight="1" s="56">
      <c r="A2" s="58" t="inlineStr">
        <is>
          <t>Each trip planned as if it is the only contest attended. Two to three variants per contest. Two scenarios: the UNFUNDED regional (3 contestants pay everything) and the FUNDED regional (₮12M from the university, coach travels: 4 people). University funding covers flights, trains, hotels, meals &amp; local transport; contest fees and 'Other' are personal. Prices: Trip.com / 12306 / ChinaTicketOnline / SlickTrip / Booking.com checked 30 Sep – 22 Oct 2026. Blue = inputs; yellow = key assumptions; green = links.</t>
        </is>
      </c>
    </row>
    <row r="4" ht="15" customHeight="1" s="56">
      <c r="A4" s="59" t="inlineStr">
        <is>
          <t>Shared inputs</t>
        </is>
      </c>
    </row>
    <row r="5" ht="15" customHeight="1" s="56">
      <c r="A5" s="60" t="inlineStr">
        <is>
          <t>University funding – funded regional (MNT)</t>
        </is>
      </c>
      <c r="B5" s="61" t="n">
        <v>12000000</v>
      </c>
      <c r="C5" s="62" t="inlineStr">
        <is>
          <t>One regional is funded with ₮12M and the coach travels (4 people: 3 contestants + coach); used in every "4 ppl" column</t>
        </is>
      </c>
    </row>
    <row r="6" ht="15" customHeight="1" s="56">
      <c r="A6" s="60" t="inlineStr">
        <is>
          <t>Travelers – unfunded regional</t>
        </is>
      </c>
      <c r="B6" s="63" t="n">
        <v>3</v>
      </c>
      <c r="C6" s="62" t="inlineStr">
        <is>
          <t>3 contestants, one room, everyone pays</t>
        </is>
      </c>
    </row>
    <row r="7" ht="15" customHeight="1" s="56">
      <c r="A7" s="60" t="inlineStr">
        <is>
          <t>Travelers – funded regional (with coach)</t>
        </is>
      </c>
      <c r="B7" s="63" t="n">
        <v>4</v>
      </c>
      <c r="C7" s="62" t="inlineStr">
        <is>
          <t>3 contestants + coach, two rooms (or one family room for 4)</t>
        </is>
      </c>
    </row>
    <row r="8" ht="15" customHeight="1" s="56">
      <c r="A8" s="60" t="inlineStr">
        <is>
          <t>USD → MNT</t>
        </is>
      </c>
      <c r="B8" s="64" t="n">
        <v>3598</v>
      </c>
      <c r="C8" s="62" t="inlineStr">
        <is>
          <t>Mid-market, Xe/Investing.com, 29–30 Sep 2026</t>
        </is>
      </c>
    </row>
    <row r="9" ht="15" customHeight="1" s="56">
      <c r="A9" s="60" t="inlineStr">
        <is>
          <t>CNY → MNT</t>
        </is>
      </c>
      <c r="B9" s="64" t="n">
        <v>536</v>
      </c>
      <c r="C9" s="62" t="inlineStr">
        <is>
          <t>Mid-market, Xe/currency.wiki, late Sep 2026</t>
        </is>
      </c>
    </row>
    <row r="10" ht="15" customHeight="1" s="56">
      <c r="A10" s="60" t="inlineStr">
        <is>
          <t>HKD → MNT</t>
        </is>
      </c>
      <c r="B10" s="64" t="n">
        <v>461</v>
      </c>
      <c r="C10" s="62" t="inlineStr">
        <is>
          <t>Derived from USD rate and the HKD peg (~7.8 HKD per USD)</t>
        </is>
      </c>
    </row>
    <row r="11" ht="15" customHeight="1" s="56">
      <c r="A11" s="60" t="inlineStr">
        <is>
          <t>Contingency % (on university-paid part)</t>
        </is>
      </c>
      <c r="B11" s="65" t="n">
        <v>0.1</v>
      </c>
      <c r="C11" s="62" t="inlineStr">
        <is>
          <t>Buffer for fare changes, FX spread, extras</t>
        </is>
      </c>
    </row>
    <row r="12">
      <c r="A12" s="60" t="inlineStr">
        <is>
          <t>University funding – unfunded regional (MNT)</t>
        </is>
      </c>
      <c r="B12" s="61" t="n">
        <v>0</v>
      </c>
      <c r="C12" s="62" t="inlineStr">
        <is>
          <t>The other regional is unfunded: the 3 contestants pay everything themselves; used in every "3 ppl" column</t>
        </is>
      </c>
    </row>
    <row r="13" ht="15" customHeight="1" s="56">
      <c r="A13" s="59" t="inlineStr">
        <is>
          <t>Side-by-side (all figures incl. 10% contingency on the travel + stay part). 3 ppl = the UNFUNDED regional, 4 ppl = the FUNDED regional (₮12M, coach travels)</t>
        </is>
      </c>
    </row>
    <row r="14" ht="45" customHeight="1" s="56">
      <c r="A14" s="66" t="inlineStr">
        <is>
          <t>Plan</t>
        </is>
      </c>
      <c r="B14" s="66" t="inlineStr">
        <is>
          <t>Travel + stay total – 3 ppl (unfunded: paid by the contestants)</t>
        </is>
      </c>
      <c r="C14" s="66" t="inlineStr">
        <is>
          <t>Funding left – 3 ppl (funding ₮0)</t>
        </is>
      </c>
      <c r="D14" s="66" t="inlineStr">
        <is>
          <t>Cost per person – 3 ppl (everything incl. fee)</t>
        </is>
      </c>
      <c r="E14" s="66" t="inlineStr">
        <is>
          <t>Travel + stay total – 4 ppl (funded)</t>
        </is>
      </c>
      <c r="F14" s="66" t="inlineStr">
        <is>
          <t>Left of the ₮12M – 4 ppl (negative = over)</t>
        </is>
      </c>
      <c r="G14" s="66" t="inlineStr">
        <is>
          <t>Out-of-pocket per person – 4 ppl (fee, UB taxi, insurance, eSIM)</t>
        </is>
      </c>
      <c r="H14" s="66" t="inlineStr">
        <is>
          <t>Whole trip – 3 ppl</t>
        </is>
      </c>
      <c r="I14" s="66" t="inlineStr">
        <is>
          <t>Whole trip – 4 ppl</t>
        </is>
      </c>
      <c r="J14" s="66" t="inlineStr">
        <is>
          <t>Planes &amp; trains</t>
        </is>
      </c>
      <c r="K14" s="66" t="inlineStr">
        <is>
          <t>Door-to-door</t>
        </is>
      </c>
      <c r="L14" s="66" t="inlineStr">
        <is>
          <t>Fits ₮12M incl. 10% contingency?</t>
        </is>
      </c>
      <c r="M14" s="66" t="inlineStr">
        <is>
          <t>Left of ₮12M before contingency (4 ppl)</t>
        </is>
      </c>
    </row>
    <row r="15" ht="15" customHeight="1" s="56">
      <c r="A15" s="67" t="inlineStr">
        <is>
          <t>Shenyang – Budget</t>
        </is>
      </c>
      <c r="B15" s="68">
        <f>'Shenyang – Budget'!H34</f>
        <v/>
      </c>
      <c r="C15" s="68">
        <f>'Shenyang – Budget'!H35</f>
        <v/>
      </c>
      <c r="D15" s="69">
        <f>'Shenyang – Budget'!H37</f>
        <v/>
      </c>
      <c r="E15" s="68">
        <f>'Shenyang – Budget'!K34</f>
        <v/>
      </c>
      <c r="F15" s="68">
        <f>'Shenyang – Budget'!K35</f>
        <v/>
      </c>
      <c r="G15" s="69">
        <f>'Shenyang – Budget'!K37</f>
        <v/>
      </c>
      <c r="H15" s="70">
        <f>'Shenyang – Budget'!H38</f>
        <v/>
      </c>
      <c r="I15" s="70">
        <f>'Shenyang – Budget'!K38</f>
        <v/>
      </c>
      <c r="J15" s="71">
        <f>'Shenyang – Budget'!H39</f>
        <v/>
      </c>
      <c r="K15" s="71">
        <f>'Shenyang – Budget'!D69</f>
        <v/>
      </c>
      <c r="L15" s="123">
        <f>IF(F15&gt;=0,"yes","over by "&amp;TEXT(-F15,"#,##0")&amp;" ₮")</f>
        <v/>
      </c>
      <c r="M15" s="68">
        <f>Compare!$B$5-E15/(1+Compare!$B$11)</f>
        <v/>
      </c>
    </row>
    <row r="16" ht="15" customHeight="1" s="56">
      <c r="A16" s="67" t="inlineStr">
        <is>
          <t>Shenyang – Comfort</t>
        </is>
      </c>
      <c r="B16" s="68">
        <f>'Shenyang – Comfort'!H33</f>
        <v/>
      </c>
      <c r="C16" s="68">
        <f>'Shenyang – Comfort'!H34</f>
        <v/>
      </c>
      <c r="D16" s="69">
        <f>'Shenyang – Comfort'!H36</f>
        <v/>
      </c>
      <c r="E16" s="68">
        <f>'Shenyang – Comfort'!K33</f>
        <v/>
      </c>
      <c r="F16" s="68">
        <f>'Shenyang – Comfort'!K34</f>
        <v/>
      </c>
      <c r="G16" s="69">
        <f>'Shenyang – Comfort'!K36</f>
        <v/>
      </c>
      <c r="H16" s="70">
        <f>'Shenyang – Comfort'!H37</f>
        <v/>
      </c>
      <c r="I16" s="70">
        <f>'Shenyang – Comfort'!K37</f>
        <v/>
      </c>
      <c r="J16" s="71">
        <f>'Shenyang – Comfort'!H38</f>
        <v/>
      </c>
      <c r="K16" s="71">
        <f>'Shenyang – Comfort'!D68</f>
        <v/>
      </c>
      <c r="L16" s="123">
        <f>IF(F16&gt;=0,"yes","over by "&amp;TEXT(-F16,"#,##0")&amp;" ₮")</f>
        <v/>
      </c>
      <c r="M16" s="68">
        <f>Compare!$B$5-E16/(1+Compare!$B$11)</f>
        <v/>
      </c>
    </row>
    <row r="17" ht="15" customHeight="1" s="56">
      <c r="A17" s="67" t="inlineStr">
        <is>
          <t>Shenyang – Budget (G-train)</t>
        </is>
      </c>
      <c r="B17" s="68">
        <f>'Shenyang – Budget (G-train)'!H35</f>
        <v/>
      </c>
      <c r="C17" s="68">
        <f>'Shenyang – Budget (G-train)'!H36</f>
        <v/>
      </c>
      <c r="D17" s="69">
        <f>'Shenyang – Budget (G-train)'!H38</f>
        <v/>
      </c>
      <c r="E17" s="68">
        <f>'Shenyang – Budget (G-train)'!K35</f>
        <v/>
      </c>
      <c r="F17" s="68">
        <f>'Shenyang – Budget (G-train)'!K36</f>
        <v/>
      </c>
      <c r="G17" s="69">
        <f>'Shenyang – Budget (G-train)'!K38</f>
        <v/>
      </c>
      <c r="H17" s="70">
        <f>'Shenyang – Budget (G-train)'!H39</f>
        <v/>
      </c>
      <c r="I17" s="70">
        <f>'Shenyang – Budget (G-train)'!K39</f>
        <v/>
      </c>
      <c r="J17" s="71">
        <f>'Shenyang – Budget (G-train)'!H40</f>
        <v/>
      </c>
      <c r="K17" s="71">
        <f>'Shenyang – Budget (G-train)'!D70</f>
        <v/>
      </c>
      <c r="L17" s="123">
        <f>IF(F17&gt;=0,"yes","over by "&amp;TEXT(-F17,"#,##0")&amp;" ₮")</f>
        <v/>
      </c>
      <c r="M17" s="68">
        <f>Compare!$B$5-E17/(1+Compare!$B$11)</f>
        <v/>
      </c>
    </row>
    <row r="18" ht="15" customHeight="1" s="56">
      <c r="A18" s="67" t="inlineStr">
        <is>
          <t>Shenyang – Comfort (G-train)</t>
        </is>
      </c>
      <c r="B18" s="68">
        <f>'Shenyang – Comfort (G-train)'!H35</f>
        <v/>
      </c>
      <c r="C18" s="68">
        <f>'Shenyang – Comfort (G-train)'!H36</f>
        <v/>
      </c>
      <c r="D18" s="69">
        <f>'Shenyang – Comfort (G-train)'!H38</f>
        <v/>
      </c>
      <c r="E18" s="68">
        <f>'Shenyang – Comfort (G-train)'!K35</f>
        <v/>
      </c>
      <c r="F18" s="68">
        <f>'Shenyang – Comfort (G-train)'!K36</f>
        <v/>
      </c>
      <c r="G18" s="69">
        <f>'Shenyang – Comfort (G-train)'!K38</f>
        <v/>
      </c>
      <c r="H18" s="70">
        <f>'Shenyang – Comfort (G-train)'!H39</f>
        <v/>
      </c>
      <c r="I18" s="70">
        <f>'Shenyang – Comfort (G-train)'!K39</f>
        <v/>
      </c>
      <c r="J18" s="71">
        <f>'Shenyang – Comfort (G-train)'!H40</f>
        <v/>
      </c>
      <c r="K18" s="71">
        <f>'Shenyang – Comfort (G-train)'!D71</f>
        <v/>
      </c>
      <c r="L18" s="123">
        <f>IF(F18&gt;=0,"yes","over by "&amp;TEXT(-F18,"#,##0")&amp;" ₮")</f>
        <v/>
      </c>
      <c r="M18" s="68">
        <f>Compare!$B$5-E18/(1+Compare!$B$11)</f>
        <v/>
      </c>
    </row>
    <row r="19" ht="15" customHeight="1" s="56">
      <c r="A19" s="67" t="inlineStr">
        <is>
          <t>Shenyang – Sleep first</t>
        </is>
      </c>
      <c r="B19" s="68">
        <f>'Shenyang – Sleep first'!H34</f>
        <v/>
      </c>
      <c r="C19" s="68">
        <f>'Shenyang – Sleep first'!H35</f>
        <v/>
      </c>
      <c r="D19" s="69">
        <f>'Shenyang – Sleep first'!H37</f>
        <v/>
      </c>
      <c r="E19" s="68">
        <f>'Shenyang – Sleep first'!K34</f>
        <v/>
      </c>
      <c r="F19" s="68">
        <f>'Shenyang – Sleep first'!K35</f>
        <v/>
      </c>
      <c r="G19" s="69">
        <f>'Shenyang – Sleep first'!K37</f>
        <v/>
      </c>
      <c r="H19" s="70">
        <f>'Shenyang – Sleep first'!H38</f>
        <v/>
      </c>
      <c r="I19" s="70">
        <f>'Shenyang – Sleep first'!K38</f>
        <v/>
      </c>
      <c r="J19" s="71">
        <f>'Shenyang – Sleep first'!H39</f>
        <v/>
      </c>
      <c r="K19" s="71">
        <f>'Shenyang – Sleep first'!D70</f>
        <v/>
      </c>
      <c r="L19" s="123">
        <f>IF(F19&gt;=0,"yes","over by "&amp;TEXT(-F19,"#,##0")&amp;" ₮")</f>
        <v/>
      </c>
      <c r="M19" s="68">
        <f>Compare!$B$5-E19/(1+Compare!$B$11)</f>
        <v/>
      </c>
    </row>
    <row r="20" ht="15" customHeight="1" s="56">
      <c r="A20" s="67" t="inlineStr">
        <is>
          <t>Shenyang – Sleep value</t>
        </is>
      </c>
      <c r="B20" s="68">
        <f>'Shenyang – Sleep value'!H34</f>
        <v/>
      </c>
      <c r="C20" s="68">
        <f>'Shenyang – Sleep value'!H35</f>
        <v/>
      </c>
      <c r="D20" s="69">
        <f>'Shenyang – Sleep value'!H37</f>
        <v/>
      </c>
      <c r="E20" s="68">
        <f>'Shenyang – Sleep value'!K34</f>
        <v/>
      </c>
      <c r="F20" s="68">
        <f>'Shenyang – Sleep value'!K35</f>
        <v/>
      </c>
      <c r="G20" s="69">
        <f>'Shenyang – Sleep value'!K37</f>
        <v/>
      </c>
      <c r="H20" s="70">
        <f>'Shenyang – Sleep value'!H38</f>
        <v/>
      </c>
      <c r="I20" s="70">
        <f>'Shenyang – Sleep value'!K38</f>
        <v/>
      </c>
      <c r="J20" s="71">
        <f>'Shenyang – Sleep value'!H39</f>
        <v/>
      </c>
      <c r="K20" s="71">
        <f>'Shenyang – Sleep value'!D70</f>
        <v/>
      </c>
      <c r="L20" s="123">
        <f>IF(F20&gt;=0,"yes","over by "&amp;TEXT(-F20,"#,##0")&amp;" ₮")</f>
        <v/>
      </c>
      <c r="M20" s="68">
        <f>Compare!$B$5-E20/(1+Compare!$B$11)</f>
        <v/>
      </c>
    </row>
    <row r="21" ht="15" customHeight="1" s="56">
      <c r="A21" s="67" t="inlineStr">
        <is>
          <t>Shenyang – Overland home</t>
        </is>
      </c>
      <c r="B21" s="68">
        <f>'Shenyang – Overland home'!H36</f>
        <v/>
      </c>
      <c r="C21" s="68">
        <f>'Shenyang – Overland home'!H37</f>
        <v/>
      </c>
      <c r="D21" s="69">
        <f>'Shenyang – Overland home'!H39</f>
        <v/>
      </c>
      <c r="E21" s="68">
        <f>'Shenyang – Overland home'!K36</f>
        <v/>
      </c>
      <c r="F21" s="68">
        <f>'Shenyang – Overland home'!K37</f>
        <v/>
      </c>
      <c r="G21" s="69">
        <f>'Shenyang – Overland home'!K39</f>
        <v/>
      </c>
      <c r="H21" s="70">
        <f>'Shenyang – Overland home'!H40</f>
        <v/>
      </c>
      <c r="I21" s="70">
        <f>'Shenyang – Overland home'!K40</f>
        <v/>
      </c>
      <c r="J21" s="71">
        <f>'Shenyang – Overland home'!H41</f>
        <v/>
      </c>
      <c r="K21" s="71">
        <f>'Shenyang – Overland home'!D75</f>
        <v/>
      </c>
      <c r="L21" s="123">
        <f>IF(F21&gt;=0,"yes","over by "&amp;TEXT(-F21,"#,##0")&amp;" ₮")</f>
        <v/>
      </c>
      <c r="M21" s="68">
        <f>Compare!$B$5-E21/(1+Compare!$B$11)</f>
        <v/>
      </c>
    </row>
    <row r="22" ht="15" customHeight="1" s="56">
      <c r="A22" s="67" t="inlineStr">
        <is>
          <t>Shenyang – Overland out (seats)</t>
        </is>
      </c>
      <c r="B22" s="68">
        <f>'Shenyang – Overland out (seats)'!H36</f>
        <v/>
      </c>
      <c r="C22" s="68">
        <f>'Shenyang – Overland out (seats)'!H37</f>
        <v/>
      </c>
      <c r="D22" s="69">
        <f>'Shenyang – Overland out (seats)'!H39</f>
        <v/>
      </c>
      <c r="E22" s="68">
        <f>'Shenyang – Overland out (seats)'!K36</f>
        <v/>
      </c>
      <c r="F22" s="68">
        <f>'Shenyang – Overland out (seats)'!K37</f>
        <v/>
      </c>
      <c r="G22" s="69">
        <f>'Shenyang – Overland out (seats)'!K39</f>
        <v/>
      </c>
      <c r="H22" s="70">
        <f>'Shenyang – Overland out (seats)'!H40</f>
        <v/>
      </c>
      <c r="I22" s="70">
        <f>'Shenyang – Overland out (seats)'!K40</f>
        <v/>
      </c>
      <c r="J22" s="71">
        <f>'Shenyang – Overland out (seats)'!H41</f>
        <v/>
      </c>
      <c r="K22" s="71">
        <f>'Shenyang – Overland out (seats)'!D71</f>
        <v/>
      </c>
      <c r="L22" s="123">
        <f>IF(F22&gt;=0,"yes","over by "&amp;TEXT(-F22,"#,##0")&amp;" ₮")</f>
        <v/>
      </c>
      <c r="M22" s="68">
        <f>Compare!$B$5-E22/(1+Compare!$B$11)</f>
        <v/>
      </c>
    </row>
    <row r="23" ht="15" customHeight="1" s="56">
      <c r="A23" s="67" t="inlineStr">
        <is>
          <t>Shenyang – Overland out, berths</t>
        </is>
      </c>
      <c r="B23" s="68">
        <f>'Shenyang – Overland out, berths'!H36</f>
        <v/>
      </c>
      <c r="C23" s="68">
        <f>'Shenyang – Overland out, berths'!H37</f>
        <v/>
      </c>
      <c r="D23" s="69">
        <f>'Shenyang – Overland out, berths'!H39</f>
        <v/>
      </c>
      <c r="E23" s="68">
        <f>'Shenyang – Overland out, berths'!K36</f>
        <v/>
      </c>
      <c r="F23" s="68">
        <f>'Shenyang – Overland out, berths'!K37</f>
        <v/>
      </c>
      <c r="G23" s="69">
        <f>'Shenyang – Overland out, berths'!K39</f>
        <v/>
      </c>
      <c r="H23" s="70">
        <f>'Shenyang – Overland out, berths'!H40</f>
        <v/>
      </c>
      <c r="I23" s="70">
        <f>'Shenyang – Overland out, berths'!K40</f>
        <v/>
      </c>
      <c r="J23" s="71">
        <f>'Shenyang – Overland out, berths'!H41</f>
        <v/>
      </c>
      <c r="K23" s="71">
        <f>'Shenyang – Overland out, berths'!D71</f>
        <v/>
      </c>
      <c r="L23" s="123">
        <f>IF(F23&gt;=0,"yes","over by "&amp;TEXT(-F23,"#,##0")&amp;" ₮")</f>
        <v/>
      </c>
      <c r="M23" s="68">
        <f>Compare!$B$5-E23/(1+Compare!$B$11)</f>
        <v/>
      </c>
    </row>
    <row r="24" ht="15" customHeight="1" s="56">
      <c r="A24" s="67" t="inlineStr">
        <is>
          <t>Shenyang – Manzhouli seats</t>
        </is>
      </c>
      <c r="B24" s="68">
        <f>'Shenyang – Manzhouli seats'!H35</f>
        <v/>
      </c>
      <c r="C24" s="68">
        <f>'Shenyang – Manzhouli seats'!H36</f>
        <v/>
      </c>
      <c r="D24" s="69">
        <f>'Shenyang – Manzhouli seats'!H38</f>
        <v/>
      </c>
      <c r="E24" s="68">
        <f>'Shenyang – Manzhouli seats'!K35</f>
        <v/>
      </c>
      <c r="F24" s="68">
        <f>'Shenyang – Manzhouli seats'!K36</f>
        <v/>
      </c>
      <c r="G24" s="69">
        <f>'Shenyang – Manzhouli seats'!K38</f>
        <v/>
      </c>
      <c r="H24" s="70">
        <f>'Shenyang – Manzhouli seats'!H39</f>
        <v/>
      </c>
      <c r="I24" s="70">
        <f>'Shenyang – Manzhouli seats'!K39</f>
        <v/>
      </c>
      <c r="J24" s="71">
        <f>'Shenyang – Manzhouli seats'!H40</f>
        <v/>
      </c>
      <c r="K24" s="71">
        <f>'Shenyang – Manzhouli seats'!D72</f>
        <v/>
      </c>
      <c r="L24" s="123">
        <f>IF(F24&gt;=0,"yes","over by "&amp;TEXT(-F24,"#,##0")&amp;" ₮")</f>
        <v/>
      </c>
      <c r="M24" s="68">
        <f>Compare!$B$5-E24/(1+Compare!$B$11)</f>
        <v/>
      </c>
    </row>
    <row r="25" ht="15" customHeight="1" s="56">
      <c r="A25" s="67" t="inlineStr">
        <is>
          <t>Shenyang – Hunnu Daxing + K341</t>
        </is>
      </c>
      <c r="B25" s="68">
        <f>'Shenyang – Hunnu Daxing + K341'!H34</f>
        <v/>
      </c>
      <c r="C25" s="68">
        <f>'Shenyang – Hunnu Daxing + K341'!H35</f>
        <v/>
      </c>
      <c r="D25" s="69">
        <f>'Shenyang – Hunnu Daxing + K341'!H37</f>
        <v/>
      </c>
      <c r="E25" s="68">
        <f>'Shenyang – Hunnu Daxing + K341'!K34</f>
        <v/>
      </c>
      <c r="F25" s="68">
        <f>'Shenyang – Hunnu Daxing + K341'!K35</f>
        <v/>
      </c>
      <c r="G25" s="69">
        <f>'Shenyang – Hunnu Daxing + K341'!K37</f>
        <v/>
      </c>
      <c r="H25" s="70">
        <f>'Shenyang – Hunnu Daxing + K341'!H38</f>
        <v/>
      </c>
      <c r="I25" s="70">
        <f>'Shenyang – Hunnu Daxing + K341'!K38</f>
        <v/>
      </c>
      <c r="J25" s="71">
        <f>'Shenyang – Hunnu Daxing + K341'!H39</f>
        <v/>
      </c>
      <c r="K25" s="71">
        <f>'Shenyang – Hunnu Daxing + K341'!D68</f>
        <v/>
      </c>
      <c r="L25" s="123">
        <f>IF(F25&gt;=0,"yes","over by "&amp;TEXT(-F25,"#,##0")&amp;" ₮")</f>
        <v/>
      </c>
      <c r="M25" s="68">
        <f>Compare!$B$5-E25/(1+Compare!$B$11)</f>
        <v/>
      </c>
    </row>
    <row r="26" ht="15" customHeight="1" s="56">
      <c r="A26" s="67" t="inlineStr">
        <is>
          <t>Shenyang – MIAT 13 Nov + K341</t>
        </is>
      </c>
      <c r="B26" s="68">
        <f>'Shenyang – MIAT 13 Nov + K341'!H34</f>
        <v/>
      </c>
      <c r="C26" s="68">
        <f>'Shenyang – MIAT 13 Nov + K341'!H35</f>
        <v/>
      </c>
      <c r="D26" s="69">
        <f>'Shenyang – MIAT 13 Nov + K341'!H37</f>
        <v/>
      </c>
      <c r="E26" s="68">
        <f>'Shenyang – MIAT 13 Nov + K341'!K34</f>
        <v/>
      </c>
      <c r="F26" s="68">
        <f>'Shenyang – MIAT 13 Nov + K341'!K35</f>
        <v/>
      </c>
      <c r="G26" s="69">
        <f>'Shenyang – MIAT 13 Nov + K341'!K37</f>
        <v/>
      </c>
      <c r="H26" s="70">
        <f>'Shenyang – MIAT 13 Nov + K341'!H38</f>
        <v/>
      </c>
      <c r="I26" s="70">
        <f>'Shenyang – MIAT 13 Nov + K341'!K38</f>
        <v/>
      </c>
      <c r="J26" s="71">
        <f>'Shenyang – MIAT 13 Nov + K341'!H39</f>
        <v/>
      </c>
      <c r="K26" s="71">
        <f>'Shenyang – MIAT 13 Nov + K341'!D68</f>
        <v/>
      </c>
      <c r="L26" s="123">
        <f>IF(F26&gt;=0,"yes","over by "&amp;TEXT(-F26,"#,##0")&amp;" ₮")</f>
        <v/>
      </c>
      <c r="M26" s="68">
        <f>Compare!$B$5-E26/(1+Compare!$B$11)</f>
        <v/>
      </c>
    </row>
    <row r="27" ht="15" customHeight="1" s="56">
      <c r="A27" s="67" t="inlineStr">
        <is>
          <t>Shenyang – Hunnu Erenhot</t>
        </is>
      </c>
      <c r="B27" s="68">
        <f>'Shenyang – Hunnu Erenhot'!H35</f>
        <v/>
      </c>
      <c r="C27" s="68">
        <f>'Shenyang – Hunnu Erenhot'!H36</f>
        <v/>
      </c>
      <c r="D27" s="69">
        <f>'Shenyang – Hunnu Erenhot'!H38</f>
        <v/>
      </c>
      <c r="E27" s="68">
        <f>'Shenyang – Hunnu Erenhot'!K35</f>
        <v/>
      </c>
      <c r="F27" s="68">
        <f>'Shenyang – Hunnu Erenhot'!K36</f>
        <v/>
      </c>
      <c r="G27" s="69">
        <f>'Shenyang – Hunnu Erenhot'!K38</f>
        <v/>
      </c>
      <c r="H27" s="70">
        <f>'Shenyang – Hunnu Erenhot'!H39</f>
        <v/>
      </c>
      <c r="I27" s="70">
        <f>'Shenyang – Hunnu Erenhot'!K39</f>
        <v/>
      </c>
      <c r="J27" s="71">
        <f>'Shenyang – Hunnu Erenhot'!H40</f>
        <v/>
      </c>
      <c r="K27" s="71">
        <f>'Shenyang – Hunnu Erenhot'!D69</f>
        <v/>
      </c>
      <c r="L27" s="123">
        <f>IF(F27&gt;=0,"yes","over by "&amp;TEXT(-F27,"#,##0")&amp;" ₮")</f>
        <v/>
      </c>
      <c r="M27" s="68">
        <f>Compare!$B$5-E27/(1+Compare!$B$11)</f>
        <v/>
      </c>
    </row>
    <row r="28" ht="15" customHeight="1" s="56">
      <c r="A28" s="67" t="inlineStr">
        <is>
          <t>Shenyang – Hohhot red-eye</t>
        </is>
      </c>
      <c r="B28" s="68">
        <f>'Shenyang – Hohhot red-eye'!H35</f>
        <v/>
      </c>
      <c r="C28" s="68">
        <f>'Shenyang – Hohhot red-eye'!H36</f>
        <v/>
      </c>
      <c r="D28" s="69">
        <f>'Shenyang – Hohhot red-eye'!H38</f>
        <v/>
      </c>
      <c r="E28" s="68">
        <f>'Shenyang – Hohhot red-eye'!K35</f>
        <v/>
      </c>
      <c r="F28" s="68">
        <f>'Shenyang – Hohhot red-eye'!K36</f>
        <v/>
      </c>
      <c r="G28" s="69">
        <f>'Shenyang – Hohhot red-eye'!K38</f>
        <v/>
      </c>
      <c r="H28" s="70">
        <f>'Shenyang – Hohhot red-eye'!H39</f>
        <v/>
      </c>
      <c r="I28" s="70">
        <f>'Shenyang – Hohhot red-eye'!K39</f>
        <v/>
      </c>
      <c r="J28" s="71">
        <f>'Shenyang – Hohhot red-eye'!H40</f>
        <v/>
      </c>
      <c r="K28" s="71">
        <f>'Shenyang – Hohhot red-eye'!D72</f>
        <v/>
      </c>
      <c r="L28" s="123">
        <f>IF(F28&gt;=0,"yes","over by "&amp;TEXT(-F28,"#,##0")&amp;" ₮")</f>
        <v/>
      </c>
      <c r="M28" s="68">
        <f>Compare!$B$5-E28/(1+Compare!$B$11)</f>
        <v/>
      </c>
    </row>
    <row r="29" ht="15" customHeight="1" s="56">
      <c r="A29" s="67" t="inlineStr">
        <is>
          <t>Shenyang – Hohhot + Spring</t>
        </is>
      </c>
      <c r="B29" s="68">
        <f>'Shenyang – Hohhot + Spring'!H35</f>
        <v/>
      </c>
      <c r="C29" s="68">
        <f>'Shenyang – Hohhot + Spring'!H36</f>
        <v/>
      </c>
      <c r="D29" s="69">
        <f>'Shenyang – Hohhot + Spring'!H38</f>
        <v/>
      </c>
      <c r="E29" s="68">
        <f>'Shenyang – Hohhot + Spring'!K35</f>
        <v/>
      </c>
      <c r="F29" s="68">
        <f>'Shenyang – Hohhot + Spring'!K36</f>
        <v/>
      </c>
      <c r="G29" s="69">
        <f>'Shenyang – Hohhot + Spring'!K38</f>
        <v/>
      </c>
      <c r="H29" s="70">
        <f>'Shenyang – Hohhot + Spring'!H39</f>
        <v/>
      </c>
      <c r="I29" s="70">
        <f>'Shenyang – Hohhot + Spring'!K39</f>
        <v/>
      </c>
      <c r="J29" s="71">
        <f>'Shenyang – Hohhot + Spring'!H40</f>
        <v/>
      </c>
      <c r="K29" s="71">
        <f>'Shenyang – Hohhot + Spring'!D70</f>
        <v/>
      </c>
      <c r="L29" s="123">
        <f>IF(F29&gt;=0,"yes","over by "&amp;TEXT(-F29,"#,##0")&amp;" ₮")</f>
        <v/>
      </c>
      <c r="M29" s="68">
        <f>Compare!$B$5-E29/(1+Compare!$B$11)</f>
        <v/>
      </c>
    </row>
    <row r="30" ht="15" customHeight="1" s="56">
      <c r="A30" s="67" t="inlineStr">
        <is>
          <t>Shanghai – Sleeper</t>
        </is>
      </c>
      <c r="B30" s="68">
        <f>'Shanghai – Sleeper'!H35</f>
        <v/>
      </c>
      <c r="C30" s="68">
        <f>'Shanghai – Sleeper'!H36</f>
        <v/>
      </c>
      <c r="D30" s="69">
        <f>'Shanghai – Sleeper'!H38</f>
        <v/>
      </c>
      <c r="E30" s="68">
        <f>'Shanghai – Sleeper'!K35</f>
        <v/>
      </c>
      <c r="F30" s="68">
        <f>'Shanghai – Sleeper'!K36</f>
        <v/>
      </c>
      <c r="G30" s="69">
        <f>'Shanghai – Sleeper'!K38</f>
        <v/>
      </c>
      <c r="H30" s="70">
        <f>'Shanghai – Sleeper'!H39</f>
        <v/>
      </c>
      <c r="I30" s="70">
        <f>'Shanghai – Sleeper'!K39</f>
        <v/>
      </c>
      <c r="J30" s="71">
        <f>'Shanghai – Sleeper'!H40</f>
        <v/>
      </c>
      <c r="K30" s="71">
        <f>'Shanghai – Sleeper'!D71</f>
        <v/>
      </c>
      <c r="L30" s="123">
        <f>IF(F30&gt;=0,"yes","over by "&amp;TEXT(-F30,"#,##0")&amp;" ₮")</f>
        <v/>
      </c>
      <c r="M30" s="68">
        <f>Compare!$B$5-E30/(1+Compare!$B$11)</f>
        <v/>
      </c>
    </row>
    <row r="31" ht="15" customHeight="1" s="56">
      <c r="A31" s="67" t="inlineStr">
        <is>
          <t>Shanghai – Spring nonstop</t>
        </is>
      </c>
      <c r="B31" s="68">
        <f>'Shanghai – Spring nonstop'!H31</f>
        <v/>
      </c>
      <c r="C31" s="68">
        <f>'Shanghai – Spring nonstop'!H32</f>
        <v/>
      </c>
      <c r="D31" s="69">
        <f>'Shanghai – Spring nonstop'!H34</f>
        <v/>
      </c>
      <c r="E31" s="68">
        <f>'Shanghai – Spring nonstop'!K31</f>
        <v/>
      </c>
      <c r="F31" s="68">
        <f>'Shanghai – Spring nonstop'!K32</f>
        <v/>
      </c>
      <c r="G31" s="69">
        <f>'Shanghai – Spring nonstop'!K34</f>
        <v/>
      </c>
      <c r="H31" s="70">
        <f>'Shanghai – Spring nonstop'!H35</f>
        <v/>
      </c>
      <c r="I31" s="70">
        <f>'Shanghai – Spring nonstop'!K35</f>
        <v/>
      </c>
      <c r="J31" s="71">
        <f>'Shanghai – Spring nonstop'!H36</f>
        <v/>
      </c>
      <c r="K31" s="71">
        <f>'Shanghai – Spring nonstop'!D65</f>
        <v/>
      </c>
      <c r="L31" s="123">
        <f>IF(F31&gt;=0,"yes","over by "&amp;TEXT(-F31,"#,##0")&amp;" ₮")</f>
        <v/>
      </c>
      <c r="M31" s="68">
        <f>Compare!$B$5-E31/(1+Compare!$B$11)</f>
        <v/>
      </c>
    </row>
    <row r="32" ht="15" customHeight="1" s="56">
      <c r="A32" s="67" t="inlineStr">
        <is>
          <t>Shanghai – Nonstop cheap rooms</t>
        </is>
      </c>
      <c r="B32" s="68">
        <f>'Shanghai – Nonstop cheap rooms'!H31</f>
        <v/>
      </c>
      <c r="C32" s="68">
        <f>'Shanghai – Nonstop cheap rooms'!H32</f>
        <v/>
      </c>
      <c r="D32" s="69">
        <f>'Shanghai – Nonstop cheap rooms'!H34</f>
        <v/>
      </c>
      <c r="E32" s="68">
        <f>'Shanghai – Nonstop cheap rooms'!K31</f>
        <v/>
      </c>
      <c r="F32" s="68">
        <f>'Shanghai – Nonstop cheap rooms'!K32</f>
        <v/>
      </c>
      <c r="G32" s="69">
        <f>'Shanghai – Nonstop cheap rooms'!K34</f>
        <v/>
      </c>
      <c r="H32" s="70">
        <f>'Shanghai – Nonstop cheap rooms'!H35</f>
        <v/>
      </c>
      <c r="I32" s="70">
        <f>'Shanghai – Nonstop cheap rooms'!K35</f>
        <v/>
      </c>
      <c r="J32" s="71">
        <f>'Shanghai – Nonstop cheap rooms'!H36</f>
        <v/>
      </c>
      <c r="K32" s="71">
        <f>'Shanghai – Nonstop cheap rooms'!D65</f>
        <v/>
      </c>
      <c r="L32" s="123">
        <f>IF(F32&gt;=0,"yes","over by "&amp;TEXT(-F32,"#,##0")&amp;" ₮")</f>
        <v/>
      </c>
      <c r="M32" s="68">
        <f>Compare!$B$5-E32/(1+Compare!$B$11)</f>
        <v/>
      </c>
    </row>
    <row r="33" ht="15" customHeight="1" s="56">
      <c r="A33" s="67" t="inlineStr">
        <is>
          <t>Shanghai – Fly out, train home</t>
        </is>
      </c>
      <c r="B33" s="68">
        <f>'Shanghai – Fly out, train home'!H35</f>
        <v/>
      </c>
      <c r="C33" s="68">
        <f>'Shanghai – Fly out, train home'!H36</f>
        <v/>
      </c>
      <c r="D33" s="69">
        <f>'Shanghai – Fly out, train home'!H38</f>
        <v/>
      </c>
      <c r="E33" s="68">
        <f>'Shanghai – Fly out, train home'!K35</f>
        <v/>
      </c>
      <c r="F33" s="68">
        <f>'Shanghai – Fly out, train home'!K36</f>
        <v/>
      </c>
      <c r="G33" s="69">
        <f>'Shanghai – Fly out, train home'!K38</f>
        <v/>
      </c>
      <c r="H33" s="70">
        <f>'Shanghai – Fly out, train home'!H39</f>
        <v/>
      </c>
      <c r="I33" s="70">
        <f>'Shanghai – Fly out, train home'!K39</f>
        <v/>
      </c>
      <c r="J33" s="71">
        <f>'Shanghai – Fly out, train home'!H40</f>
        <v/>
      </c>
      <c r="K33" s="71">
        <f>'Shanghai – Fly out, train home'!D71</f>
        <v/>
      </c>
      <c r="L33" s="123">
        <f>IF(F33&gt;=0,"yes","over by "&amp;TEXT(-F33,"#,##0")&amp;" ₮")</f>
        <v/>
      </c>
      <c r="M33" s="68">
        <f>Compare!$B$5-E33/(1+Compare!$B$11)</f>
        <v/>
      </c>
    </row>
    <row r="34" s="56">
      <c r="A34" s="67" t="inlineStr">
        <is>
          <t>Shanghai – Train (no sleeper)</t>
        </is>
      </c>
      <c r="B34" s="68">
        <f>'Shanghai – Train (no sleeper)'!H37</f>
        <v/>
      </c>
      <c r="C34" s="68">
        <f>'Shanghai – Train (no sleeper)'!H38</f>
        <v/>
      </c>
      <c r="D34" s="69">
        <f>'Shanghai – Train (no sleeper)'!H40</f>
        <v/>
      </c>
      <c r="E34" s="68">
        <f>'Shanghai – Train (no sleeper)'!K37</f>
        <v/>
      </c>
      <c r="F34" s="68">
        <f>'Shanghai – Train (no sleeper)'!K38</f>
        <v/>
      </c>
      <c r="G34" s="69">
        <f>'Shanghai – Train (no sleeper)'!K40</f>
        <v/>
      </c>
      <c r="H34" s="70">
        <f>'Shanghai – Train (no sleeper)'!H41</f>
        <v/>
      </c>
      <c r="I34" s="70">
        <f>'Shanghai – Train (no sleeper)'!K41</f>
        <v/>
      </c>
      <c r="J34" s="71">
        <f>'Shanghai – Train (no sleeper)'!H42</f>
        <v/>
      </c>
      <c r="K34" s="71">
        <f>'Shanghai – Train (no sleeper)'!D74</f>
        <v/>
      </c>
      <c r="L34" s="123">
        <f>IF(F34&gt;=0,"yes","over by "&amp;TEXT(-F34,"#,##0")&amp;" ₮")</f>
        <v/>
      </c>
      <c r="M34" s="68">
        <f>Compare!$B$5-E34/(1+Compare!$B$11)</f>
        <v/>
      </c>
    </row>
    <row r="35" ht="15" customHeight="1" s="56">
      <c r="A35" s="67" t="inlineStr">
        <is>
          <t>Nanchang – Sleeper</t>
        </is>
      </c>
      <c r="B35" s="68">
        <f>'Nanchang – Sleeper'!H34</f>
        <v/>
      </c>
      <c r="C35" s="68">
        <f>'Nanchang – Sleeper'!H35</f>
        <v/>
      </c>
      <c r="D35" s="69">
        <f>'Nanchang – Sleeper'!H37</f>
        <v/>
      </c>
      <c r="E35" s="68">
        <f>'Nanchang – Sleeper'!K34</f>
        <v/>
      </c>
      <c r="F35" s="68">
        <f>'Nanchang – Sleeper'!K35</f>
        <v/>
      </c>
      <c r="G35" s="69">
        <f>'Nanchang – Sleeper'!K37</f>
        <v/>
      </c>
      <c r="H35" s="70">
        <f>'Nanchang – Sleeper'!H38</f>
        <v/>
      </c>
      <c r="I35" s="70">
        <f>'Nanchang – Sleeper'!K38</f>
        <v/>
      </c>
      <c r="J35" s="71">
        <f>'Nanchang – Sleeper'!H39</f>
        <v/>
      </c>
      <c r="K35" s="71">
        <f>'Nanchang – Sleeper'!D70</f>
        <v/>
      </c>
      <c r="L35" s="123">
        <f>IF(F35&gt;=0,"yes","over by "&amp;TEXT(-F35,"#,##0")&amp;" ₮")</f>
        <v/>
      </c>
      <c r="M35" s="68">
        <f>Compare!$B$5-E35/(1+Compare!$B$11)</f>
        <v/>
      </c>
    </row>
    <row r="36" ht="30" customHeight="1" s="56">
      <c r="A36" s="67" t="inlineStr">
        <is>
          <t>Nanchang – Comfort</t>
        </is>
      </c>
      <c r="B36" s="68">
        <f>'Nanchang – Comfort'!H36</f>
        <v/>
      </c>
      <c r="C36" s="68">
        <f>'Nanchang – Comfort'!H37</f>
        <v/>
      </c>
      <c r="D36" s="69">
        <f>'Nanchang – Comfort'!H39</f>
        <v/>
      </c>
      <c r="E36" s="68">
        <f>'Nanchang – Comfort'!K36</f>
        <v/>
      </c>
      <c r="F36" s="68">
        <f>'Nanchang – Comfort'!K37</f>
        <v/>
      </c>
      <c r="G36" s="69">
        <f>'Nanchang – Comfort'!K39</f>
        <v/>
      </c>
      <c r="H36" s="70">
        <f>'Nanchang – Comfort'!H40</f>
        <v/>
      </c>
      <c r="I36" s="70">
        <f>'Nanchang – Comfort'!K40</f>
        <v/>
      </c>
      <c r="J36" s="71">
        <f>'Nanchang – Comfort'!H41</f>
        <v/>
      </c>
      <c r="K36" s="71">
        <f>'Nanchang – Comfort'!D72</f>
        <v/>
      </c>
      <c r="L36" s="123">
        <f>IF(F36&gt;=0,"yes","over by "&amp;TEXT(-F36,"#,##0")&amp;" ₮")</f>
        <v/>
      </c>
      <c r="M36" s="68">
        <f>Compare!$B$5-E36/(1+Compare!$B$11)</f>
        <v/>
      </c>
    </row>
    <row r="37" ht="30" customHeight="1" s="56">
      <c r="A37" s="67" t="inlineStr">
        <is>
          <t>Nanchang – Fly in (Air China)</t>
        </is>
      </c>
      <c r="B37" s="68">
        <f>'Nanchang – Fly in (Air China)'!H34</f>
        <v/>
      </c>
      <c r="C37" s="68">
        <f>'Nanchang – Fly in (Air China)'!H35</f>
        <v/>
      </c>
      <c r="D37" s="69">
        <f>'Nanchang – Fly in (Air China)'!H37</f>
        <v/>
      </c>
      <c r="E37" s="68">
        <f>'Nanchang – Fly in (Air China)'!K34</f>
        <v/>
      </c>
      <c r="F37" s="68">
        <f>'Nanchang – Fly in (Air China)'!K35</f>
        <v/>
      </c>
      <c r="G37" s="69">
        <f>'Nanchang – Fly in (Air China)'!K37</f>
        <v/>
      </c>
      <c r="H37" s="70">
        <f>'Nanchang – Fly in (Air China)'!H38</f>
        <v/>
      </c>
      <c r="I37" s="70">
        <f>'Nanchang – Fly in (Air China)'!K38</f>
        <v/>
      </c>
      <c r="J37" s="71">
        <f>'Nanchang – Fly in (Air China)'!H39</f>
        <v/>
      </c>
      <c r="K37" s="71">
        <f>'Nanchang – Fly in (Air China)'!D68</f>
        <v/>
      </c>
      <c r="L37" s="123">
        <f>IF(F37&gt;=0,"yes","over by "&amp;TEXT(-F37,"#,##0")&amp;" ₮")</f>
        <v/>
      </c>
      <c r="M37" s="68">
        <f>Compare!$B$5-E37/(1+Compare!$B$11)</f>
        <v/>
      </c>
    </row>
    <row r="38" ht="30" customHeight="1" s="56">
      <c r="A38" s="67" t="inlineStr">
        <is>
          <t>Hong Kong – Budget</t>
        </is>
      </c>
      <c r="B38" s="68">
        <f>'Hong Kong – Budget'!H30</f>
        <v/>
      </c>
      <c r="C38" s="68">
        <f>'Hong Kong – Budget'!H31</f>
        <v/>
      </c>
      <c r="D38" s="69">
        <f>'Hong Kong – Budget'!H33</f>
        <v/>
      </c>
      <c r="E38" s="68">
        <f>'Hong Kong – Budget'!K30</f>
        <v/>
      </c>
      <c r="F38" s="68">
        <f>'Hong Kong – Budget'!K31</f>
        <v/>
      </c>
      <c r="G38" s="69">
        <f>'Hong Kong – Budget'!K33</f>
        <v/>
      </c>
      <c r="H38" s="70">
        <f>'Hong Kong – Budget'!H34</f>
        <v/>
      </c>
      <c r="I38" s="70">
        <f>'Hong Kong – Budget'!K34</f>
        <v/>
      </c>
      <c r="J38" s="71">
        <f>'Hong Kong – Budget'!H35</f>
        <v/>
      </c>
      <c r="K38" s="71">
        <f>'Hong Kong – Budget'!D60</f>
        <v/>
      </c>
      <c r="L38" s="123">
        <f>IF(F38&gt;=0,"yes","over by "&amp;TEXT(-F38,"#,##0")&amp;" ₮")</f>
        <v/>
      </c>
      <c r="M38" s="68">
        <f>Compare!$B$5-E38/(1+Compare!$B$11)</f>
        <v/>
      </c>
    </row>
    <row r="39" s="56">
      <c r="A39" s="67" t="inlineStr">
        <is>
          <t>Hong Kong – Comfort</t>
        </is>
      </c>
      <c r="B39" s="68">
        <f>'Hong Kong – Comfort'!H30</f>
        <v/>
      </c>
      <c r="C39" s="68">
        <f>'Hong Kong – Comfort'!H31</f>
        <v/>
      </c>
      <c r="D39" s="69">
        <f>'Hong Kong – Comfort'!H33</f>
        <v/>
      </c>
      <c r="E39" s="68">
        <f>'Hong Kong – Comfort'!K30</f>
        <v/>
      </c>
      <c r="F39" s="68">
        <f>'Hong Kong – Comfort'!K31</f>
        <v/>
      </c>
      <c r="G39" s="69">
        <f>'Hong Kong – Comfort'!K33</f>
        <v/>
      </c>
      <c r="H39" s="70">
        <f>'Hong Kong – Comfort'!H34</f>
        <v/>
      </c>
      <c r="I39" s="70">
        <f>'Hong Kong – Comfort'!K34</f>
        <v/>
      </c>
      <c r="J39" s="71">
        <f>'Hong Kong – Comfort'!H35</f>
        <v/>
      </c>
      <c r="K39" s="71">
        <f>'Hong Kong – Comfort'!D60</f>
        <v/>
      </c>
      <c r="L39" s="123">
        <f>IF(F39&gt;=0,"yes","over by "&amp;TEXT(-F39,"#,##0")&amp;" ₮")</f>
        <v/>
      </c>
      <c r="M39" s="68">
        <f>Compare!$B$5-E39/(1+Compare!$B$11)</f>
        <v/>
      </c>
    </row>
    <row r="40" ht="30" customHeight="1" s="56">
      <c r="A40" s="67" t="inlineStr">
        <is>
          <t>Hong Kong – Value</t>
        </is>
      </c>
      <c r="B40" s="68">
        <f>'Hong Kong – Value'!H30</f>
        <v/>
      </c>
      <c r="C40" s="68">
        <f>'Hong Kong – Value'!H31</f>
        <v/>
      </c>
      <c r="D40" s="69">
        <f>'Hong Kong – Value'!H33</f>
        <v/>
      </c>
      <c r="E40" s="68">
        <f>'Hong Kong – Value'!K30</f>
        <v/>
      </c>
      <c r="F40" s="68">
        <f>'Hong Kong – Value'!K31</f>
        <v/>
      </c>
      <c r="G40" s="69">
        <f>'Hong Kong – Value'!K33</f>
        <v/>
      </c>
      <c r="H40" s="70">
        <f>'Hong Kong – Value'!H34</f>
        <v/>
      </c>
      <c r="I40" s="70">
        <f>'Hong Kong – Value'!K34</f>
        <v/>
      </c>
      <c r="J40" s="71">
        <f>'Hong Kong – Value'!H35</f>
        <v/>
      </c>
      <c r="K40" s="71">
        <f>'Hong Kong – Value'!D60</f>
        <v/>
      </c>
      <c r="L40" s="123">
        <f>IF(F40&gt;=0,"yes","over by "&amp;TEXT(-F40,"#,##0")&amp;" ₮")</f>
        <v/>
      </c>
      <c r="M40" s="68">
        <f>Compare!$B$5-E40/(1+Compare!$B$11)</f>
        <v/>
      </c>
    </row>
    <row r="41" s="56">
      <c r="A41" s="67" t="inlineStr">
        <is>
          <t>Hong Kong – Sleep first</t>
        </is>
      </c>
      <c r="B41" s="68">
        <f>'Hong Kong – Sleep first'!H30</f>
        <v/>
      </c>
      <c r="C41" s="68">
        <f>'Hong Kong – Sleep first'!H31</f>
        <v/>
      </c>
      <c r="D41" s="69">
        <f>'Hong Kong – Sleep first'!H33</f>
        <v/>
      </c>
      <c r="E41" s="68">
        <f>'Hong Kong – Sleep first'!K30</f>
        <v/>
      </c>
      <c r="F41" s="68">
        <f>'Hong Kong – Sleep first'!K31</f>
        <v/>
      </c>
      <c r="G41" s="69">
        <f>'Hong Kong – Sleep first'!K33</f>
        <v/>
      </c>
      <c r="H41" s="70">
        <f>'Hong Kong – Sleep first'!H34</f>
        <v/>
      </c>
      <c r="I41" s="70">
        <f>'Hong Kong – Sleep first'!K34</f>
        <v/>
      </c>
      <c r="J41" s="71">
        <f>'Hong Kong – Sleep first'!H35</f>
        <v/>
      </c>
      <c r="K41" s="71">
        <f>'Hong Kong – Sleep first'!D60</f>
        <v/>
      </c>
      <c r="L41" s="123">
        <f>IF(F41&gt;=0,"yes","over by "&amp;TEXT(-F41,"#,##0")&amp;" ₮")</f>
        <v/>
      </c>
      <c r="M41" s="68">
        <f>Compare!$B$5-E41/(1+Compare!$B$11)</f>
        <v/>
      </c>
    </row>
    <row r="42" s="56">
      <c r="A42" s="67" t="inlineStr">
        <is>
          <t>Hong Kong – Funded 12M</t>
        </is>
      </c>
      <c r="B42" s="68">
        <f>'Hong Kong – Funded 12M'!H30</f>
        <v/>
      </c>
      <c r="C42" s="68">
        <f>'Hong Kong – Funded 12M'!H31</f>
        <v/>
      </c>
      <c r="D42" s="69">
        <f>'Hong Kong – Funded 12M'!H33</f>
        <v/>
      </c>
      <c r="E42" s="68">
        <f>'Hong Kong – Funded 12M'!K30</f>
        <v/>
      </c>
      <c r="F42" s="68">
        <f>'Hong Kong – Funded 12M'!K31</f>
        <v/>
      </c>
      <c r="G42" s="69">
        <f>'Hong Kong – Funded 12M'!K33</f>
        <v/>
      </c>
      <c r="H42" s="70">
        <f>'Hong Kong – Funded 12M'!H34</f>
        <v/>
      </c>
      <c r="I42" s="70">
        <f>'Hong Kong – Funded 12M'!K34</f>
        <v/>
      </c>
      <c r="J42" s="71">
        <f>'Hong Kong – Funded 12M'!H35</f>
        <v/>
      </c>
      <c r="K42" s="71">
        <f>'Hong Kong – Funded 12M'!D60</f>
        <v/>
      </c>
      <c r="L42" s="123">
        <f>IF(F42&gt;=0,"yes","over by "&amp;TEXT(-F42,"#,##0")&amp;" ₮")</f>
        <v/>
      </c>
      <c r="M42" s="68">
        <f>Compare!$B$5-E42/(1+Compare!$B$11)</f>
        <v/>
      </c>
    </row>
    <row r="43" s="56">
      <c r="A43" s="67" t="inlineStr">
        <is>
          <t>Hong Kong – Sleep priority</t>
        </is>
      </c>
      <c r="B43" s="68">
        <f>'Hong Kong – Sleep priority'!H30</f>
        <v/>
      </c>
      <c r="C43" s="68">
        <f>'Hong Kong – Sleep priority'!H31</f>
        <v/>
      </c>
      <c r="D43" s="69">
        <f>'Hong Kong – Sleep priority'!H33</f>
        <v/>
      </c>
      <c r="E43" s="68">
        <f>'Hong Kong – Sleep priority'!K30</f>
        <v/>
      </c>
      <c r="F43" s="68">
        <f>'Hong Kong – Sleep priority'!K31</f>
        <v/>
      </c>
      <c r="G43" s="69">
        <f>'Hong Kong – Sleep priority'!K33</f>
        <v/>
      </c>
      <c r="H43" s="70">
        <f>'Hong Kong – Sleep priority'!H34</f>
        <v/>
      </c>
      <c r="I43" s="70">
        <f>'Hong Kong – Sleep priority'!K34</f>
        <v/>
      </c>
      <c r="J43" s="71">
        <f>'Hong Kong – Sleep priority'!H35</f>
        <v/>
      </c>
      <c r="K43" s="71">
        <f>'Hong Kong – Sleep priority'!D60</f>
        <v/>
      </c>
      <c r="L43" s="123">
        <f>IF(F43&gt;=0,"yes","over by "&amp;TEXT(-F43,"#,##0")&amp;" ₮")</f>
        <v/>
      </c>
      <c r="M43" s="68">
        <f>Compare!$B$5-E43/(1+Compare!$B$11)</f>
        <v/>
      </c>
    </row>
    <row r="44" ht="30" customHeight="1" s="56">
      <c r="A44" s="67" t="inlineStr">
        <is>
          <t>EC Final Hangzhou – Train</t>
        </is>
      </c>
      <c r="B44" s="68">
        <f>'EC Final Hangzhou – Train'!H34</f>
        <v/>
      </c>
      <c r="C44" s="68">
        <f>'EC Final Hangzhou – Train'!H35</f>
        <v/>
      </c>
      <c r="D44" s="69">
        <f>'EC Final Hangzhou – Train'!H37</f>
        <v/>
      </c>
      <c r="E44" s="68">
        <f>'EC Final Hangzhou – Train'!K34</f>
        <v/>
      </c>
      <c r="F44" s="68">
        <f>'EC Final Hangzhou – Train'!K35</f>
        <v/>
      </c>
      <c r="G44" s="69">
        <f>'EC Final Hangzhou – Train'!K37</f>
        <v/>
      </c>
      <c r="H44" s="70">
        <f>'EC Final Hangzhou – Train'!H38</f>
        <v/>
      </c>
      <c r="I44" s="70">
        <f>'EC Final Hangzhou – Train'!K38</f>
        <v/>
      </c>
      <c r="J44" s="71">
        <f>'EC Final Hangzhou – Train'!H39</f>
        <v/>
      </c>
      <c r="K44" s="71">
        <f>'EC Final Hangzhou – Train'!D70</f>
        <v/>
      </c>
      <c r="L44" s="123">
        <f>IF(F44&gt;=0,"yes","over by "&amp;TEXT(-F44,"#,##0")&amp;" ₮")</f>
        <v/>
      </c>
      <c r="M44" s="68">
        <f>Compare!$B$5-E44/(1+Compare!$B$11)</f>
        <v/>
      </c>
    </row>
    <row r="45" ht="30" customHeight="1" s="56">
      <c r="A45" s="67" t="inlineStr">
        <is>
          <t>EC Final Hangzhou – Fly</t>
        </is>
      </c>
      <c r="B45" s="68">
        <f>'EC Final Hangzhou – Fly'!H33</f>
        <v/>
      </c>
      <c r="C45" s="68">
        <f>'EC Final Hangzhou – Fly'!H34</f>
        <v/>
      </c>
      <c r="D45" s="69">
        <f>'EC Final Hangzhou – Fly'!H36</f>
        <v/>
      </c>
      <c r="E45" s="68">
        <f>'EC Final Hangzhou – Fly'!K33</f>
        <v/>
      </c>
      <c r="F45" s="68">
        <f>'EC Final Hangzhou – Fly'!K34</f>
        <v/>
      </c>
      <c r="G45" s="69">
        <f>'EC Final Hangzhou – Fly'!K36</f>
        <v/>
      </c>
      <c r="H45" s="70">
        <f>'EC Final Hangzhou – Fly'!H37</f>
        <v/>
      </c>
      <c r="I45" s="70">
        <f>'EC Final Hangzhou – Fly'!K37</f>
        <v/>
      </c>
      <c r="J45" s="71">
        <f>'EC Final Hangzhou – Fly'!H38</f>
        <v/>
      </c>
      <c r="K45" s="71">
        <f>'EC Final Hangzhou – Fly'!D70</f>
        <v/>
      </c>
      <c r="L45" s="123">
        <f>IF(F45&gt;=0,"yes","over by "&amp;TEXT(-F45,"#,##0")&amp;" ₮")</f>
        <v/>
      </c>
      <c r="M45" s="68">
        <f>Compare!$B$5-E45/(1+Compare!$B$11)</f>
        <v/>
      </c>
    </row>
    <row r="46" ht="30" customHeight="1" s="56">
      <c r="A46" s="75" t="n"/>
      <c r="B46" s="74" t="n"/>
    </row>
    <row r="47" ht="15" customHeight="1" s="56">
      <c r="A47" s="72" t="inlineStr">
        <is>
          <t>Recommended picks (not the expensive ones)</t>
        </is>
      </c>
    </row>
    <row r="48" ht="62" customHeight="1" s="56">
      <c r="A48" s="73" t="inlineStr">
        <is>
          <t>Likely pairing (your answer)</t>
        </is>
      </c>
      <c r="B48" s="74" t="inlineStr">
        <is>
          <t>Funded = Hong Kong (₮12M, coach): lead with 'Hong Kong – Sleep priority' – MIAT nonstop, 2 rooms with 4 separate twin beds and private bathrooms at Good Fortune Inn (8.6, 715 reviews, ~35–40 min MTR to HKU), airport bus: ₮11.33M before the 10% contingency (₮0.67M spare), ₮12.47M with it. Walking alternative: 'Funded 12M' (Best Western Plus, ~540 m to HKU) ₮11.70M before contingency (₮0.30M spare). Unfunded = Shenyang, sleep first and cheap after: 'Shenyang – Sleep value' ₮2.69M per person (no early start, a bed each, home 16 Nov) or 'Shenyang – Overland home' ₮2.37M per person (same before the contest, night trains home via Erenhot, home 18 Nov); Budget ₮2.14M per person is cheaper but puts a sleeper the night before day 1. The HK 2026 host may not be HKU (2025 was HKUST), which favours sleeping well and staying on the MTR over a hotel next to one campus.</t>
        </is>
      </c>
    </row>
    <row r="49" ht="75" customHeight="1" s="56">
      <c r="A49" s="73" t="inlineStr">
        <is>
          <t>Unfunded regional (3 ppl pay)</t>
        </is>
      </c>
      <c r="B49" s="74" t="inlineStr">
        <is>
          <t>Cheapest sleep-safe plans per person incl. fee, taxi, insurance, eSIM and 10% contingency: Shenyang – Overland out (seats) ₮1.70M per person (cheapest of all, but two seated train nights before day 1); Shenyang – Budget ₮2.14M per person (soft sleeper before day 1); Shenyang – Overland home ₮2.37M per person (no early start, a bed each, overland home); Shenyang – Comfort ₮2.46M per person; Nanchang – Sleeper ₮2.50M per person; Shenyang – Sleep value ₮2.69M / Sleep first ₮2.89M per person (no early start, a bed each, fly home); Shanghai – Sleeper ₮2.78M per person (Shanghai nonstop with cheap rooms ₮2.90M); Hong Kong – Budget ₮3.43M per person; EC Final – Train ₮3.14M per person. Shenyang and Nanchang are the cheap ones to pay yourselves.</t>
        </is>
      </c>
    </row>
    <row r="50" ht="62" customHeight="1" s="56">
      <c r="A50" s="73" t="inlineStr">
        <is>
          <t>Funded regional (₮12M, coach)</t>
        </is>
      </c>
      <c r="B50" s="74" t="inlineStr">
        <is>
          <t>Fits ₮12M incl. contingency: Shenyang – Comfort ₮8.04M (fits, ₮3.96M left); Shanghai – Sleeper ₮9.23M (fits, ₮2.77M left; the nonstop with cheap rooms ₮9.48M and 'Fly out, train home' ₮9.28M also fit); Nanchang – Sleeper ₮8.19M (fits, ₮3.81M left); EC Final – Train ₮11.12M (fits, ₮0.88M left). Hong Kong only fits before the 10% contingency (the flights are ₮8.4M of it): Budget ₮11.02M, Value ₮11.26M, Sleep priority ₮11.33M, Funded 12M ₮11.70M, Comfort ₮11.96M; Sleep first ₮13.14M and EC Final – Fly do not fit at all. Use the funded trip for the dearest contest you must attend and pay the cheap one yourselves.</t>
        </is>
      </c>
    </row>
    <row r="51" ht="105" customHeight="1" s="56">
      <c r="A51" s="73" t="inlineStr">
        <is>
          <t>Regional – Shenyang (14–15 Nov)</t>
        </is>
      </c>
      <c r="B51" s="74" t="inlineStr">
        <is>
          <t>Sleep first, cheapest after (22 Oct prices): Air China 11:50 out (¥1,291 on Ctrip; no 04:00 wake-up) + G153, two twin rooms for 3 nights, K28 hard seat + Air China 12:55 home. Sleep first (NEU International, 580 m, 9.7) ₮7.47M / ₮9.47M; Sleep value (Ji Hotel twins, ~15 min walk, 9.0) ₮6.88M / ₮8.87M; Overland home (Sleep value out, K1568 + 4652 night trains, jeep at Erenhot, UBTZ 275, home 18 Nov) ₮5.97M / ₮7.67M (3 / 4 ppl). Older: Comfort (MIAT 07:30, RiCH family room, K54) ₮6.18M / ₮8.04M; no sleepers: G-train Comfort ₮6.72M / ₮8.84M, G-train Budget ₮6.05M / ₮8.27M. Cheap way out instead (22 Oct; sheet 'Shenyang – Way out', rest of the trip as Sleep value): Overland out (UBTZ 276 + jeep + 4654 + T301, seats) ₮3.96M / ₮5.19M, per person ₮1.70M; with berths ₮1.79M per person; Hunnu Daxing + K341 ₮2.08M; MIAT 13 Nov + K341 ₮2.10M; Hunnu Erenhot ₮2.14M; Manzhouli seats ₮2.27M (sleep OK); Hohhot red-eye ₮2.34M (WATCH). Hohhot + Spring (Air China CA758 + Spring 9C6782, two tickets, no night train, BEST) ₮6.56M / ₮8.46M, ₮2.59M per person – ₮0.11M less than Sleep value (27 Oct: Spring ¥220 fare + ¥140 airport fee and fuel surcharge; 20 kg bag +¥120). All others are POOR for sleep: a seated night right before day 1.</t>
        </is>
      </c>
    </row>
    <row r="52" ht="47" customHeight="1" s="56">
      <c r="A52" s="73" t="inlineStr">
        <is>
          <t>Regional – Shanghai (5–6 Dec)</t>
        </is>
      </c>
      <c r="B52" s="74" t="inlineStr">
        <is>
          <t>Sleeper: MIAT $151 + G17 out on 3 Dec, 2 cheap rooms 3 nights at Hi Inn (1.8 km, 8.9), D8 overnight seat back, Air China 12:55 $172 on 7 Dec: ₮7.15M / ₮9.23M. Spring nonstop with the same cheap rooms (Tue 1 → Tue 8 Dec, 7 nights) ₮7.50M / ₮9.48M (was ₮8.21M / ₮10.73M with the apartment); 'Fly out, train home' (Spring out, D10 seat ¥294 after the awards, Air China 7 Dec, no hotel nights after the contest) ₮7.27M / ₮9.28M. Wildcard: email shu_icpc@163.com now.</t>
        </is>
      </c>
    </row>
    <row r="53" ht="47" customHeight="1" s="56">
      <c r="A53" s="73" t="inlineStr">
        <is>
          <t>Regional – Nanchang (19–20 Dec)</t>
        </is>
      </c>
      <c r="B53" s="74" t="inlineStr">
        <is>
          <t>Sleeper: Air China $157 + Z111 hard sleeper (arrive 11:52 on 18 Dec), Orange Hotel 2 nights, D136 seat back, Air China 12:55 $172. Comfort (daytime G-train, 3 hotel nights) ₮7.96M / ₮10.32M; Fly in (Air China through ticket $356) ₮8.41M / ₮10.95M.</t>
        </is>
      </c>
    </row>
    <row r="54" ht="62" customHeight="1" s="56">
      <c r="A54" s="73" t="inlineStr">
        <is>
          <t>Regional – Hong Kong (9–10 Jan)</t>
        </is>
      </c>
      <c r="B54" s="74" t="inlineStr">
        <is>
          <t>MIAT nonstop ($586 return on Trip.com, low against the usual $708–900) is the cheapest way in; flights are ₮8.4M of the 4-person cost. With sleep prioritised over distance: Sleep priority (Good Fortune Inn, 4 twin beds, ~35–40 min MTR) ₮9.14M / ₮12.47M, Funded 12M (BW Plus, 2 rooms, walk to HKU) ₮9.35M / ₮12.87M, Budget guesthouse ₮9.08M / ₮12.12M, Value (Kusa Inn 9.6) ₮9.08M / ₮12.38M, Sleep first (2 rooms in Sheung Wan) ₮11.63M / ₮14.45M (3 / 4 ppl). No route or date is cheaper (checked 10 Oct).</t>
        </is>
      </c>
    </row>
    <row r="55" ht="47" customHeight="1" s="56">
      <c r="A55" s="73" t="inlineStr">
        <is>
          <t>EC Final (only if qualified)</t>
        </is>
      </c>
      <c r="B55" s="74" t="inlineStr">
        <is>
          <t>Train: MIAT to Beijing, D17 overnight sleeper Beijing 19:10 → Hangzhou 09:15 (¥491), Air China through ticket Hangzhou → UB on 29 Jan: ₮11.12M (fits, ₮0.88M left) for 4 ppl, ₮3.14M per person for 3. Fly (Aero Mongolia + Xiamen via Hohhot) is ₮14.82M (over by ₮2.82M) – does not fit ₮12M. Buy D17 on 12306 at 10:00 on 11 Jan.</t>
        </is>
      </c>
    </row>
    <row r="56" ht="32" customHeight="1" s="56"/>
    <row r="57" ht="32" customHeight="1" s="56">
      <c r="A57" s="75" t="inlineStr">
        <is>
          <t>Note</t>
        </is>
      </c>
      <c r="B57" s="74" t="inlineStr">
        <is>
          <t>Dates are provisional (ICPC Beijing HQ summary, 5 Aug 2026). Hong Kong host (HKU) and EC Final venue (HZNU Cangqian) are from secondary sources; Shanghai (Shanghai University Baoshan) follows the 2025 invitation and Nanchang (Jiangxi Normal University Yaohu campus) the 2019 handbook – confirm each invitation.</t>
        </is>
      </c>
    </row>
    <row r="58" ht="18" customHeight="1" s="56">
      <c r="A58" s="75" t="inlineStr">
        <is>
          <t>Note</t>
        </is>
      </c>
      <c r="B58" s="74" t="inlineStr">
        <is>
          <t>EC Final is qualification-only: plan it only once the team has earned a slot at a regional.</t>
        </is>
      </c>
    </row>
    <row r="59" ht="32" customHeight="1" s="56">
      <c r="A59" s="75" t="inlineStr">
        <is>
          <t>Note</t>
        </is>
      </c>
      <c r="B59" s="74" t="inlineStr">
        <is>
          <t>4-person plans use whatever split is cheapest on Trip.com/Booking.com: one family room for 4 (Shenyang RiCH, Nanchang Orange Hotel), or two rooms. Taxi costs assume one car; with luggage 4 people may need an XL car.</t>
        </is>
      </c>
    </row>
    <row r="60" ht="47" customHeight="1" s="56">
      <c r="A60" s="75" t="inlineStr">
        <is>
          <t>Note</t>
        </is>
      </c>
      <c r="B60" s="74" t="inlineStr">
        <is>
          <t>Sleep rule (see the 'Sleep check' sheet): the two nights before each contest day are in a quiet bed near the venue; sleepers, early flights and red-eyes are only used before day 1 (soft sleeper) or after the contest (anything goes). Sleeper trains replace hotel nights in the Shenyang, Shanghai (D8 seat), Nanchang (Z111 / D136 seat) and EC Final (D17) plans; the 'G-train' / 'no sleeper' variants cost more per trip. Chinese train tickets go on sale 14 days ahead – dates are in the '12306 &amp; ChinaTicketOnline' and '10 Oct' sheets of the fares workbook.</t>
        </is>
      </c>
    </row>
    <row r="61" ht="32" customHeight="1" s="56">
      <c r="A61" s="75" t="inlineStr">
        <is>
          <t>Note</t>
        </is>
      </c>
      <c r="B61" s="74" t="inlineStr">
        <is>
          <t>Sources (10 Oct): Trip.com (flights and hotels, built-in browser), 12306 (official train fares), ChinaTicketOnline (timetable and sale-date check; 30–70% dearer than 12306, not used for booking), SlickTrip (MIAT / Spring fares; by 22 Oct it prices Air China, but $90–180 above Trip.com), UBTZ e-ticket (Zamyn-Uud → Ulaanbaatar train, 22 Oct), Ctrip / Kiwi / Google Flights (22 Oct cross-check of the Shenyang flights; Ctrip had the cheapest Air China fare).</t>
        </is>
      </c>
    </row>
  </sheetData>
  <mergeCells count="14">
    <mergeCell ref="B61:K61"/>
    <mergeCell ref="B57:K57"/>
    <mergeCell ref="B49:K49"/>
    <mergeCell ref="B50:K50"/>
    <mergeCell ref="B48:K48"/>
    <mergeCell ref="B58:K58"/>
    <mergeCell ref="B52:K52"/>
    <mergeCell ref="B53:K53"/>
    <mergeCell ref="A2:K2"/>
    <mergeCell ref="B55:K55"/>
    <mergeCell ref="B54:K54"/>
    <mergeCell ref="B51:K51"/>
    <mergeCell ref="B59:K59"/>
    <mergeCell ref="B60:K6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outlinePr summaryBelow="1" summaryRight="1"/>
    <pageSetUpPr/>
  </sheetPr>
  <dimension ref="A1:H42"/>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30" customWidth="1" style="56" min="1" max="1"/>
    <col width="22" customWidth="1" style="56" min="2" max="2"/>
    <col width="32" customWidth="1" style="56" min="3" max="3"/>
    <col width="34" customWidth="1" style="56" min="4" max="4"/>
    <col width="30" customWidth="1" style="56" min="5" max="5"/>
    <col width="22" customWidth="1" style="56" min="6" max="6"/>
    <col width="10" customWidth="1" style="56" min="7" max="7"/>
    <col width="70" customWidth="1" style="56" min="8" max="8"/>
  </cols>
  <sheetData>
    <row r="1">
      <c r="A1" s="115" t="inlineStr">
        <is>
          <t>Sleep check – protect the nights before the contest, spend nothing on comfort after it</t>
        </is>
      </c>
    </row>
    <row r="2" ht="78" customHeight="1" s="56">
      <c r="A2" s="116" t="inlineStr">
        <is>
          <t>Rules used: (1) the two nights before the contest day are in a real bed, quiet, ≤30 min from the venue, ≥7.5 h in bed and no wake-up before ~06:00 on contest morning; (2) no overnight train or flight on the contest eve; a sleeper before day 1 only if it is a soft sleeper that arrives by midday and there is a bed night in between; (3) flights before 08:00 only ≥2 nights before the contest; (4) after the contest anything goes – hard sleepers, seats, red-eye trains, 04:30 airport runs – so the cheapest option is used. No time-zone effect: Mongolia, China and Hong Kong are all UTC+8.</t>
        </is>
      </c>
    </row>
    <row r="4">
      <c r="A4" s="117" t="inlineStr">
        <is>
          <t>Plan</t>
        </is>
      </c>
      <c r="B4" s="117" t="inlineStr">
        <is>
          <t>Contest day / day 1</t>
        </is>
      </c>
      <c r="C4" s="117" t="inlineStr">
        <is>
          <t>Night −3</t>
        </is>
      </c>
      <c r="D4" s="117" t="inlineStr">
        <is>
          <t>Night −2 (before day 1)</t>
        </is>
      </c>
      <c r="E4" s="117" t="inlineStr">
        <is>
          <t>Night −1 (contest eve)</t>
        </is>
      </c>
      <c r="F4" s="117" t="inlineStr">
        <is>
          <t>Contest morning</t>
        </is>
      </c>
      <c r="G4" s="117" t="inlineStr">
        <is>
          <t>Verdict</t>
        </is>
      </c>
      <c r="H4" s="117" t="inlineStr">
        <is>
          <t>Sleep fix / what changed</t>
        </is>
      </c>
    </row>
    <row r="5" ht="66" customHeight="1" s="56">
      <c r="A5" s="118" t="inlineStr">
        <is>
          <t>Shenyang – Comfort</t>
        </is>
      </c>
      <c r="B5" s="116" t="inlineStr">
        <is>
          <t>Sun 15 Nov / Sat 14 Nov</t>
        </is>
      </c>
      <c r="C5" s="116" t="inlineStr">
        <is>
          <t>12 Nov RiCH hotel (after a 04:30 start for MIAT 07:30; nap in the afternoon)</t>
        </is>
      </c>
      <c r="D5" s="116" t="inlineStr">
        <is>
          <t>13 Nov RiCH, free rest day</t>
        </is>
      </c>
      <c r="E5" s="116" t="inlineStr">
        <is>
          <t>14 Nov RiCH, family room, quiet</t>
        </is>
      </c>
      <c r="F5" s="116" t="inlineStr">
        <is>
          <t>Walk 18 min, wake ~07:00</t>
        </is>
      </c>
      <c r="G5" s="119" t="inlineStr">
        <is>
          <t>BEST</t>
        </is>
      </c>
      <c r="H5" s="116" t="inlineStr">
        <is>
          <t>Sleeper K54 is after the contest, so it is now a hard sleeper (soft was ¥263): saves ~₮0.16M (₮6.2M total).</t>
        </is>
      </c>
    </row>
    <row r="6" ht="66" customHeight="1" s="56">
      <c r="A6" s="118" t="inlineStr">
        <is>
          <t>Shenyang – Budget</t>
        </is>
      </c>
      <c r="B6" s="116" t="inlineStr">
        <is>
          <t>Sun 15 Nov / Sat 14 Nov</t>
        </is>
      </c>
      <c r="C6" s="116" t="inlineStr">
        <is>
          <t>12 Nov at home</t>
        </is>
      </c>
      <c r="D6" s="116" t="inlineStr">
        <is>
          <t>13 Nov K53 soft sleeper 22:35–07:00 (was hard): ~5–6 h, then day-1 registration</t>
        </is>
      </c>
      <c r="E6" s="116" t="inlineStr">
        <is>
          <t>14 Nov Bestay hotel (8.2, budget chain)</t>
        </is>
      </c>
      <c r="F6" s="116" t="inlineStr">
        <is>
          <t>Metro 25 min, wake ~06:30</t>
        </is>
      </c>
      <c r="G6" s="120" t="inlineStr">
        <is>
          <t>WATCH</t>
        </is>
      </c>
      <c r="H6" s="116" t="inlineStr">
        <is>
          <t>K53 is the night before day 1, so it is now a soft sleeper (+¥92 pp, +₮0.16M; ₮5.2M total). Nap on arrival; the contest eve is in a bed. Safer: Comfort or either G-train variant.</t>
        </is>
      </c>
    </row>
    <row r="7" ht="66" customHeight="1" s="56">
      <c r="A7" s="118" t="inlineStr">
        <is>
          <t>Shenyang – Comfort (G-train)</t>
        </is>
      </c>
      <c r="B7" s="116" t="inlineStr">
        <is>
          <t>Sun 15 Nov / Sat 14 Nov</t>
        </is>
      </c>
      <c r="C7" s="116" t="inlineStr">
        <is>
          <t>12 Nov RiCH hotel</t>
        </is>
      </c>
      <c r="D7" s="116" t="inlineStr">
        <is>
          <t>13 Nov RiCH</t>
        </is>
      </c>
      <c r="E7" s="116" t="inlineStr">
        <is>
          <t>14 Nov RiCH</t>
        </is>
      </c>
      <c r="F7" s="116" t="inlineStr">
        <is>
          <t>Walk 18 min, wake ~07:00</t>
        </is>
      </c>
      <c r="G7" s="119" t="inlineStr">
        <is>
          <t>BEST</t>
        </is>
      </c>
      <c r="H7" s="116" t="inlineStr">
        <is>
          <t>All beds before the contest; the Beijing hotel night (Dequan) is after it. +0.5M vs the sleeper plan.</t>
        </is>
      </c>
    </row>
    <row r="8" ht="66" customHeight="1" s="56">
      <c r="A8" s="118" t="inlineStr">
        <is>
          <t>Shenyang – Budget (G-train)</t>
        </is>
      </c>
      <c r="B8" s="116" t="inlineStr">
        <is>
          <t>Sun 15 Nov / Sat 14 Nov</t>
        </is>
      </c>
      <c r="C8" s="116" t="inlineStr">
        <is>
          <t>12 Nov at home</t>
        </is>
      </c>
      <c r="D8" s="116" t="inlineStr">
        <is>
          <t>13 Nov Dequan hotel Beijing, wake 05:45 for G101 08:00 (~6.5 h)</t>
        </is>
      </c>
      <c r="E8" s="116" t="inlineStr">
        <is>
          <t>14 Nov Bestay hotel</t>
        </is>
      </c>
      <c r="F8" s="116" t="inlineStr">
        <is>
          <t>Metro 25 min, wake ~06:30</t>
        </is>
      </c>
      <c r="G8" s="121" t="inlineStr">
        <is>
          <t>OK</t>
        </is>
      </c>
      <c r="H8" s="116" t="inlineStr">
        <is>
          <t>Two nights in beds; one early wake two nights before the contest. Cheapest plan with no sleeper before the contest.</t>
        </is>
      </c>
    </row>
    <row r="9" ht="45" customHeight="1" s="56">
      <c r="A9" s="118" t="inlineStr">
        <is>
          <t>Shenyang – Sleep first</t>
        </is>
      </c>
      <c r="B9" s="116" t="inlineStr">
        <is>
          <t>Sun 15 Nov / Sat 14 Nov</t>
        </is>
      </c>
      <c r="C9" s="116" t="inlineStr">
        <is>
          <t>12 Nov NEU International (normal wake-up ~08:00 for Air China 11:50; bed ~23:00)</t>
        </is>
      </c>
      <c r="D9" s="116" t="inlineStr">
        <is>
          <t>13 Nov same room, free rest day, no alarm</t>
        </is>
      </c>
      <c r="E9" s="116" t="inlineStr">
        <is>
          <t>14 Nov same room, twin room, 580 m</t>
        </is>
      </c>
      <c r="F9" s="116" t="inlineStr">
        <is>
          <t>Walk 7 min, wake ~07:00</t>
        </is>
      </c>
      <c r="G9" s="121" t="inlineStr">
        <is>
          <t>BEST</t>
        </is>
      </c>
      <c r="H9" s="116" t="inlineStr">
        <is>
          <t>No alarm before ~08:00 on any day before the contest (Air China 11:50 instead of MIAT 07:30, ¥195 ≈ ₮0.10M pp more on Ctrip), three nights in the same room and a bed each (2 twin rooms, 38 m², 9.7). After the contest the cheapest: K28 hard seat + Air China 12:55. ₮2.89M per person (3 ppl).</t>
        </is>
      </c>
    </row>
    <row r="10" ht="45" customHeight="1" s="56">
      <c r="A10" s="118" t="inlineStr">
        <is>
          <t>Shenyang – Sleep value</t>
        </is>
      </c>
      <c r="B10" s="116" t="inlineStr">
        <is>
          <t>Sun 15 Nov / Sat 14 Nov</t>
        </is>
      </c>
      <c r="C10" s="116" t="inlineStr">
        <is>
          <t>12 Nov Ji Hotel (normal wake-up ~08:00 for Air China 11:50; bed ~23:00)</t>
        </is>
      </c>
      <c r="D10" s="116" t="inlineStr">
        <is>
          <t>13 Nov same room, free rest day, no alarm</t>
        </is>
      </c>
      <c r="E10" s="116" t="inlineStr">
        <is>
          <t>14 Nov same room, twin room, ~15 min walk</t>
        </is>
      </c>
      <c r="F10" s="116" t="inlineStr">
        <is>
          <t>Walk ~15 min, wake ~06:50</t>
        </is>
      </c>
      <c r="G10" s="121" t="inlineStr">
        <is>
          <t>BEST</t>
        </is>
      </c>
      <c r="H10" s="116" t="inlineStr">
        <is>
          <t>Same timing and a bed each (2 twin rooms, King Koil mattresses, 9.0); smaller rooms and a ~15 min walk. ₮2.69M per person – ₮0.20M less than Sleep first.</t>
        </is>
      </c>
    </row>
    <row r="11" ht="45" customHeight="1" s="56">
      <c r="A11" s="118" t="inlineStr">
        <is>
          <t>Shenyang – Overland home</t>
        </is>
      </c>
      <c r="B11" s="116" t="inlineStr">
        <is>
          <t>Sun 15 Nov / Sat 14 Nov</t>
        </is>
      </c>
      <c r="C11" s="116" t="inlineStr">
        <is>
          <t>12 Nov Ji Hotel (normal wake-up ~08:00 for Air China 11:50; bed ~23:00)</t>
        </is>
      </c>
      <c r="D11" s="116" t="inlineStr">
        <is>
          <t>13 Nov same room, free rest day, no alarm</t>
        </is>
      </c>
      <c r="E11" s="116" t="inlineStr">
        <is>
          <t>14 Nov same room, twin room, ~15 min walk</t>
        </is>
      </c>
      <c r="F11" s="116" t="inlineStr">
        <is>
          <t>Walk ~15 min, wake ~06:50</t>
        </is>
      </c>
      <c r="G11" s="121" t="inlineStr">
        <is>
          <t>BEST</t>
        </is>
      </c>
      <c r="H11" s="116" t="inlineStr">
        <is>
          <t>Identical to Sleep value before the contest. After it: K1568 + 4652 hard sleepers, jeep across the border at Erenhot, UBTZ 275 platskart, home 18 Nov 09:20. ₮2.37M per person – the cheapest Shenyang plan without an early start or a sleeper before the contest.</t>
        </is>
      </c>
    </row>
    <row r="12" ht="45" customHeight="1" s="56">
      <c r="A12" s="118" t="inlineStr">
        <is>
          <t>Shenyang – Overland out (seats)</t>
        </is>
      </c>
      <c r="B12" s="116" t="inlineStr">
        <is>
          <t>Sun 15 Nov / Sat 14 Nov</t>
        </is>
      </c>
      <c r="C12" s="116" t="inlineStr">
        <is>
          <t>12 Nov UBTZ 276 seat</t>
        </is>
      </c>
      <c r="D12" s="116" t="inlineStr">
        <is>
          <t>13 Nov T301 hard seat 19:30–10:16, then registration</t>
        </is>
      </c>
      <c r="E12" s="116" t="inlineStr">
        <is>
          <t>14 Nov Ji Hotel, twin room</t>
        </is>
      </c>
      <c r="F12" s="116" t="inlineStr">
        <is>
          <t>Walk ~15 min, wake ~06:50</t>
        </is>
      </c>
      <c r="G12" s="121" t="inlineStr">
        <is>
          <t>POOR</t>
        </is>
      </c>
      <c r="H12" s="116" t="inlineStr">
        <is>
          <t>Two seated train nights back to back before day 1. Leaving on 10 Nov instead adds two hotel nights (~₮0.16M pp) and turns this into OK. Berths: see 'Overland out, berths'.</t>
        </is>
      </c>
    </row>
    <row r="13" ht="45" customHeight="1" s="56">
      <c r="A13" s="118" t="inlineStr">
        <is>
          <t>Shenyang – Overland out, berths</t>
        </is>
      </c>
      <c r="B13" s="116" t="inlineStr">
        <is>
          <t>Sun 15 Nov / Sat 14 Nov</t>
        </is>
      </c>
      <c r="C13" s="116" t="inlineStr">
        <is>
          <t>12 Nov UBTZ 276 platskart berth</t>
        </is>
      </c>
      <c r="D13" s="116" t="inlineStr">
        <is>
          <t>13 Nov T301 hard sleeper, then registration</t>
        </is>
      </c>
      <c r="E13" s="116" t="inlineStr">
        <is>
          <t>14 Nov Ji Hotel, twin room</t>
        </is>
      </c>
      <c r="F13" s="116" t="inlineStr">
        <is>
          <t>Walk ~15 min, wake ~06:50</t>
        </is>
      </c>
      <c r="G13" s="121" t="inlineStr">
        <is>
          <t>POOR</t>
        </is>
      </c>
      <c r="H13" s="116" t="inlineStr">
        <is>
          <t>Lying down both nights, but still two train nights in a row before day 1. +₮0.09M pp over seats.</t>
        </is>
      </c>
    </row>
    <row r="14" ht="45" customHeight="1" s="56">
      <c r="A14" s="118" t="inlineStr">
        <is>
          <t>Shenyang – Manzhouli seats</t>
        </is>
      </c>
      <c r="B14" s="116" t="inlineStr">
        <is>
          <t>Sun 15 Nov / Sat 14 Nov</t>
        </is>
      </c>
      <c r="C14" s="116" t="inlineStr">
        <is>
          <t>12 Nov Ji Hotel (after a night sitting up on K7092; arrive 14:32)</t>
        </is>
      </c>
      <c r="D14" s="116" t="inlineStr">
        <is>
          <t>13 Nov Ji Hotel, free rest day</t>
        </is>
      </c>
      <c r="E14" s="116" t="inlineStr">
        <is>
          <t>14 Nov Ji Hotel, twin room</t>
        </is>
      </c>
      <c r="F14" s="116" t="inlineStr">
        <is>
          <t>Walk ~15 min, wake ~06:50</t>
        </is>
      </c>
      <c r="G14" s="121" t="inlineStr">
        <is>
          <t>OK</t>
        </is>
      </c>
      <c r="H14" s="116" t="inlineStr">
        <is>
          <t>The seated night is four nights before the contest and three hotel nights follow. Soft sleeper on K7092 (+¥205 pp) makes it BEST.</t>
        </is>
      </c>
    </row>
    <row r="15" ht="45" customHeight="1" s="56">
      <c r="A15" s="118" t="inlineStr">
        <is>
          <t>Shenyang – Hunnu Daxing + K341</t>
        </is>
      </c>
      <c r="B15" s="116" t="inlineStr">
        <is>
          <t>Sun 15 Nov / Sat 14 Nov</t>
        </is>
      </c>
      <c r="C15" s="116" t="inlineStr">
        <is>
          <t>12 Nov at home</t>
        </is>
      </c>
      <c r="D15" s="116" t="inlineStr">
        <is>
          <t>13 Nov K341 hard seat 23:00–08:47, then registration</t>
        </is>
      </c>
      <c r="E15" s="116" t="inlineStr">
        <is>
          <t>14 Nov Ji Hotel, twin room</t>
        </is>
      </c>
      <c r="F15" s="116" t="inlineStr">
        <is>
          <t>Walk ~15 min, wake ~06:50</t>
        </is>
      </c>
      <c r="G15" s="121" t="inlineStr">
        <is>
          <t>POOR</t>
        </is>
      </c>
      <c r="H15" s="116" t="inlineStr">
        <is>
          <t>Seated night right before day 1. K341 hard sleeper (+¥82 pp) or K53 22:35 soft sleeper (¥263) brings it to WATCH.</t>
        </is>
      </c>
    </row>
    <row r="16" ht="45" customHeight="1" s="56">
      <c r="A16" s="118" t="inlineStr">
        <is>
          <t>Shenyang – MIAT 13 Nov + K341</t>
        </is>
      </c>
      <c r="B16" s="116" t="inlineStr">
        <is>
          <t>Sun 15 Nov / Sat 14 Nov</t>
        </is>
      </c>
      <c r="C16" s="116" t="inlineStr">
        <is>
          <t>12 Nov at home</t>
        </is>
      </c>
      <c r="D16" s="116" t="inlineStr">
        <is>
          <t>13 Nov K341 hard seat 23:00–08:47, then registration</t>
        </is>
      </c>
      <c r="E16" s="116" t="inlineStr">
        <is>
          <t>14 Nov Ji Hotel, twin room</t>
        </is>
      </c>
      <c r="F16" s="116" t="inlineStr">
        <is>
          <t>Walk ~15 min, wake ~06:50</t>
        </is>
      </c>
      <c r="G16" s="121" t="inlineStr">
        <is>
          <t>POOR</t>
        </is>
      </c>
      <c r="H16" s="116" t="inlineStr">
        <is>
          <t>Same as Hunnu Daxing + K341. 'Shenyang – Budget' is this flight with the K53 soft sleeper (WATCH).</t>
        </is>
      </c>
    </row>
    <row r="17" ht="45" customHeight="1" s="56">
      <c r="A17" s="118" t="inlineStr">
        <is>
          <t>Shenyang – Hunnu Erenhot</t>
        </is>
      </c>
      <c r="B17" s="116" t="inlineStr">
        <is>
          <t>Sun 15 Nov / Sat 14 Nov</t>
        </is>
      </c>
      <c r="C17" s="116" t="inlineStr">
        <is>
          <t>12 Nov at home (wake ~05:30 on 13 Nov)</t>
        </is>
      </c>
      <c r="D17" s="116" t="inlineStr">
        <is>
          <t>13 Nov T301 hard seat, then registration</t>
        </is>
      </c>
      <c r="E17" s="116" t="inlineStr">
        <is>
          <t>14 Nov Ji Hotel, twin room</t>
        </is>
      </c>
      <c r="F17" s="116" t="inlineStr">
        <is>
          <t>Walk ~15 min, wake ~06:50</t>
        </is>
      </c>
      <c r="G17" s="121" t="inlineStr">
        <is>
          <t>POOR</t>
        </is>
      </c>
      <c r="H17" s="116" t="inlineStr">
        <is>
          <t>Early start plus a seated night before day 1. Flying on 11 Nov instead (same fare) adds two hotel nights and turns it OK.</t>
        </is>
      </c>
    </row>
    <row r="18" ht="45" customHeight="1" s="56">
      <c r="A18" s="118" t="inlineStr">
        <is>
          <t>Shenyang – Hohhot red-eye</t>
        </is>
      </c>
      <c r="B18" s="116" t="inlineStr">
        <is>
          <t>Sun 15 Nov / Sat 14 Nov</t>
        </is>
      </c>
      <c r="C18" s="116" t="inlineStr">
        <is>
          <t>12 Nov T304 hard seat (after a red-eye night, bed ~01:30)</t>
        </is>
      </c>
      <c r="D18" s="116" t="inlineStr">
        <is>
          <t>13 Nov Ji Hotel (arrive 10:16)</t>
        </is>
      </c>
      <c r="E18" s="116" t="inlineStr">
        <is>
          <t>14 Nov Ji Hotel</t>
        </is>
      </c>
      <c r="F18" s="116" t="inlineStr">
        <is>
          <t>Walk ~15 min, wake ~06:50</t>
        </is>
      </c>
      <c r="G18" s="121" t="inlineStr">
        <is>
          <t>WATCH</t>
        </is>
      </c>
      <c r="H18" s="116" t="inlineStr">
        <is>
          <t>Two short or seated nights (11 and 12 Nov) before two hotel nights. T304 hard sleeper (+¥123 pp) helps.</t>
        </is>
      </c>
    </row>
    <row r="19" ht="45" customHeight="1" s="56">
      <c r="A19" s="118" t="inlineStr">
        <is>
          <t>Shenyang – Hohhot + Spring</t>
        </is>
      </c>
      <c r="B19" s="116" t="inlineStr">
        <is>
          <t>Sun 15 Nov / Sat 14 Nov</t>
        </is>
      </c>
      <c r="C19" s="116" t="inlineStr">
        <is>
          <t>12 Nov Ji Hotel (normal wake-up ~08:30; arrive ~22:15, bed ~23:30)</t>
        </is>
      </c>
      <c r="D19" s="116" t="inlineStr">
        <is>
          <t>13 Nov same room, free rest day, no alarm</t>
        </is>
      </c>
      <c r="E19" s="116" t="inlineStr">
        <is>
          <t>14 Nov same room, twin room, ~15 min walk</t>
        </is>
      </c>
      <c r="F19" s="116" t="inlineStr">
        <is>
          <t>Walk ~15 min, wake ~06:50</t>
        </is>
      </c>
      <c r="G19" s="121" t="inlineStr">
        <is>
          <t>BEST</t>
        </is>
      </c>
      <c r="H19" s="116" t="inlineStr">
        <is>
          <t>Same nights as Sleep value; only the first one starts ~1.5 h later. Cheapest plan with no night train and no early start.</t>
        </is>
      </c>
    </row>
    <row r="20" ht="66" customHeight="1" s="56">
      <c r="A20" s="118" t="inlineStr">
        <is>
          <t>Shanghai – Sleeper</t>
        </is>
      </c>
      <c r="B20" s="116" t="inlineStr">
        <is>
          <t>Sun 6 Dec / Sat 5 Dec</t>
        </is>
      </c>
      <c r="C20" s="116" t="inlineStr">
        <is>
          <t>3 Dec Hi Inn (2 rooms) (after a 04:30 start for MIAT 07:30; arrive 17:35)</t>
        </is>
      </c>
      <c r="D20" s="116" t="inlineStr">
        <is>
          <t>4 Dec Hi Inn, free day</t>
        </is>
      </c>
      <c r="E20" s="116" t="inlineStr">
        <is>
          <t>5 Dec Hi Inn, 1.8 km</t>
        </is>
      </c>
      <c r="F20" s="116" t="inlineStr">
        <is>
          <t>Walk ~25 min or a ¥15 taxi, wake ~07:00</t>
        </is>
      </c>
      <c r="G20" s="119" t="inlineStr">
        <is>
          <t>BEST</t>
        </is>
      </c>
      <c r="H20" s="116" t="inlineStr">
        <is>
          <t>D8 is after the contest: now a 2nd-class seat (¥361, sleeper was ¥440). Two cheap rooms (Hi Inn) replace the apartment: total ₮7.15M.</t>
        </is>
      </c>
    </row>
    <row r="21" ht="66" customHeight="1" s="56">
      <c r="A21" s="118" t="inlineStr">
        <is>
          <t>Shanghai – Spring nonstop</t>
        </is>
      </c>
      <c r="B21" s="116" t="inlineStr">
        <is>
          <t>Sun 6 Dec / Sat 5 Dec</t>
        </is>
      </c>
      <c r="C21" s="116" t="inlineStr">
        <is>
          <t>2–3 Dec Jenny's</t>
        </is>
      </c>
      <c r="D21" s="116" t="inlineStr">
        <is>
          <t>4 Dec Jenny's</t>
        </is>
      </c>
      <c r="E21" s="116" t="inlineStr">
        <is>
          <t>5 Dec Jenny's</t>
        </is>
      </c>
      <c r="F21" s="116" t="inlineStr">
        <is>
          <t>Walk ~15 min</t>
        </is>
      </c>
      <c r="G21" s="119" t="inlineStr">
        <is>
          <t>BEST</t>
        </is>
      </c>
      <c r="H21" s="116" t="inlineStr">
        <is>
          <t>Five bed nights before the contest (more than needed). The 08:00 flight on 8 Dec is after the contest, so the 05:00 start does not matter.</t>
        </is>
      </c>
    </row>
    <row r="22" ht="70" customHeight="1" s="56">
      <c r="A22" s="118" t="inlineStr">
        <is>
          <t>Shanghai – Nonstop cheap rooms</t>
        </is>
      </c>
      <c r="B22" s="116" t="inlineStr">
        <is>
          <t>Sun 6 Dec / Sat 5 Dec</t>
        </is>
      </c>
      <c r="C22" s="116" t="inlineStr">
        <is>
          <t>1 Dec Hi Inn (arrive 17:00, bed ~22:00)</t>
        </is>
      </c>
      <c r="D22" s="116" t="inlineStr">
        <is>
          <t>2–4 Dec Hi Inn, free days</t>
        </is>
      </c>
      <c r="E22" s="116" t="inlineStr">
        <is>
          <t>5 Dec Hi Inn, 2 rooms, 1.8 km</t>
        </is>
      </c>
      <c r="F22" s="116" t="inlineStr">
        <is>
          <t>Walk ~25 min or a ¥15 taxi, wake ~06:45</t>
        </is>
      </c>
      <c r="G22" s="119" t="inlineStr">
        <is>
          <t>BEST</t>
        </is>
      </c>
      <c r="H22" s="116" t="inlineStr">
        <is>
          <t>Same five bed nights before the contest as 'Spring nonstop' for much less: two rooms with beds for everyone (8.9 from 423 reviews) instead of one apartment room for three. The 08:00 flight on 8 Dec is after the contest.</t>
        </is>
      </c>
    </row>
    <row r="23" ht="70" customHeight="1" s="56">
      <c r="A23" s="118" t="inlineStr">
        <is>
          <t>Shanghai – Fly out, train home</t>
        </is>
      </c>
      <c r="B23" s="116" t="inlineStr">
        <is>
          <t>Sun 6 Dec / Sat 5 Dec</t>
        </is>
      </c>
      <c r="C23" s="116" t="inlineStr">
        <is>
          <t>1 Dec Hi Inn (arrive 17:00)</t>
        </is>
      </c>
      <c r="D23" s="116" t="inlineStr">
        <is>
          <t>2–4 Dec Hi Inn</t>
        </is>
      </c>
      <c r="E23" s="116" t="inlineStr">
        <is>
          <t>5 Dec Hi Inn, 2 rooms, 1.8 km</t>
        </is>
      </c>
      <c r="F23" s="116" t="inlineStr">
        <is>
          <t>Walk ~25 min or a ¥15 taxi, wake ~06:45</t>
        </is>
      </c>
      <c r="G23" s="119" t="inlineStr">
        <is>
          <t>BEST</t>
        </is>
      </c>
      <c r="H23" s="116" t="inlineStr">
        <is>
          <t>Everything before the contest is identical to the cheap-rooms plan. The D10 seat (21:05) and the Beijing flight are after the awards, so only comfort is lost (~12 h seated, ~75 min to PEK at 09:24).</t>
        </is>
      </c>
    </row>
    <row r="24" ht="66" customHeight="1" s="56">
      <c r="A24" s="118" t="inlineStr">
        <is>
          <t>Shanghai – Train (no sleeper)</t>
        </is>
      </c>
      <c r="B24" s="116" t="inlineStr">
        <is>
          <t>Sun 6 Dec / Sat 5 Dec</t>
        </is>
      </c>
      <c r="C24" s="116" t="inlineStr">
        <is>
          <t>3 Dec Hi Inn</t>
        </is>
      </c>
      <c r="D24" s="116" t="inlineStr">
        <is>
          <t>4 Dec Hi Inn</t>
        </is>
      </c>
      <c r="E24" s="116" t="inlineStr">
        <is>
          <t>5 Dec Hi Inn</t>
        </is>
      </c>
      <c r="F24" s="116" t="inlineStr">
        <is>
          <t>Walk ~25 min or a ¥15 taxi</t>
        </is>
      </c>
      <c r="G24" s="119" t="inlineStr">
        <is>
          <t>BEST</t>
        </is>
      </c>
      <c r="H24" s="116" t="inlineStr">
        <is>
          <t>Identical before the contest; the Beijing hotel night after it costs +0.6M more for nothing – use the sleeper plan.</t>
        </is>
      </c>
    </row>
    <row r="25" ht="66" customHeight="1" s="56">
      <c r="A25" s="118" t="inlineStr">
        <is>
          <t>Nanchang – Sleeper</t>
        </is>
      </c>
      <c r="B25" s="116" t="inlineStr">
        <is>
          <t>Sun 20 Dec / Sat 19 Dec</t>
        </is>
      </c>
      <c r="C25" s="116" t="inlineStr">
        <is>
          <t>17 Dec Z111 hard sleeper 23:06–11:52 (~5–6 h, broken)</t>
        </is>
      </c>
      <c r="D25" s="116" t="inlineStr">
        <is>
          <t>18 Dec Orange Hotel, arrive 11:52 → nap</t>
        </is>
      </c>
      <c r="E25" s="116" t="inlineStr">
        <is>
          <t>19 Dec Orange Hotel, 0.7 km</t>
        </is>
      </c>
      <c r="F25" s="116" t="inlineStr">
        <is>
          <t>Walk ~10–15 min, wake ~07:00</t>
        </is>
      </c>
      <c r="G25" s="121" t="inlineStr">
        <is>
          <t>OK</t>
        </is>
      </c>
      <c r="H25" s="116" t="inlineStr">
        <is>
          <t>Two hotel nights sit between the sleeper and the contest. D136 home is after the contest: now a 2nd-class seat (¥271, sleeper was ¥382). Soft sleeper on Z111 (+¥168 pp, ~₮0.3M) is the upgrade. Total ₮6.3M.</t>
        </is>
      </c>
    </row>
    <row r="26" ht="66" customHeight="1" s="56">
      <c r="A26" s="118" t="inlineStr">
        <is>
          <t>Nanchang – Comfort</t>
        </is>
      </c>
      <c r="B26" s="116" t="inlineStr">
        <is>
          <t>Sun 20 Dec / Sat 19 Dec</t>
        </is>
      </c>
      <c r="C26" s="116" t="inlineStr">
        <is>
          <t>17 Dec Orange Hotel (after a 04:30 start; arrive 17:52)</t>
        </is>
      </c>
      <c r="D26" s="116" t="inlineStr">
        <is>
          <t>18 Dec Orange Hotel</t>
        </is>
      </c>
      <c r="E26" s="116" t="inlineStr">
        <is>
          <t>19 Dec Orange Hotel</t>
        </is>
      </c>
      <c r="F26" s="116" t="inlineStr">
        <is>
          <t>Walk ~10–15 min</t>
        </is>
      </c>
      <c r="G26" s="119" t="inlineStr">
        <is>
          <t>BEST</t>
        </is>
      </c>
      <c r="H26" s="116" t="inlineStr">
        <is>
          <t>Three bed nights; +1.6M vs the sleeper plan.</t>
        </is>
      </c>
    </row>
    <row r="27" ht="66" customHeight="1" s="56">
      <c r="A27" s="118" t="inlineStr">
        <is>
          <t>Nanchang – Fly in (Air China)</t>
        </is>
      </c>
      <c r="B27" s="116" t="inlineStr">
        <is>
          <t>Sun 20 Dec / Sat 19 Dec</t>
        </is>
      </c>
      <c r="C27" s="116" t="inlineStr">
        <is>
          <t>17 Dec Orange Hotel (lands 21:40, bed ~23:00)</t>
        </is>
      </c>
      <c r="D27" s="116" t="inlineStr">
        <is>
          <t>18 Dec Orange Hotel</t>
        </is>
      </c>
      <c r="E27" s="116" t="inlineStr">
        <is>
          <t>19 Dec Orange Hotel</t>
        </is>
      </c>
      <c r="F27" s="116" t="inlineStr">
        <is>
          <t>Walk ~10–15 min</t>
        </is>
      </c>
      <c r="G27" s="119" t="inlineStr">
        <is>
          <t>BEST</t>
        </is>
      </c>
      <c r="H27" s="116" t="inlineStr">
        <is>
          <t>No early start at all; +2.1M vs the sleeper plan.</t>
        </is>
      </c>
    </row>
    <row r="28" ht="66" customHeight="1" s="56">
      <c r="A28" s="118" t="inlineStr">
        <is>
          <t>Hong Kong – Budget</t>
        </is>
      </c>
      <c r="B28" s="116" t="inlineStr">
        <is>
          <t>Sun 10 Jan / Sat 9 Jan</t>
        </is>
      </c>
      <c r="C28" s="116" t="inlineStr">
        <is>
          <t>7 Jan at home (wake ~04:00 on 8 Jan for MIAT 07:15)</t>
        </is>
      </c>
      <c r="D28" s="116" t="inlineStr">
        <is>
          <t>8 Jan Chungking Mansion guesthouse, 3 in one small room</t>
        </is>
      </c>
      <c r="E28" s="116" t="inlineStr">
        <is>
          <t>9 Jan same room</t>
        </is>
      </c>
      <c r="F28" s="116" t="inlineStr">
        <is>
          <t>MTR ~35 min, wake ~06:15</t>
        </is>
      </c>
      <c r="G28" s="120" t="inlineStr">
        <is>
          <t>WATCH</t>
        </is>
      </c>
      <c r="H28" s="116" t="inlineStr">
        <is>
          <t>Cheapest, but small noisy rooms, three people in one room and a long commute are the worst pre-contest sleep of any plan. Use Value or Sleep first for the nights of 8 and 9 Jan.</t>
        </is>
      </c>
    </row>
    <row r="29" ht="66" customHeight="1" s="56">
      <c r="A29" s="118" t="inlineStr">
        <is>
          <t>Hong Kong – Comfort</t>
        </is>
      </c>
      <c r="B29" s="116" t="inlineStr">
        <is>
          <t>Sun 10 Jan / Sat 9 Jan</t>
        </is>
      </c>
      <c r="C29" s="116" t="inlineStr">
        <is>
          <t>7 Jan at home (04:00 start on 8 Jan)</t>
        </is>
      </c>
      <c r="D29" s="116" t="inlineStr">
        <is>
          <t>8 Jan Best Western Plus, Sai Ying Pun</t>
        </is>
      </c>
      <c r="E29" s="116" t="inlineStr">
        <is>
          <t>9 Jan same</t>
        </is>
      </c>
      <c r="F29" s="116" t="inlineStr">
        <is>
          <t>Walk / 1 MTR stop ~10–15 min</t>
        </is>
      </c>
      <c r="G29" s="121" t="inlineStr">
        <is>
          <t>OK</t>
        </is>
      </c>
      <c r="H29" s="116" t="inlineStr">
        <is>
          <t>Close to HKU but rated only 7.4 (4,583 reviews) – read the noise reviews before booking.</t>
        </is>
      </c>
    </row>
    <row r="30" ht="66" customHeight="1" s="56">
      <c r="A30" s="118" t="inlineStr">
        <is>
          <t>Hong Kong – Value</t>
        </is>
      </c>
      <c r="B30" s="116" t="inlineStr">
        <is>
          <t>Sun 10 Jan / Sat 9 Jan</t>
        </is>
      </c>
      <c r="C30" s="116" t="inlineStr">
        <is>
          <t>7 Jan at home (04:00 start)</t>
        </is>
      </c>
      <c r="D30" s="116" t="inlineStr">
        <is>
          <t>8 Jan Kusa Inn (9.6, 15 reviews), Kowloon</t>
        </is>
      </c>
      <c r="E30" s="116" t="inlineStr">
        <is>
          <t>9 Jan same</t>
        </is>
      </c>
      <c r="F30" s="116" t="inlineStr">
        <is>
          <t>MTR ~35 min, wake ~06:15</t>
        </is>
      </c>
      <c r="G30" s="121" t="inlineStr">
        <is>
          <t>OK</t>
        </is>
      </c>
      <c r="H30" s="116" t="inlineStr">
        <is>
          <t>Better-rated room for the same money, but few reviews and the same 35-min commute.</t>
        </is>
      </c>
    </row>
    <row r="31" ht="66" customHeight="1" s="56">
      <c r="A31" s="118" t="inlineStr">
        <is>
          <t>Hong Kong – Sleep first</t>
        </is>
      </c>
      <c r="B31" s="116" t="inlineStr">
        <is>
          <t>Sun 10 Jan / Sat 9 Jan</t>
        </is>
      </c>
      <c r="C31" s="116" t="inlineStr">
        <is>
          <t>7 Jan at home (04:00 start; arrive 11:50 and nap)</t>
        </is>
      </c>
      <c r="D31" s="116" t="inlineStr">
        <is>
          <t>8 Jan iclub AMTD Sheung Wan, 2 rooms</t>
        </is>
      </c>
      <c r="E31" s="116" t="inlineStr">
        <is>
          <t>9 Jan same, 2 MTR stops to HKU</t>
        </is>
      </c>
      <c r="F31" s="116" t="inlineStr">
        <is>
          <t>MTR ~10–15 min, wake ~07:00</t>
        </is>
      </c>
      <c r="G31" s="119" t="inlineStr">
        <is>
          <t>BEST</t>
        </is>
      </c>
      <c r="H31" s="116" t="inlineStr">
        <is>
          <t>Two rooms in an 8.6-rated hotel: ₮2.55M (3 ppl) / ₮2.33M (4 ppl) vs Budget (₮11.63M / ₮14.45M total). Over the ₮12M with the coach.</t>
        </is>
      </c>
    </row>
    <row r="32" ht="66" customHeight="1" s="56">
      <c r="A32" s="118" t="inlineStr">
        <is>
          <t>Hong Kong – Funded 12M (funded regional)</t>
        </is>
      </c>
      <c r="B32" s="116" t="inlineStr">
        <is>
          <t>Sun 10 Jan / Sat 9 Jan</t>
        </is>
      </c>
      <c r="C32" s="116" t="inlineStr">
        <is>
          <t>7 Jan at home (04:00 start; arrive 11:50, nap)</t>
        </is>
      </c>
      <c r="D32" s="116" t="inlineStr">
        <is>
          <t>8 Jan Best Western Plus, Sai Ying Pun, 2 rooms (2 beds each)</t>
        </is>
      </c>
      <c r="E32" s="116" t="inlineStr">
        <is>
          <t>9 Jan same, ~540 m to HKU</t>
        </is>
      </c>
      <c r="F32" s="116" t="inlineStr">
        <is>
          <t>Walk ~10 min, wake ~07:00</t>
        </is>
      </c>
      <c r="G32" s="121" t="inlineStr">
        <is>
          <t>OK</t>
        </is>
      </c>
      <c r="H32" s="116" t="inlineStr">
        <is>
          <t>Fits ₮12M only before the 10% contingency (~₮11.7M). Separate beds and no commute; the hotel is rated 7.4–8.2, so read noise reviews. Cheaper alternative with separate beds: Good Fortune Inn (8.6, 4 twin beds) but ~35 min MTR.</t>
        </is>
      </c>
    </row>
    <row r="33" ht="78" customHeight="1" s="56">
      <c r="A33" s="118" t="inlineStr">
        <is>
          <t>Hong Kong – Sleep priority (funded regional)</t>
        </is>
      </c>
      <c r="B33" s="116" t="inlineStr">
        <is>
          <t>Sun 10 Jan / Sat 9 Jan</t>
        </is>
      </c>
      <c r="C33" s="116" t="inlineStr">
        <is>
          <t>7 Jan at home (04:00 start; arrive 11:50, nap)</t>
        </is>
      </c>
      <c r="D33" s="116" t="inlineStr">
        <is>
          <t>8 Jan Good Fortune Inn: 2 rooms, 4 twin beds, private bathrooms</t>
        </is>
      </c>
      <c r="E33" s="116" t="inlineStr">
        <is>
          <t>9 Jan same</t>
        </is>
      </c>
      <c r="F33" s="116" t="inlineStr">
        <is>
          <t>MTR ~35–40 min, wake ~06:15 (lights out 22:30 = 7.75 h)</t>
        </is>
      </c>
      <c r="G33" s="121" t="inlineStr">
        <is>
          <t>OK</t>
        </is>
      </c>
      <c r="H33" s="116" t="inlineStr">
        <is>
          <t>Best bed arrangement under the ₮12M cap (everyone has their own bed and bathroom, 8.6 from 715 reviews) at ~₮11.3M before contingency; costs ~35 min of sleep a day in commute versus the BW Plus walk. Better still if the host campus turns out to be near Kowloon.</t>
        </is>
      </c>
    </row>
    <row r="34" ht="66" customHeight="1" s="56">
      <c r="A34" s="118" t="inlineStr">
        <is>
          <t>EC Final – Train</t>
        </is>
      </c>
      <c r="B34" s="116" t="inlineStr">
        <is>
          <t>Wed 27 Jan / Tue 26 Jan</t>
        </is>
      </c>
      <c r="C34" s="116" t="inlineStr">
        <is>
          <t>24 Jan at home</t>
        </is>
      </c>
      <c r="D34" s="116" t="inlineStr">
        <is>
          <t>25 Jan D17 2nd-class sleeper 19:10–09:15 (4-berth cabin, ~6 h) → arrive on day 1</t>
        </is>
      </c>
      <c r="E34" s="116" t="inlineStr">
        <is>
          <t>26 Jan HanTing, 1.6 km</t>
        </is>
      </c>
      <c r="F34" s="116" t="inlineStr">
        <is>
          <t>Walk ~20 min, wake ~07:00</t>
        </is>
      </c>
      <c r="G34" s="120" t="inlineStr">
        <is>
          <t>WATCH</t>
        </is>
      </c>
      <c r="H34" s="116" t="inlineStr">
        <is>
          <t>The sleeper is the night before the check-in / warm-up day (not the contest day), with a hotel night in between. Safer: leave Beijing 24 Jan (one more hotel night, ~₮0.35M) or take the afternoon G-train + hotel (old plan, ~+₮0.44M).</t>
        </is>
      </c>
    </row>
    <row r="35" ht="66" customHeight="1" s="56">
      <c r="A35" s="118" t="inlineStr">
        <is>
          <t>EC Final – Fly</t>
        </is>
      </c>
      <c r="B35" s="116" t="inlineStr">
        <is>
          <t>Wed 27 Jan / Tue 26 Jan</t>
        </is>
      </c>
      <c r="C35" s="116" t="inlineStr">
        <is>
          <t>24 Jan at home (wake ~03:30 on 25 Jan for Aero Mongolia 06:30)</t>
        </is>
      </c>
      <c r="D35" s="116" t="inlineStr">
        <is>
          <t>25 Jan Mehood Theater Hotel (arrive ~13:40; nap)</t>
        </is>
      </c>
      <c r="E35" s="116" t="inlineStr">
        <is>
          <t>26 Jan same, 1.7 km</t>
        </is>
      </c>
      <c r="F35" s="116" t="inlineStr">
        <is>
          <t>Walk ~20 min</t>
        </is>
      </c>
      <c r="G35" s="121" t="inlineStr">
        <is>
          <t>OK</t>
        </is>
      </c>
      <c r="H35" s="116" t="inlineStr">
        <is>
          <t>Early start two nights before; arrives early afternoon, then two hotel nights.</t>
        </is>
      </c>
    </row>
    <row r="36" ht="66" customHeight="1" s="56">
      <c r="A36" s="118" t="inlineStr">
        <is>
          <t>Nanjing + Shenyang (older workbook A / B)</t>
        </is>
      </c>
      <c r="B36" s="116" t="inlineStr">
        <is>
          <t>Nanjing Sun 8 Nov; Shenyang Sun 15 Nov</t>
        </is>
      </c>
      <c r="C36" s="116" t="inlineStr">
        <is>
          <t>6 Nov Beijing hotel after MIAT lands 19:30, wake ~06:00 for the G-train</t>
        </is>
      </c>
      <c r="D36" s="116" t="inlineStr">
        <is>
          <t>7 Nov Nanjing hotel (A 1 km, B 15 min metro)</t>
        </is>
      </c>
      <c r="E36" s="116" t="inlineStr">
        <is>
          <t>Shenyang: Z366 sleeper 12 Nov → hotels 13 and 14 Nov</t>
        </is>
      </c>
      <c r="F36" s="116" t="inlineStr">
        <is>
          <t>Nanjing walk / Shenyang walk</t>
        </is>
      </c>
      <c r="G36" s="121" t="inlineStr">
        <is>
          <t>OK</t>
        </is>
      </c>
      <c r="H36" s="116" t="inlineStr">
        <is>
          <t>K54 home after the Shenyang contest is now a hard sleeper (soft was ¥263). Plan C (home between) uses K53 soft sleeper on 13 Nov = night before day 1 (WATCH).</t>
        </is>
      </c>
    </row>
    <row r="37" s="56">
      <c r="A37" s="55" t="inlineStr">
        <is>
          <t>One regional is funded with ₮12M (coach travels, 4 people); the other is unfunded (3 contestants pay). The funded trip has little headroom (Hong Kong does not fit), and the unfunded trip pays for every hotel night, so protect sleep with timing and location first: arrive a day early only where it is cheap (Shenyang, Nanchang), pick the hotel closest to the venue, and take the cheap-but-bad options only after the contest.</t>
        </is>
      </c>
    </row>
    <row r="38" s="56">
      <c r="A38" s="122" t="inlineStr">
        <is>
          <t>Where the money goes (use the headroom on sleep)</t>
        </is>
      </c>
    </row>
    <row r="39" ht="36" customHeight="1" s="56">
      <c r="A39" s="116" t="inlineStr">
        <is>
          <t>One regional is funded with ₮12M (coach travels, 4 people); the other is unfunded (3 contestants pay). The funded trip has little headroom (Hong Kong does not fit), and the unfunded trip pays for every hotel night, so protect sleep with timing and location first: arrive a day early only where it is cheap (Shenyang, Nanchang), pick the hotel closest to the venue, and take the cheap-but-bad options only after the contest.</t>
        </is>
      </c>
    </row>
    <row r="40" ht="36" customHeight="1" s="56">
      <c r="A40" s="116" t="inlineStr">
        <is>
          <t>Pre-contest upgrades applied: Shenyang Budget K53 hard → soft; Hong Kong Sleep first (2 rooms near HKU). Post-contest downgrades applied: Shenyang K54 soft → hard, Shanghai D8 sleeper → seat, Nanchang D136 sleeper → seat.</t>
        </is>
      </c>
    </row>
    <row r="41" ht="36" customHeight="1" s="56">
      <c r="A41" s="116" t="inlineStr">
        <is>
          <t>Cheapest post-contest options if you want to go further: Nanchang Z182 20:01 → 08:46 hard seat (¥173.5 vs ¥271); Shanghai G808 17:25 is too early after the awards, so the D8 seat stays.</t>
        </is>
      </c>
    </row>
    <row r="42" ht="36" customHeight="1" s="56">
      <c r="A42" s="116" t="inlineStr">
        <is>
          <t>Contest-day wake-up rule of thumb: bed by 22:30–23:00, up by 06:00–06:30 for a 09:00 start; avoid alcohol and late team dinners; no phone-based all-nighters on day 1.</t>
        </is>
      </c>
    </row>
  </sheetData>
  <mergeCells count="5">
    <mergeCell ref="A39:H39"/>
    <mergeCell ref="A2:H2"/>
    <mergeCell ref="A42:H42"/>
    <mergeCell ref="A41:H41"/>
    <mergeCell ref="A40:H40"/>
  </mergeCells>
  <pageMargins left="0.75" right="0.75" top="1" bottom="1" header="0.5" footer="0.5"/>
</worksheet>
</file>

<file path=xl/worksheets/sheet3.xml><?xml version="1.0" encoding="utf-8"?>
<worksheet xmlns="http://schemas.openxmlformats.org/spreadsheetml/2006/main">
  <sheetPr filterMode="0">
    <outlinePr summaryBelow="1" summaryRight="1"/>
    <pageSetUpPr fitToPage="0"/>
  </sheetPr>
  <dimension ref="A1:L69"/>
  <sheetViews>
    <sheetView showFormulas="0" showGridLines="1" showRowColHeaders="1" showZeros="1" rightToLeft="0" tabSelected="0" showOutlineSymbols="1" defaultGridColor="1"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baseColWidth="8" defaultColWidth="8.6796875" defaultRowHeight="15" zeroHeight="0" outlineLevelRow="0"/>
  <cols>
    <col width="26" customWidth="1" style="55" min="1" max="1"/>
    <col width="52" customWidth="1" style="55" min="2" max="2"/>
    <col width="20" customWidth="1" style="55" min="3" max="3"/>
    <col width="15" customWidth="1" style="55" min="4" max="4"/>
    <col width="13" customWidth="1" style="55" min="5" max="5"/>
    <col width="9" customWidth="1" style="55" min="6" max="7"/>
    <col width="17" customWidth="1" style="55" min="8" max="8"/>
    <col width="13" customWidth="1" style="55" min="9" max="9"/>
    <col width="9" customWidth="1" style="55" min="10" max="10"/>
    <col width="17" customWidth="1" style="55" min="11" max="11"/>
    <col width="58" customWidth="1" style="55" min="12" max="12"/>
  </cols>
  <sheetData>
    <row r="1" ht="17.35" customHeight="1" s="56">
      <c r="A1" s="57" t="inlineStr">
        <is>
          <t>Shenyang – Budget</t>
        </is>
      </c>
    </row>
    <row r="2" ht="15" customHeight="1" s="56">
      <c r="A2" s="62" t="inlineStr">
        <is>
          <t>Overnight sleeper trains Beijing ⇄ Shenyang (no Beijing hotel nights), budget room, one night in Shenyang.</t>
        </is>
      </c>
    </row>
    <row r="4" ht="15" customHeight="1" s="56">
      <c r="A4" s="60" t="inlineStr">
        <is>
          <t>Days in destination (meals &amp; local transport)</t>
        </is>
      </c>
      <c r="B4" s="76" t="n">
        <v>3</v>
      </c>
      <c r="C4" s="62" t="inlineStr">
        <is>
          <t>Evening 13 Nov → midday 16 Nov</t>
        </is>
      </c>
    </row>
    <row r="5" ht="15" customHeight="1" s="56">
      <c r="A5" s="62" t="inlineStr">
        <is>
          <t>Shared inputs are on the Compare sheet. Scroll down for the day-by-day plan and door-to-door travel times.</t>
        </is>
      </c>
    </row>
    <row r="7" ht="31.5" customHeight="1" s="56">
      <c r="A7" s="66" t="inlineStr">
        <is>
          <t>Category</t>
        </is>
      </c>
      <c r="B7" s="66" t="inlineStr">
        <is>
          <t>Item</t>
        </is>
      </c>
      <c r="C7" s="66" t="inlineStr">
        <is>
          <t>Date</t>
        </is>
      </c>
      <c r="D7" s="66" t="inlineStr">
        <is>
          <t>Travel time</t>
        </is>
      </c>
      <c r="E7" s="66" t="inlineStr">
        <is>
          <t>Unit cost (3 ppl)</t>
        </is>
      </c>
      <c r="F7" s="66" t="inlineStr">
        <is>
          <t>Currency</t>
        </is>
      </c>
      <c r="G7" s="66" t="inlineStr">
        <is>
          <t>Qty (3 ppl)</t>
        </is>
      </c>
      <c r="H7" s="66" t="inlineStr">
        <is>
          <t>Total MNT – 3 people</t>
        </is>
      </c>
      <c r="I7" s="66" t="inlineStr">
        <is>
          <t>Unit cost (4 ppl)</t>
        </is>
      </c>
      <c r="J7" s="66" t="inlineStr">
        <is>
          <t>Qty (4 ppl)</t>
        </is>
      </c>
      <c r="K7" s="66" t="inlineStr">
        <is>
          <t>Total MNT – 4 people</t>
        </is>
      </c>
      <c r="L7" s="66" t="inlineStr">
        <is>
          <t>Source / notes</t>
        </is>
      </c>
    </row>
    <row r="8" ht="15" customHeight="1" s="56">
      <c r="A8" s="77" t="inlineStr">
        <is>
          <t>PAID BY UNIVERSITY</t>
        </is>
      </c>
      <c r="B8" s="78" t="n"/>
      <c r="C8" s="78" t="n"/>
      <c r="D8" s="78" t="n"/>
      <c r="E8" s="78" t="n"/>
      <c r="F8" s="78" t="n"/>
      <c r="G8" s="78" t="n"/>
      <c r="H8" s="78" t="n"/>
      <c r="I8" s="78" t="n"/>
      <c r="J8" s="78" t="n"/>
      <c r="K8" s="78" t="n"/>
      <c r="L8" s="78" t="n"/>
    </row>
    <row r="9" ht="15" customHeight="1" s="56">
      <c r="A9" s="79" t="inlineStr">
        <is>
          <t>Flights</t>
        </is>
      </c>
      <c r="B9" s="80" t="n"/>
      <c r="C9" s="80" t="n"/>
      <c r="D9" s="80" t="n"/>
      <c r="E9" s="80" t="n"/>
      <c r="F9" s="80" t="n"/>
      <c r="G9" s="80" t="n"/>
      <c r="H9" s="80" t="n"/>
      <c r="I9" s="80" t="n"/>
      <c r="J9" s="80" t="n"/>
      <c r="K9" s="80" t="n"/>
      <c r="L9" s="80" t="n"/>
    </row>
    <row r="10" ht="26.85" customHeight="1" s="56">
      <c r="A10" s="81" t="n"/>
      <c r="B10" s="82" t="inlineStr">
        <is>
          <t>MIAT OM223 Ulaanbaatar → Beijing (PEK), 17:15–19:30</t>
        </is>
      </c>
      <c r="C10" s="83" t="inlineStr">
        <is>
          <t>13 Nov</t>
        </is>
      </c>
      <c r="D10" s="84" t="n">
        <v>0.09375</v>
      </c>
      <c r="E10" s="85" t="n">
        <v>150</v>
      </c>
      <c r="F10" s="86" t="inlineStr">
        <is>
          <t>USD</t>
        </is>
      </c>
      <c r="G10" s="87">
        <f>Compare!$B$6</f>
        <v/>
      </c>
      <c r="H10" s="88">
        <f>E10*G10*IF(F10="USD",Compare!$B$8,IF(F10="CNY",Compare!$B$9,IF(F10="HKD",Compare!$B$10,1)))</f>
        <v/>
      </c>
      <c r="I10" s="89">
        <f>E10</f>
        <v/>
      </c>
      <c r="J10" s="87">
        <f>Compare!$B$7</f>
        <v/>
      </c>
      <c r="K10" s="88">
        <f>I10*J10*IF(F10="USD",Compare!$B$8,IF(F10="CNY",Compare!$B$9,IF(F10="HKD",Compare!$B$10,1)))</f>
        <v/>
      </c>
      <c r="L10" s="90" t="inlineStr">
        <is>
          <t>Trip.com 1 Oct: MIAT 17:15–19:30 $150 pp (SlickTrip 30 Sep: $154)</t>
        </is>
      </c>
    </row>
    <row r="11" ht="26.85" customHeight="1" s="56">
      <c r="A11" s="81" t="n"/>
      <c r="B11" s="82" t="inlineStr">
        <is>
          <t>Air China Beijing (PEK) → Ulaanbaatar, nonstop 12:55–15:05</t>
        </is>
      </c>
      <c r="C11" s="83" t="inlineStr">
        <is>
          <t>16 Nov</t>
        </is>
      </c>
      <c r="D11" s="84" t="n">
        <v>0.09027777777777778</v>
      </c>
      <c r="E11" s="85" t="n">
        <v>171</v>
      </c>
      <c r="F11" s="86" t="inlineStr">
        <is>
          <t>USD</t>
        </is>
      </c>
      <c r="G11" s="87">
        <f>Compare!$B$6</f>
        <v/>
      </c>
      <c r="H11" s="88">
        <f>E11*G11*IF(F11="USD",Compare!$B$8,IF(F11="CNY",Compare!$B$9,IF(F11="HKD",Compare!$B$10,1)))</f>
        <v/>
      </c>
      <c r="I11" s="89">
        <f>E11</f>
        <v/>
      </c>
      <c r="J11" s="87">
        <f>Compare!$B$7</f>
        <v/>
      </c>
      <c r="K11" s="88">
        <f>I11*J11*IF(F11="USD",Compare!$B$8,IF(F11="CNY",Compare!$B$9,IF(F11="HKD",Compare!$B$10,1)))</f>
        <v/>
      </c>
      <c r="L11" s="90" t="inlineStr">
        <is>
          <t>Trip.com 30 Sep: Air China nonstop $171 pp (MIAT OM224 11:30 was $194 on Trip.com, $196.33 on SlickTrip)</t>
        </is>
      </c>
    </row>
    <row r="12" ht="15" customHeight="1" s="56">
      <c r="A12" s="79" t="inlineStr">
        <is>
          <t>Trains</t>
        </is>
      </c>
      <c r="B12" s="80" t="n"/>
      <c r="C12" s="80" t="n"/>
      <c r="D12" s="80" t="n"/>
      <c r="E12" s="80" t="n"/>
      <c r="F12" s="80" t="n"/>
      <c r="G12" s="80" t="n"/>
      <c r="H12" s="80" t="n"/>
      <c r="I12" s="80" t="n"/>
      <c r="J12" s="80" t="n"/>
      <c r="K12" s="80" t="n"/>
      <c r="L12" s="80" t="n"/>
    </row>
    <row r="13" ht="26.85" customHeight="1" s="56">
      <c r="A13" s="81" t="n"/>
      <c r="B13" s="82" t="inlineStr">
        <is>
          <t>Overnight train K53 Beijing 22:35 → Shenyang North 07:00, soft sleeper (4-berth cabin; night before day 1)</t>
        </is>
      </c>
      <c r="C13" s="83" t="inlineStr">
        <is>
          <t>13 Nov (night)</t>
        </is>
      </c>
      <c r="D13" s="84" t="n">
        <v>0.3506944444444444</v>
      </c>
      <c r="E13" s="85" t="n">
        <v>263</v>
      </c>
      <c r="F13" s="86" t="inlineStr">
        <is>
          <t>CNY</t>
        </is>
      </c>
      <c r="G13" s="87">
        <f>Compare!$B$6</f>
        <v/>
      </c>
      <c r="H13" s="88">
        <f>E13*G13*IF(F13="USD",Compare!$B$8,IF(F13="CNY",Compare!$B$9,IF(F13="HKD",Compare!$B$10,1)))</f>
        <v/>
      </c>
      <c r="I13" s="89">
        <f>E13</f>
        <v/>
      </c>
      <c r="J13" s="87">
        <f>Compare!$B$7</f>
        <v/>
      </c>
      <c r="K13" s="88">
        <f>I13*J13*IF(F13="USD",Compare!$B$8,IF(F13="CNY",Compare!$B$9,IF(F13="HKD",Compare!$B$10,1)))</f>
        <v/>
      </c>
      <c r="L13" s="90" t="inlineStr">
        <is>
          <t>Ctrip 1 Oct / 12306 3 Oct: K53 soft sleeper ¥263 (hard ¥171). Soft on purpose: it is the night before the day-1 warm-up, so sleep matters. Replaces the Beijing night + morning G-train (¥339). MIAT lands 19:30, so ~1 h 20 min spare; if MIAT is late, use the one free change to a 14 Nov G-train. Sales open 30 Oct 10:00.</t>
        </is>
      </c>
    </row>
    <row r="14" ht="26.85" customHeight="1" s="56">
      <c r="A14" s="81" t="n"/>
      <c r="B14" s="82" t="inlineStr">
        <is>
          <t>Overnight train K54 Shenyang North 22:00 → Beijing 06:58, hard sleeper</t>
        </is>
      </c>
      <c r="C14" s="83" t="inlineStr">
        <is>
          <t>15 Nov (night)</t>
        </is>
      </c>
      <c r="D14" s="84" t="n">
        <v>0.3736111111111111</v>
      </c>
      <c r="E14" s="85" t="n">
        <v>171</v>
      </c>
      <c r="F14" s="86" t="inlineStr">
        <is>
          <t>CNY</t>
        </is>
      </c>
      <c r="G14" s="87">
        <f>Compare!$B$6</f>
        <v/>
      </c>
      <c r="H14" s="88">
        <f>E14*G14*IF(F14="USD",Compare!$B$8,IF(F14="CNY",Compare!$B$9,IF(F14="HKD",Compare!$B$10,1)))</f>
        <v/>
      </c>
      <c r="I14" s="89">
        <f>E14</f>
        <v/>
      </c>
      <c r="J14" s="87">
        <f>Compare!$B$7</f>
        <v/>
      </c>
      <c r="K14" s="88">
        <f>I14*J14*IF(F14="USD",Compare!$B$8,IF(F14="CNY",Compare!$B$9,IF(F14="HKD",Compare!$B$10,1)))</f>
        <v/>
      </c>
      <c r="L14" s="90" t="inlineStr">
        <is>
          <t>Ctrip 1 Oct: K54 hard sleeper ¥171, soft sleeper ¥263 (4-berth cabin). Leaves 22:00, so a late closing ceremony is fine; replaces the evening G-train (¥339) + a Beijing hotel night. Air China through ticket SHE 09:00 → UB 15:05 ($286) is the fallback. 12306 3 Oct: same official fares; sales open 1 Nov 09:00 (Shenyang North).</t>
        </is>
      </c>
    </row>
    <row r="15" ht="15" customHeight="1" s="56">
      <c r="A15" s="79" t="inlineStr">
        <is>
          <t>Accommodation</t>
        </is>
      </c>
      <c r="B15" s="80" t="n"/>
      <c r="C15" s="80" t="n"/>
      <c r="D15" s="80" t="n"/>
      <c r="E15" s="80" t="n"/>
      <c r="F15" s="80" t="n"/>
      <c r="G15" s="80" t="n"/>
      <c r="H15" s="80" t="n"/>
      <c r="I15" s="80" t="n"/>
      <c r="J15" s="80" t="n"/>
      <c r="K15" s="80" t="n"/>
      <c r="L15" s="80" t="n"/>
    </row>
    <row r="16" ht="26.85" customHeight="1" s="56">
      <c r="A16" s="81" t="n"/>
      <c r="B16" s="82" t="n"/>
      <c r="C16" s="83" t="n"/>
      <c r="D16" s="81" t="n"/>
      <c r="E16" s="85" t="n"/>
      <c r="F16" s="86" t="n"/>
      <c r="G16" s="91" t="n"/>
      <c r="H16" s="88" t="n"/>
      <c r="I16" s="85" t="n"/>
      <c r="J16" s="91" t="n"/>
      <c r="K16" s="88" t="n"/>
      <c r="L16" s="90" t="n"/>
    </row>
    <row r="17" ht="26.85" customHeight="1" s="56">
      <c r="A17" s="81" t="n"/>
      <c r="B17" s="82" t="inlineStr">
        <is>
          <t>Bestay Hotel Express Shenyang (Huaiyuanmen; ~25 min metro to NEU Nanhu)</t>
        </is>
      </c>
      <c r="C17" s="83" t="inlineStr">
        <is>
          <t>14 Nov (1 night)</t>
        </is>
      </c>
      <c r="D17" s="81" t="n"/>
      <c r="E17" s="85" t="n">
        <v>86</v>
      </c>
      <c r="F17" s="86" t="inlineStr">
        <is>
          <t>CNY</t>
        </is>
      </c>
      <c r="G17" s="91" t="n">
        <v>1</v>
      </c>
      <c r="H17" s="88">
        <f>E17*G17*IF(F17="USD",Compare!$B$8,IF(F17="CNY",Compare!$B$9,IF(F17="HKD",Compare!$B$10,1)))</f>
        <v/>
      </c>
      <c r="I17" s="85" t="n">
        <v>134</v>
      </c>
      <c r="J17" s="91" t="n">
        <v>1</v>
      </c>
      <c r="K17" s="88">
        <f>I17*J17*IF(F17="USD",Compare!$B$8,IF(F17="CNY",Compare!$B$9,IF(F17="HKD",Compare!$B$10,1)))</f>
        <v/>
      </c>
      <c r="L17" s="90" t="inlineStr">
        <is>
          <t>Booking.com: 86/night (3 ppl, 1 room); 134 CNY for 2 rooms on 14 Nov.. Trip.com 1 Oct: rated 8.2 from 1,062 reviews (¥284 for 2 rooms × 2 nights) – the low price is real. Arrive 07:00 off the sleeper: leave bags until check-in</t>
        </is>
      </c>
    </row>
    <row r="18" ht="15" customHeight="1" s="56">
      <c r="A18" s="81" t="n"/>
      <c r="B18" s="82" t="n"/>
      <c r="C18" s="83" t="n"/>
      <c r="D18" s="81" t="n"/>
      <c r="E18" s="85" t="n"/>
      <c r="F18" s="86" t="n"/>
      <c r="G18" s="91" t="n"/>
      <c r="H18" s="88" t="n"/>
      <c r="I18" s="85" t="n"/>
      <c r="J18" s="91" t="n"/>
      <c r="K18" s="88" t="n"/>
      <c r="L18" s="90" t="n"/>
    </row>
    <row r="19" ht="15" customHeight="1" s="56">
      <c r="A19" s="79" t="inlineStr">
        <is>
          <t>Meals &amp; local transport</t>
        </is>
      </c>
      <c r="B19" s="80" t="n"/>
      <c r="C19" s="80" t="n"/>
      <c r="D19" s="80" t="n"/>
      <c r="E19" s="80" t="n"/>
      <c r="F19" s="80" t="n"/>
      <c r="G19" s="80" t="n"/>
      <c r="H19" s="80" t="n"/>
      <c r="I19" s="80" t="n"/>
      <c r="J19" s="80" t="n"/>
      <c r="K19" s="80" t="n"/>
      <c r="L19" s="80" t="n"/>
    </row>
    <row r="20" ht="22.35" customHeight="1" s="56">
      <c r="A20" s="81" t="n"/>
      <c r="B20" s="82" t="inlineStr">
        <is>
          <t>Meals</t>
        </is>
      </c>
      <c r="C20" s="83" t="inlineStr">
        <is>
          <t>in destination</t>
        </is>
      </c>
      <c r="D20" s="81" t="n"/>
      <c r="E20" s="92" t="n">
        <v>80</v>
      </c>
      <c r="F20" s="86" t="inlineStr">
        <is>
          <t>CNY</t>
        </is>
      </c>
      <c r="G20" s="87">
        <f>Compare!$B$6*$B$4</f>
        <v/>
      </c>
      <c r="H20" s="88">
        <f>E20*G20*IF(F20="USD",Compare!$B$8,IF(F20="CNY",Compare!$B$9,IF(F20="HKD",Compare!$B$10,1)))</f>
        <v/>
      </c>
      <c r="I20" s="93">
        <f>E20</f>
        <v/>
      </c>
      <c r="J20" s="87">
        <f>Compare!$B$7*$B$4</f>
        <v/>
      </c>
      <c r="K20" s="88">
        <f>I20*J20*IF(F20="USD",Compare!$B$8,IF(F20="CNY",Compare!$B$9,IF(F20="HKD",Compare!$B$10,1)))</f>
        <v/>
      </c>
      <c r="L20" s="90" t="inlineStr">
        <is>
          <t>ASSUMPTION 80 CNY/person/day; hosts usually provide some meals on contest days</t>
        </is>
      </c>
    </row>
    <row r="21" ht="15" customHeight="1" s="56">
      <c r="A21" s="81" t="n"/>
      <c r="B21" s="82" t="inlineStr">
        <is>
          <t>Local transport (metro, taxis)</t>
        </is>
      </c>
      <c r="C21" s="83" t="inlineStr">
        <is>
          <t>in destination</t>
        </is>
      </c>
      <c r="D21" s="81" t="n"/>
      <c r="E21" s="92" t="n">
        <v>30</v>
      </c>
      <c r="F21" s="86" t="inlineStr">
        <is>
          <t>CNY</t>
        </is>
      </c>
      <c r="G21" s="87">
        <f>Compare!$B$6*$B$4</f>
        <v/>
      </c>
      <c r="H21" s="88">
        <f>E21*G21*IF(F21="USD",Compare!$B$8,IF(F21="CNY",Compare!$B$9,IF(F21="HKD",Compare!$B$10,1)))</f>
        <v/>
      </c>
      <c r="I21" s="93">
        <f>E21</f>
        <v/>
      </c>
      <c r="J21" s="87">
        <f>Compare!$B$7*$B$4</f>
        <v/>
      </c>
      <c r="K21" s="88">
        <f>I21*J21*IF(F21="USD",Compare!$B$8,IF(F21="CNY",Compare!$B$9,IF(F21="HKD",Compare!$B$10,1)))</f>
        <v/>
      </c>
      <c r="L21" s="90" t="inlineStr">
        <is>
          <t>ASSUMPTION 30 CNY/person/day</t>
        </is>
      </c>
    </row>
    <row r="22" ht="15" customHeight="1" s="56">
      <c r="A22" s="94" t="inlineStr">
        <is>
          <t>PAID PERSONALLY (university won't cover)</t>
        </is>
      </c>
      <c r="B22" s="95" t="n"/>
      <c r="C22" s="95" t="n"/>
      <c r="D22" s="95" t="n"/>
      <c r="E22" s="95" t="n"/>
      <c r="F22" s="95" t="n"/>
      <c r="G22" s="95" t="n"/>
      <c r="H22" s="95" t="n"/>
      <c r="I22" s="95" t="n"/>
      <c r="J22" s="95" t="n"/>
      <c r="K22" s="95" t="n"/>
      <c r="L22" s="95" t="n"/>
    </row>
    <row r="23" ht="15" customHeight="1" s="56">
      <c r="A23" s="79" t="inlineStr">
        <is>
          <t>Contest fee</t>
        </is>
      </c>
      <c r="B23" s="80" t="n"/>
      <c r="C23" s="80" t="n"/>
      <c r="D23" s="80" t="n"/>
      <c r="E23" s="80" t="n"/>
      <c r="F23" s="80" t="n"/>
      <c r="G23" s="80" t="n"/>
      <c r="H23" s="80" t="n"/>
      <c r="I23" s="80" t="n"/>
      <c r="J23" s="80" t="n"/>
      <c r="K23" s="80" t="n"/>
      <c r="L23" s="80" t="n"/>
    </row>
    <row r="24" ht="22.35" customHeight="1" s="56">
      <c r="A24" s="81" t="n"/>
      <c r="B24" s="82" t="inlineStr">
        <is>
          <t>Shenyang regional registration fee (per team)</t>
        </is>
      </c>
      <c r="C24" s="83" t="inlineStr">
        <is>
          <t>pay by mid-Oct</t>
        </is>
      </c>
      <c r="D24" s="81" t="n"/>
      <c r="E24" s="92" t="n">
        <v>1500</v>
      </c>
      <c r="F24" s="86" t="inlineStr">
        <is>
          <t>CNY</t>
        </is>
      </c>
      <c r="G24" s="91" t="n">
        <v>1</v>
      </c>
      <c r="H24" s="88">
        <f>E24*G24*IF(F24="USD",Compare!$B$8,IF(F24="CNY",Compare!$B$9,IF(F24="HKD",Compare!$B$10,1)))</f>
        <v/>
      </c>
      <c r="I24" s="93">
        <f>E24</f>
        <v/>
      </c>
      <c r="J24" s="91" t="n">
        <v>1</v>
      </c>
      <c r="K24" s="88">
        <f>I24*J24*IF(F24="USD",Compare!$B$8,IF(F24="CNY",Compare!$B$9,IF(F24="HKD",Compare!$B$10,1)))</f>
        <v/>
      </c>
      <c r="L24" s="90" t="inlineStr">
        <is>
          <t>ASSUMPTION: 1,500 CNY/team like recent EC regionals; 2026 Shenyang invitation not yet out</t>
        </is>
      </c>
    </row>
    <row r="25" ht="15" customHeight="1" s="56">
      <c r="A25" s="79" t="inlineStr">
        <is>
          <t>Other</t>
        </is>
      </c>
      <c r="B25" s="80" t="n"/>
      <c r="C25" s="80" t="n"/>
      <c r="D25" s="80" t="n"/>
      <c r="E25" s="80" t="n"/>
      <c r="F25" s="80" t="n"/>
      <c r="G25" s="80" t="n"/>
      <c r="H25" s="80" t="n"/>
      <c r="I25" s="80" t="n"/>
      <c r="J25" s="80" t="n"/>
      <c r="K25" s="80" t="n"/>
      <c r="L25" s="80" t="n"/>
    </row>
    <row r="26" ht="15" customHeight="1" s="56">
      <c r="A26" s="81" t="n"/>
      <c r="B26" s="82" t="inlineStr">
        <is>
          <t>Taxi to/from Chinggis Khaan airport (UB), per trip</t>
        </is>
      </c>
      <c r="C26" s="83" t="inlineStr">
        <is>
          <t>out &amp; back</t>
        </is>
      </c>
      <c r="D26" s="84" t="n">
        <v>0.04166666666666666</v>
      </c>
      <c r="E26" s="92" t="n">
        <v>100000</v>
      </c>
      <c r="F26" s="86" t="inlineStr">
        <is>
          <t>MNT</t>
        </is>
      </c>
      <c r="G26" s="91" t="n">
        <v>2</v>
      </c>
      <c r="H26" s="88">
        <f>E26*G26*IF(F26="USD",Compare!$B$8,IF(F26="CNY",Compare!$B$9,IF(F26="HKD",Compare!$B$10,1)))</f>
        <v/>
      </c>
      <c r="I26" s="93">
        <f>E26</f>
        <v/>
      </c>
      <c r="J26" s="91" t="n">
        <v>2</v>
      </c>
      <c r="K26" s="88">
        <f>I26*J26*IF(F26="USD",Compare!$B$8,IF(F26="CNY",Compare!$B$9,IF(F26="HKD",Compare!$B$10,1)))</f>
        <v/>
      </c>
      <c r="L26" s="90" t="inlineStr">
        <is>
          <t>ASSUMPTION 100k MNT per trip for the group</t>
        </is>
      </c>
    </row>
    <row r="27" ht="15" customHeight="1" s="56">
      <c r="A27" s="81" t="n"/>
      <c r="B27" s="82" t="inlineStr">
        <is>
          <t>Travel medical insurance</t>
        </is>
      </c>
      <c r="C27" s="83" t="n"/>
      <c r="D27" s="81" t="n"/>
      <c r="E27" s="92" t="n">
        <v>30000</v>
      </c>
      <c r="F27" s="86" t="inlineStr">
        <is>
          <t>MNT</t>
        </is>
      </c>
      <c r="G27" s="87">
        <f>Compare!$B$6</f>
        <v/>
      </c>
      <c r="H27" s="88">
        <f>E27*G27*IF(F27="USD",Compare!$B$8,IF(F27="CNY",Compare!$B$9,IF(F27="HKD",Compare!$B$10,1)))</f>
        <v/>
      </c>
      <c r="I27" s="93">
        <f>E27</f>
        <v/>
      </c>
      <c r="J27" s="87">
        <f>Compare!$B$7</f>
        <v/>
      </c>
      <c r="K27" s="88">
        <f>I27*J27*IF(F27="USD",Compare!$B$8,IF(F27="CNY",Compare!$B$9,IF(F27="HKD",Compare!$B$10,1)))</f>
        <v/>
      </c>
      <c r="L27" s="90" t="inlineStr">
        <is>
          <t>ASSUMPTION ~30k MNT per person, Mongolian insurer</t>
        </is>
      </c>
    </row>
    <row r="28" ht="15" customHeight="1" s="56">
      <c r="A28" s="81" t="n"/>
      <c r="B28" s="82" t="inlineStr">
        <is>
          <t>Mobile data eSIM</t>
        </is>
      </c>
      <c r="C28" s="83" t="n"/>
      <c r="D28" s="81" t="n"/>
      <c r="E28" s="92" t="n">
        <v>10</v>
      </c>
      <c r="F28" s="86" t="inlineStr">
        <is>
          <t>USD</t>
        </is>
      </c>
      <c r="G28" s="87">
        <f>Compare!$B$6</f>
        <v/>
      </c>
      <c r="H28" s="88">
        <f>E28*G28*IF(F28="USD",Compare!$B$8,IF(F28="CNY",Compare!$B$9,IF(F28="HKD",Compare!$B$10,1)))</f>
        <v/>
      </c>
      <c r="I28" s="93">
        <f>E28</f>
        <v/>
      </c>
      <c r="J28" s="87">
        <f>Compare!$B$7</f>
        <v/>
      </c>
      <c r="K28" s="88">
        <f>I28*J28*IF(F28="USD",Compare!$B$8,IF(F28="CNY",Compare!$B$9,IF(F28="HKD",Compare!$B$10,1)))</f>
        <v/>
      </c>
      <c r="L28" s="90" t="inlineStr">
        <is>
          <t>ASSUMPTION ~$10 pp</t>
        </is>
      </c>
    </row>
    <row r="29" ht="22.35" customHeight="1" s="56">
      <c r="A29" s="81" t="n"/>
      <c r="B29" s="82" t="inlineStr">
        <is>
          <t>Visa</t>
        </is>
      </c>
      <c r="C29" s="83" t="n"/>
      <c r="D29" s="81" t="n"/>
      <c r="E29" s="85" t="n">
        <v>0</v>
      </c>
      <c r="F29" s="86" t="inlineStr">
        <is>
          <t>MNT</t>
        </is>
      </c>
      <c r="G29" s="87">
        <f>Compare!$B$6</f>
        <v/>
      </c>
      <c r="H29" s="88">
        <f>E29*G29*IF(F29="USD",Compare!$B$8,IF(F29="CNY",Compare!$B$9,IF(F29="HKD",Compare!$B$10,1)))</f>
        <v/>
      </c>
      <c r="I29" s="89">
        <f>E29</f>
        <v/>
      </c>
      <c r="J29" s="87">
        <f>Compare!$B$7</f>
        <v/>
      </c>
      <c r="K29" s="88">
        <f>I29*J29*IF(F29="USD",Compare!$B$8,IF(F29="CNY",Compare!$B$9,IF(F29="HKD",Compare!$B$10,1)))</f>
        <v/>
      </c>
      <c r="L29" s="90" t="inlineStr">
        <is>
          <t>Mongolian passports: visa-free (mainland China up to 30 days; Hong Kong up to 14 days)</t>
        </is>
      </c>
    </row>
    <row r="31" ht="15" customHeight="1" s="56">
      <c r="G31" s="60" t="n"/>
      <c r="H31" s="96" t="inlineStr">
        <is>
          <t>3 people – UNFUNDED</t>
        </is>
      </c>
      <c r="K31" s="96" t="inlineStr">
        <is>
          <t>4 people – FUNDED ₮12M</t>
        </is>
      </c>
    </row>
    <row r="32" ht="15" customHeight="1" s="56">
      <c r="G32" s="97" t="inlineStr">
        <is>
          <t>University-paid subtotal</t>
        </is>
      </c>
      <c r="H32" s="98">
        <f>SUM(H9:H21)</f>
        <v/>
      </c>
      <c r="K32" s="98">
        <f>SUM(K9:K21)</f>
        <v/>
      </c>
    </row>
    <row r="33" ht="15" customHeight="1" s="56">
      <c r="G33" s="99" t="inlineStr">
        <is>
          <t>Contingency</t>
        </is>
      </c>
      <c r="H33" s="100">
        <f>H32*Compare!$B$11</f>
        <v/>
      </c>
      <c r="K33" s="100">
        <f>K32*Compare!$B$11</f>
        <v/>
      </c>
    </row>
    <row r="34" ht="15" customHeight="1" s="56">
      <c r="G34" s="97" t="inlineStr">
        <is>
          <t>University-paid total incl. contingency</t>
        </is>
      </c>
      <c r="H34" s="98">
        <f>H32+H33</f>
        <v/>
      </c>
      <c r="K34" s="98">
        <f>K32+K33</f>
        <v/>
      </c>
    </row>
    <row r="35" ht="15" customHeight="1" s="56">
      <c r="G35" s="97" t="inlineStr">
        <is>
          <t>Funding left (negative = over)</t>
        </is>
      </c>
      <c r="H35" s="101">
        <f>Compare!$B$12-H34</f>
        <v/>
      </c>
      <c r="K35" s="101">
        <f>Compare!$B$5-K34</f>
        <v/>
      </c>
    </row>
    <row r="36" ht="15" customHeight="1" s="56">
      <c r="G36" s="97" t="inlineStr">
        <is>
          <t>Personal costs – team</t>
        </is>
      </c>
      <c r="H36" s="102">
        <f>SUM(H23:H29)</f>
        <v/>
      </c>
      <c r="K36" s="102">
        <f>SUM(K23:K29)</f>
        <v/>
      </c>
    </row>
    <row r="37" ht="15" customHeight="1" s="56">
      <c r="G37" s="97" t="inlineStr">
        <is>
          <t>Out-of-pocket per person (personal + any overrun)</t>
        </is>
      </c>
      <c r="H37" s="102">
        <f>(H36+MAX(0,-H35))/Compare!$B$6</f>
        <v/>
      </c>
      <c r="K37" s="102">
        <f>(K36+MAX(0,-K35))/Compare!$B$7</f>
        <v/>
      </c>
    </row>
    <row r="38" ht="15" customHeight="1" s="56">
      <c r="G38" s="97" t="inlineStr">
        <is>
          <t>Whole trip cost (university + personal)</t>
        </is>
      </c>
      <c r="H38" s="103">
        <f>H34+H36</f>
        <v/>
      </c>
      <c r="K38" s="103">
        <f>K34+K36</f>
        <v/>
      </c>
    </row>
    <row r="39" ht="15" customHeight="1" s="56">
      <c r="G39" s="99" t="inlineStr">
        <is>
          <t>Time in planes &amp; trains</t>
        </is>
      </c>
      <c r="H39" s="104">
        <f>SUM(D10:D11)+SUM(D13:D14)</f>
        <v/>
      </c>
      <c r="K39" s="104">
        <f>SUM(D10:D11)+SUM(D13:D14)</f>
        <v/>
      </c>
    </row>
    <row r="41" ht="15" customHeight="1" s="56">
      <c r="A41" s="72" t="inlineStr">
        <is>
          <t>Key facts</t>
        </is>
      </c>
    </row>
    <row r="42" ht="30" customHeight="1" s="56">
      <c r="A42" s="75" t="inlineStr">
        <is>
          <t>Contest</t>
        </is>
      </c>
      <c r="B42" s="74" t="inlineStr">
        <is>
          <t>Asia Shenyang Regional, 14–15 Nov 2026 (provisional), Northeastern University – 2025 edition was on the Nanhu campus.</t>
        </is>
      </c>
    </row>
    <row r="43" ht="30" customHeight="1" s="56">
      <c r="A43" s="75" t="inlineStr">
        <is>
          <t>Why this route</t>
        </is>
      </c>
      <c r="B43" s="74" t="inlineStr">
        <is>
          <t>Cheapest way from UB: MIAT to Beijing ($150) + overnight sleeper trains (¥171 each way, no Beijing hotel), Air China home ($171). Flying UB→Shenyang direct means an overnight in Seoul (~$514 pp one way) or a 1-stop via Beijing/Hohhot ($219–233, 8–15 h).</t>
        </is>
      </c>
    </row>
    <row r="44" ht="15" customHeight="1" s="56">
      <c r="A44" s="75" t="inlineStr">
        <is>
          <t>Trade-off</t>
        </is>
      </c>
      <c r="B44" s="74" t="inlineStr">
        <is>
          <t>Two nights on sleeper trains (6-berth hard sleeper); very basic room; ~25 min metro to the venue.</t>
        </is>
      </c>
    </row>
    <row r="46" ht="15" customHeight="1" s="56">
      <c r="A46" s="72" t="inlineStr">
        <is>
          <t>Day-by-day plan</t>
        </is>
      </c>
    </row>
    <row r="47" ht="15" customHeight="1" s="56">
      <c r="A47" s="96" t="inlineStr">
        <is>
          <t>Date</t>
        </is>
      </c>
      <c r="B47" s="96" t="inlineStr">
        <is>
          <t>Sleep in</t>
        </is>
      </c>
      <c r="C47" s="96" t="inlineStr">
        <is>
          <t>What happens</t>
        </is>
      </c>
    </row>
    <row r="48" ht="15" customHeight="1" s="56">
      <c r="A48" s="74" t="inlineStr">
        <is>
          <t>Fri 13 Nov</t>
        </is>
      </c>
      <c r="B48" s="74" t="inlineStr">
        <is>
          <t>Train</t>
        </is>
      </c>
      <c r="C48" s="74" t="inlineStr">
        <is>
          <t>Fly MIAT OM223 UB 17:15 → Beijing Capital 19:30. Airport Express + metro to Beijing station; K53 soft sleeper 22:35 → Shenyang North 07:00.</t>
        </is>
      </c>
    </row>
    <row r="49" ht="30" customHeight="1" s="56">
      <c r="A49" s="74" t="inlineStr">
        <is>
          <t>Sat 14 Nov</t>
        </is>
      </c>
      <c r="B49" s="74" t="inlineStr">
        <is>
          <t>Shenyang</t>
        </is>
      </c>
      <c r="C49" s="74" t="inlineStr">
        <is>
          <t>Arrive Shenyang North 07:00; leave bags at Bestay. Registration &amp; practice at Northeastern University Nanhu campus.</t>
        </is>
      </c>
    </row>
    <row r="50" ht="15" customHeight="1" s="56">
      <c r="A50" s="74" t="inlineStr">
        <is>
          <t>Sun 15 Nov</t>
        </is>
      </c>
      <c r="B50" s="74" t="inlineStr">
        <is>
          <t>Train</t>
        </is>
      </c>
      <c r="C50" s="74" t="inlineStr">
        <is>
          <t>SHENYANG REGIONAL contest day. K54 sleeper Shenyang North 22:00 → Beijing 06:58 (no rush after the closing ceremony).</t>
        </is>
      </c>
    </row>
    <row r="51" ht="15" customHeight="1" s="56">
      <c r="A51" s="74" t="inlineStr">
        <is>
          <t>Mon 16 Nov</t>
        </is>
      </c>
      <c r="B51" s="74" t="inlineStr">
        <is>
          <t>Home</t>
        </is>
      </c>
      <c r="C51" s="74" t="inlineStr">
        <is>
          <t>Beijing station → PEK by metro + Airport Express. Air China Beijing Capital 12:55 → UB 15:05 (nonstop).</t>
        </is>
      </c>
    </row>
    <row r="53" ht="15" customHeight="1" s="56">
      <c r="A53" s="72" t="inlineStr">
        <is>
          <t>Door-to-door travel times</t>
        </is>
      </c>
    </row>
    <row r="54" ht="15" customHeight="1" s="56">
      <c r="A54" s="96" t="inlineStr">
        <is>
          <t>Date</t>
        </is>
      </c>
      <c r="B54" s="96" t="inlineStr">
        <is>
          <t>Leg</t>
        </is>
      </c>
      <c r="C54" s="96" t="inlineStr">
        <is>
          <t>Mode</t>
        </is>
      </c>
      <c r="D54" s="96" t="inlineStr">
        <is>
          <t>Expected time</t>
        </is>
      </c>
      <c r="E54" s="96" t="inlineStr">
        <is>
          <t>Notes</t>
        </is>
      </c>
    </row>
    <row r="55" ht="15" customHeight="1" s="56">
      <c r="A55" s="105" t="inlineStr">
        <is>
          <t>13 Nov</t>
        </is>
      </c>
      <c r="B55" s="105" t="inlineStr">
        <is>
          <t>Home → Chinggis Khaan airport</t>
        </is>
      </c>
      <c r="C55" s="82" t="inlineStr">
        <is>
          <t>Taxi (~50 km)</t>
        </is>
      </c>
      <c r="D55" s="104" t="n">
        <v>0.04166666666666666</v>
      </c>
      <c r="E55" s="106" t="inlineStr">
        <is>
          <t>Leave ~14:15</t>
        </is>
      </c>
      <c r="F55" s="107" t="n"/>
      <c r="G55" s="107" t="n"/>
      <c r="H55" s="107" t="n"/>
      <c r="I55" s="107" t="n"/>
      <c r="J55" s="107" t="n"/>
      <c r="K55" s="107" t="n"/>
      <c r="L55" s="107" t="n"/>
    </row>
    <row r="56" ht="26.85" customHeight="1" s="56">
      <c r="A56" s="105" t="inlineStr">
        <is>
          <t>13 Nov</t>
        </is>
      </c>
      <c r="B56" s="105" t="inlineStr">
        <is>
          <t>Ulaanbaatar → Beijing (PEK)</t>
        </is>
      </c>
      <c r="C56" s="82" t="inlineStr">
        <is>
          <t>MIAT OM223 17:15–19:30</t>
        </is>
      </c>
      <c r="D56" s="84" t="n">
        <v>0.09375</v>
      </c>
      <c r="E56" s="106" t="n"/>
      <c r="F56" s="107" t="n"/>
      <c r="G56" s="107" t="n"/>
      <c r="H56" s="107" t="n"/>
      <c r="I56" s="107" t="n"/>
      <c r="J56" s="107" t="n"/>
      <c r="K56" s="107" t="n"/>
      <c r="L56" s="107" t="n"/>
    </row>
    <row r="57" ht="15" customHeight="1" s="56">
      <c r="A57" s="105" t="inlineStr">
        <is>
          <t>13 Nov</t>
        </is>
      </c>
      <c r="B57" s="105" t="inlineStr">
        <is>
          <t>PEK arrival: immigration, bags</t>
        </is>
      </c>
      <c r="C57" s="82" t="inlineStr">
        <is>
          <t>—</t>
        </is>
      </c>
      <c r="D57" s="104" t="n">
        <v>0.03125</v>
      </c>
      <c r="E57" s="106" t="inlineStr">
        <is>
          <t>Estimate</t>
        </is>
      </c>
      <c r="F57" s="107" t="n"/>
      <c r="G57" s="107" t="n"/>
      <c r="H57" s="107" t="n"/>
      <c r="I57" s="107" t="n"/>
      <c r="J57" s="107" t="n"/>
      <c r="K57" s="107" t="n"/>
      <c r="L57" s="107" t="n"/>
    </row>
    <row r="58" ht="26.85" customHeight="1" s="56">
      <c r="A58" s="105" t="inlineStr">
        <is>
          <t>13 Nov</t>
        </is>
      </c>
      <c r="B58" s="105" t="inlineStr">
        <is>
          <t>PEK → Beijing station</t>
        </is>
      </c>
      <c r="C58" s="82" t="inlineStr">
        <is>
          <t>Airport Express + metro line 2</t>
        </is>
      </c>
      <c r="D58" s="104" t="n">
        <v>0.04166666666666666</v>
      </c>
      <c r="E58" s="106" t="inlineStr">
        <is>
          <t>Aim to be there by ~21:30</t>
        </is>
      </c>
      <c r="F58" s="107" t="n"/>
      <c r="G58" s="107" t="n"/>
      <c r="H58" s="107" t="n"/>
      <c r="I58" s="107" t="n"/>
      <c r="J58" s="107" t="n"/>
      <c r="K58" s="107" t="n"/>
      <c r="L58" s="107" t="n"/>
    </row>
    <row r="59" ht="15" customHeight="1" s="56">
      <c r="A59" s="105" t="inlineStr">
        <is>
          <t>13–14 Nov</t>
        </is>
      </c>
      <c r="B59" s="105" t="inlineStr">
        <is>
          <t>Beijing → Shenyang North</t>
        </is>
      </c>
      <c r="C59" s="82" t="inlineStr">
        <is>
          <t>K53 soft sleeper 22:35–07:00</t>
        </is>
      </c>
      <c r="D59" s="104" t="n">
        <v>0.3506944444444444</v>
      </c>
      <c r="E59" s="106" t="inlineStr">
        <is>
          <t>Overnight</t>
        </is>
      </c>
      <c r="F59" s="107" t="n"/>
      <c r="G59" s="107" t="n"/>
      <c r="H59" s="107" t="n"/>
      <c r="I59" s="107" t="n"/>
      <c r="J59" s="107" t="n"/>
      <c r="K59" s="107" t="n"/>
      <c r="L59" s="107" t="n"/>
    </row>
    <row r="60" ht="15" customHeight="1" s="56">
      <c r="A60" s="105" t="inlineStr">
        <is>
          <t>14 Nov</t>
        </is>
      </c>
      <c r="B60" s="105" t="inlineStr">
        <is>
          <t>Shenyang North → Bestay hotel / NEU Nanhu</t>
        </is>
      </c>
      <c r="C60" s="82" t="inlineStr">
        <is>
          <t>Metro / taxi</t>
        </is>
      </c>
      <c r="D60" s="84" t="n">
        <v>0.01736111111111111</v>
      </c>
      <c r="E60" s="106" t="inlineStr">
        <is>
          <t>Estimate</t>
        </is>
      </c>
      <c r="F60" s="107" t="n"/>
      <c r="G60" s="107" t="n"/>
      <c r="H60" s="107" t="n"/>
      <c r="I60" s="107" t="n"/>
      <c r="J60" s="107" t="n"/>
      <c r="K60" s="107" t="n"/>
      <c r="L60" s="107" t="n"/>
    </row>
    <row r="61" ht="15" customHeight="1" s="56">
      <c r="A61" s="105" t="inlineStr">
        <is>
          <t>14–15 Nov</t>
        </is>
      </c>
      <c r="B61" s="105" t="inlineStr">
        <is>
          <t>Bestay hotel ↔ NEU Nanhu (each way)</t>
        </is>
      </c>
      <c r="C61" s="82" t="inlineStr">
        <is>
          <t>Metro</t>
        </is>
      </c>
      <c r="D61" s="104" t="inlineStr">
        <is>
          <t>daily</t>
        </is>
      </c>
      <c r="E61" s="106" t="inlineStr">
        <is>
          <t>~25 min</t>
        </is>
      </c>
      <c r="F61" s="107" t="n"/>
      <c r="G61" s="107" t="n"/>
      <c r="H61" s="107" t="n"/>
      <c r="I61" s="107" t="n"/>
      <c r="J61" s="107" t="n"/>
      <c r="K61" s="107" t="n"/>
      <c r="L61" s="107" t="n"/>
    </row>
    <row r="62" ht="15" customHeight="1" s="56">
      <c r="A62" s="105" t="inlineStr">
        <is>
          <t>15 Nov</t>
        </is>
      </c>
      <c r="B62" s="105" t="inlineStr">
        <is>
          <t>NEU Nanhu → Shenyang North</t>
        </is>
      </c>
      <c r="C62" s="82" t="inlineStr">
        <is>
          <t>Taxi</t>
        </is>
      </c>
      <c r="D62" s="110" t="n">
        <v>0.01736111111111111</v>
      </c>
      <c r="E62" s="106" t="inlineStr">
        <is>
          <t>Estimate</t>
        </is>
      </c>
      <c r="F62" s="107" t="n"/>
      <c r="G62" s="107" t="n"/>
      <c r="H62" s="107" t="n"/>
      <c r="I62" s="107" t="n"/>
      <c r="J62" s="107" t="n"/>
      <c r="K62" s="107" t="n"/>
      <c r="L62" s="107" t="n"/>
    </row>
    <row r="63" ht="15" customHeight="1" s="56">
      <c r="A63" s="105" t="inlineStr">
        <is>
          <t>15–16 Nov</t>
        </is>
      </c>
      <c r="B63" s="105" t="inlineStr">
        <is>
          <t>Shenyang North → Beijing</t>
        </is>
      </c>
      <c r="C63" s="82" t="inlineStr">
        <is>
          <t>K54 hard sleeper 22:00–06:58</t>
        </is>
      </c>
      <c r="D63" s="104" t="n">
        <v>0.3736111111111111</v>
      </c>
      <c r="E63" s="106" t="inlineStr">
        <is>
          <t>Overnight</t>
        </is>
      </c>
      <c r="F63" s="107" t="n"/>
      <c r="G63" s="107" t="n"/>
      <c r="H63" s="107" t="n"/>
      <c r="I63" s="107" t="n"/>
      <c r="J63" s="107" t="n"/>
      <c r="K63" s="107" t="n"/>
      <c r="L63" s="107" t="n"/>
    </row>
    <row r="64" ht="15" customHeight="1" s="56">
      <c r="A64" s="105" t="inlineStr">
        <is>
          <t>16 Nov</t>
        </is>
      </c>
      <c r="B64" s="105" t="inlineStr">
        <is>
          <t>Beijing station → PEK</t>
        </is>
      </c>
      <c r="C64" s="82" t="inlineStr">
        <is>
          <t>Metro line 2 + Airport Express</t>
        </is>
      </c>
      <c r="D64" s="84" t="n">
        <v>0.04166666666666666</v>
      </c>
      <c r="E64" s="106" t="inlineStr">
        <is>
          <t>Be at PEK by ~10:55</t>
        </is>
      </c>
      <c r="F64" s="107" t="n"/>
      <c r="G64" s="107" t="n"/>
      <c r="H64" s="107" t="n"/>
      <c r="I64" s="107" t="n"/>
      <c r="J64" s="107" t="n"/>
      <c r="K64" s="107" t="n"/>
      <c r="L64" s="107" t="n"/>
    </row>
    <row r="65" ht="15" customHeight="1" s="56">
      <c r="A65" s="105" t="inlineStr">
        <is>
          <t>16 Nov</t>
        </is>
      </c>
      <c r="B65" s="105" t="inlineStr">
        <is>
          <t>Beijing (PEK) → Ulaanbaatar</t>
        </is>
      </c>
      <c r="C65" s="82" t="inlineStr">
        <is>
          <t>Air China 12:55–15:05</t>
        </is>
      </c>
      <c r="D65" s="104" t="n">
        <v>0.09027777777777778</v>
      </c>
      <c r="E65" s="106" t="n"/>
      <c r="F65" s="107" t="n"/>
      <c r="G65" s="107" t="n"/>
      <c r="H65" s="107" t="n"/>
      <c r="I65" s="107" t="n"/>
      <c r="J65" s="107" t="n"/>
      <c r="K65" s="107" t="n"/>
      <c r="L65" s="107" t="n"/>
    </row>
    <row r="66" ht="15" customHeight="1" s="56">
      <c r="A66" s="105" t="inlineStr">
        <is>
          <t>16 Nov</t>
        </is>
      </c>
      <c r="B66" s="105" t="inlineStr">
        <is>
          <t>Chinggis Khaan airport → home</t>
        </is>
      </c>
      <c r="C66" s="82" t="inlineStr">
        <is>
          <t>Taxi</t>
        </is>
      </c>
      <c r="D66" s="104" t="n">
        <v>0.04166666666666666</v>
      </c>
      <c r="E66" s="106" t="n"/>
      <c r="F66" s="107" t="n"/>
      <c r="G66" s="107" t="n"/>
      <c r="H66" s="107" t="n"/>
      <c r="I66" s="107" t="n"/>
      <c r="J66" s="107" t="n"/>
      <c r="K66" s="107" t="n"/>
      <c r="L66" s="107" t="n"/>
    </row>
    <row r="67" ht="26.85" customHeight="1" s="56">
      <c r="A67" s="105" t="n"/>
      <c r="B67" s="105" t="n"/>
      <c r="C67" s="82" t="n"/>
      <c r="D67" s="84" t="n"/>
      <c r="E67" s="106" t="n"/>
      <c r="F67" s="107" t="n"/>
      <c r="G67" s="107" t="n"/>
      <c r="H67" s="107" t="n"/>
      <c r="I67" s="107" t="n"/>
      <c r="J67" s="107" t="n"/>
      <c r="K67" s="107" t="n"/>
      <c r="L67" s="107" t="n"/>
    </row>
    <row r="68" ht="14.15" customHeight="1" s="56">
      <c r="A68" s="105" t="n"/>
      <c r="B68" s="105" t="n"/>
      <c r="C68" s="82" t="n"/>
      <c r="D68" s="104" t="n"/>
      <c r="E68" s="106" t="n"/>
      <c r="F68" s="107" t="n"/>
      <c r="G68" s="107" t="n"/>
      <c r="H68" s="107" t="n"/>
      <c r="I68" s="107" t="n"/>
      <c r="J68" s="107" t="n"/>
      <c r="K68" s="107" t="n"/>
      <c r="L68" s="107" t="n"/>
    </row>
    <row r="69" ht="15" customHeight="1" s="56">
      <c r="C69" s="59" t="inlineStr">
        <is>
          <t>Total door-to-door</t>
        </is>
      </c>
      <c r="D69" s="109">
        <f>SUM(D55:D68)</f>
        <v/>
      </c>
    </row>
  </sheetData>
  <mergeCells count="23">
    <mergeCell ref="E56:L56"/>
    <mergeCell ref="E58:L58"/>
    <mergeCell ref="E68:L68"/>
    <mergeCell ref="C48:L48"/>
    <mergeCell ref="E55:L55"/>
    <mergeCell ref="E62:L62"/>
    <mergeCell ref="E67:L67"/>
    <mergeCell ref="B43:L43"/>
    <mergeCell ref="E64:L64"/>
    <mergeCell ref="C49:L49"/>
    <mergeCell ref="E63:L63"/>
    <mergeCell ref="B42:L42"/>
    <mergeCell ref="E60:L60"/>
    <mergeCell ref="E65:L65"/>
    <mergeCell ref="B44:L44"/>
    <mergeCell ref="E59:L59"/>
    <mergeCell ref="C47:L47"/>
    <mergeCell ref="C50:L50"/>
    <mergeCell ref="E61:L61"/>
    <mergeCell ref="E57:L57"/>
    <mergeCell ref="E54:L54"/>
    <mergeCell ref="E66:L66"/>
    <mergeCell ref="C51:L5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L68"/>
  <sheetViews>
    <sheetView showFormulas="0" showGridLines="1" showRowColHeaders="1" showZeros="1" rightToLeft="0" tabSelected="0" showOutlineSymbols="1" defaultGridColor="1"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baseColWidth="8" defaultColWidth="8.6796875" defaultRowHeight="15" zeroHeight="0" outlineLevelRow="0"/>
  <cols>
    <col width="26" customWidth="1" style="55" min="1" max="1"/>
    <col width="52" customWidth="1" style="55" min="2" max="2"/>
    <col width="20" customWidth="1" style="55" min="3" max="3"/>
    <col width="15" customWidth="1" style="55" min="4" max="4"/>
    <col width="13" customWidth="1" style="55" min="5" max="5"/>
    <col width="9" customWidth="1" style="55" min="6" max="7"/>
    <col width="17" customWidth="1" style="55" min="8" max="8"/>
    <col width="13" customWidth="1" style="55" min="9" max="9"/>
    <col width="9" customWidth="1" style="55" min="10" max="10"/>
    <col width="17" customWidth="1" style="55" min="11" max="11"/>
    <col width="58" customWidth="1" style="55" min="12" max="12"/>
  </cols>
  <sheetData>
    <row r="1" ht="17.35" customHeight="1" s="56">
      <c r="A1" s="57" t="inlineStr">
        <is>
          <t>Shenyang – Comfort</t>
        </is>
      </c>
    </row>
    <row r="2" ht="15" customHeight="1" s="56">
      <c r="A2" s="62" t="inlineStr">
        <is>
          <t>Arrive a day early for rest, family room near the venue, MIAT + fast train out, overnight soft sleeper back to Beijing.</t>
        </is>
      </c>
    </row>
    <row r="4" ht="15" customHeight="1" s="56">
      <c r="A4" s="60" t="inlineStr">
        <is>
          <t>Days in destination (meals &amp; local transport)</t>
        </is>
      </c>
      <c r="B4" s="76" t="n">
        <v>4.5</v>
      </c>
      <c r="C4" s="62" t="inlineStr">
        <is>
          <t>12 Nov morning → midday 16 Nov</t>
        </is>
      </c>
    </row>
    <row r="5" ht="15" customHeight="1" s="56">
      <c r="A5" s="62" t="inlineStr">
        <is>
          <t>Shared inputs are on the Compare sheet. Scroll down for the day-by-day plan and door-to-door travel times.</t>
        </is>
      </c>
    </row>
    <row r="7" ht="31.5" customHeight="1" s="56">
      <c r="A7" s="66" t="inlineStr">
        <is>
          <t>Category</t>
        </is>
      </c>
      <c r="B7" s="66" t="inlineStr">
        <is>
          <t>Item</t>
        </is>
      </c>
      <c r="C7" s="66" t="inlineStr">
        <is>
          <t>Date</t>
        </is>
      </c>
      <c r="D7" s="66" t="inlineStr">
        <is>
          <t>Travel time</t>
        </is>
      </c>
      <c r="E7" s="66" t="inlineStr">
        <is>
          <t>Unit cost (3 ppl)</t>
        </is>
      </c>
      <c r="F7" s="66" t="inlineStr">
        <is>
          <t>Currency</t>
        </is>
      </c>
      <c r="G7" s="66" t="inlineStr">
        <is>
          <t>Qty (3 ppl)</t>
        </is>
      </c>
      <c r="H7" s="66" t="inlineStr">
        <is>
          <t>Total MNT – 3 people</t>
        </is>
      </c>
      <c r="I7" s="66" t="inlineStr">
        <is>
          <t>Unit cost (4 ppl)</t>
        </is>
      </c>
      <c r="J7" s="66" t="inlineStr">
        <is>
          <t>Qty (4 ppl)</t>
        </is>
      </c>
      <c r="K7" s="66" t="inlineStr">
        <is>
          <t>Total MNT – 4 people</t>
        </is>
      </c>
      <c r="L7" s="66" t="inlineStr">
        <is>
          <t>Source / notes</t>
        </is>
      </c>
    </row>
    <row r="8" ht="15" customHeight="1" s="56">
      <c r="A8" s="77" t="inlineStr">
        <is>
          <t>PAID BY UNIVERSITY</t>
        </is>
      </c>
      <c r="B8" s="78" t="n"/>
      <c r="C8" s="78" t="n"/>
      <c r="D8" s="78" t="n"/>
      <c r="E8" s="78" t="n"/>
      <c r="F8" s="78" t="n"/>
      <c r="G8" s="78" t="n"/>
      <c r="H8" s="78" t="n"/>
      <c r="I8" s="78" t="n"/>
      <c r="J8" s="78" t="n"/>
      <c r="K8" s="78" t="n"/>
      <c r="L8" s="78" t="n"/>
    </row>
    <row r="9" ht="15" customHeight="1" s="56">
      <c r="A9" s="79" t="inlineStr">
        <is>
          <t>Flights</t>
        </is>
      </c>
      <c r="B9" s="80" t="n"/>
      <c r="C9" s="80" t="n"/>
      <c r="D9" s="80" t="n"/>
      <c r="E9" s="80" t="n"/>
      <c r="F9" s="80" t="n"/>
      <c r="G9" s="80" t="n"/>
      <c r="H9" s="80" t="n"/>
      <c r="I9" s="80" t="n"/>
      <c r="J9" s="80" t="n"/>
      <c r="K9" s="80" t="n"/>
      <c r="L9" s="80" t="n"/>
    </row>
    <row r="10" ht="26.85" customHeight="1" s="56">
      <c r="A10" s="81" t="n"/>
      <c r="B10" s="82" t="inlineStr">
        <is>
          <t>MIAT OM223 Ulaanbaatar → Beijing (PEK), 07:30–09:45</t>
        </is>
      </c>
      <c r="C10" s="83" t="inlineStr">
        <is>
          <t>12 Nov</t>
        </is>
      </c>
      <c r="D10" s="84" t="n">
        <v>0.09375</v>
      </c>
      <c r="E10" s="85" t="n">
        <v>151</v>
      </c>
      <c r="F10" s="86" t="inlineStr">
        <is>
          <t>USD</t>
        </is>
      </c>
      <c r="G10" s="87">
        <f>Compare!$B$6</f>
        <v/>
      </c>
      <c r="H10" s="88">
        <f>E10*G10*IF(F10="USD",Compare!$B$8,IF(F10="CNY",Compare!$B$9,IF(F10="HKD",Compare!$B$10,1)))</f>
        <v/>
      </c>
      <c r="I10" s="89">
        <f>E10</f>
        <v/>
      </c>
      <c r="J10" s="87">
        <f>Compare!$B$7</f>
        <v/>
      </c>
      <c r="K10" s="88">
        <f>I10*J10*IF(F10="USD",Compare!$B$8,IF(F10="CNY",Compare!$B$9,IF(F10="HKD",Compare!$B$10,1)))</f>
        <v/>
      </c>
      <c r="L10" s="90" t="inlineStr">
        <is>
          <t>Trip.com 30 Sep: MIAT 07:30–09:45 $151 pp (SlickTrip 30 Sep: $154)</t>
        </is>
      </c>
    </row>
    <row r="11" ht="26.85" customHeight="1" s="56">
      <c r="A11" s="81" t="n"/>
      <c r="B11" s="82" t="inlineStr">
        <is>
          <t>Air China Beijing (PEK) → Ulaanbaatar, nonstop 12:55–15:05</t>
        </is>
      </c>
      <c r="C11" s="83" t="inlineStr">
        <is>
          <t>16 Nov</t>
        </is>
      </c>
      <c r="D11" s="84" t="n">
        <v>0.09027777777777778</v>
      </c>
      <c r="E11" s="85" t="n">
        <v>171</v>
      </c>
      <c r="F11" s="86" t="inlineStr">
        <is>
          <t>USD</t>
        </is>
      </c>
      <c r="G11" s="87">
        <f>Compare!$B$6</f>
        <v/>
      </c>
      <c r="H11" s="88">
        <f>E11*G11*IF(F11="USD",Compare!$B$8,IF(F11="CNY",Compare!$B$9,IF(F11="HKD",Compare!$B$10,1)))</f>
        <v/>
      </c>
      <c r="I11" s="89">
        <f>E11</f>
        <v/>
      </c>
      <c r="J11" s="87">
        <f>Compare!$B$7</f>
        <v/>
      </c>
      <c r="K11" s="88">
        <f>I11*J11*IF(F11="USD",Compare!$B$8,IF(F11="CNY",Compare!$B$9,IF(F11="HKD",Compare!$B$10,1)))</f>
        <v/>
      </c>
      <c r="L11" s="90" t="inlineStr">
        <is>
          <t>Trip.com 30 Sep: Air China nonstop $171 pp (MIAT OM224 11:30 was $194 on Trip.com, $196.33 on SlickTrip)</t>
        </is>
      </c>
    </row>
    <row r="12" ht="15" customHeight="1" s="56">
      <c r="A12" s="79" t="inlineStr">
        <is>
          <t>Trains</t>
        </is>
      </c>
      <c r="B12" s="80" t="n"/>
      <c r="C12" s="80" t="n"/>
      <c r="D12" s="80" t="n"/>
      <c r="E12" s="80" t="n"/>
      <c r="F12" s="80" t="n"/>
      <c r="G12" s="80" t="n"/>
      <c r="H12" s="80" t="n"/>
      <c r="I12" s="80" t="n"/>
      <c r="J12" s="80" t="n"/>
      <c r="K12" s="80" t="n"/>
      <c r="L12" s="80" t="n"/>
    </row>
    <row r="13" ht="26.85" customHeight="1" s="56">
      <c r="A13" s="81" t="n"/>
      <c r="B13" s="82" t="inlineStr">
        <is>
          <t>High-speed rail Beijing Chaoyang → Shenyang North, 2nd class</t>
        </is>
      </c>
      <c r="C13" s="83" t="inlineStr">
        <is>
          <t>12 Nov (midday)</t>
        </is>
      </c>
      <c r="D13" s="84" t="n">
        <v>0.1138888888888889</v>
      </c>
      <c r="E13" s="85" t="n">
        <v>339</v>
      </c>
      <c r="F13" s="86" t="inlineStr">
        <is>
          <t>CNY</t>
        </is>
      </c>
      <c r="G13" s="87">
        <f>Compare!$B$6</f>
        <v/>
      </c>
      <c r="H13" s="88">
        <f>E13*G13*IF(F13="USD",Compare!$B$8,IF(F13="CNY",Compare!$B$9,IF(F13="HKD",Compare!$B$10,1)))</f>
        <v/>
      </c>
      <c r="I13" s="89">
        <f>E13</f>
        <v/>
      </c>
      <c r="J13" s="87">
        <f>Compare!$B$7</f>
        <v/>
      </c>
      <c r="K13" s="88">
        <f>I13*J13*IF(F13="USD",Compare!$B$8,IF(F13="CNY",Compare!$B$9,IF(F13="HKD",Compare!$B$10,1)))</f>
        <v/>
      </c>
      <c r="L13" s="90" t="inlineStr">
        <is>
          <t>12306: 339 CNY; fastest 2 h 44 min</t>
        </is>
      </c>
    </row>
    <row r="14" ht="26.85" customHeight="1" s="56">
      <c r="A14" s="81" t="n"/>
      <c r="B14" s="82" t="inlineStr">
        <is>
          <t>Overnight train K54 Shenyang North 22:00 → Beijing 06:58, hard sleeper (after the contest)</t>
        </is>
      </c>
      <c r="C14" s="83" t="inlineStr">
        <is>
          <t>15 Nov (night)</t>
        </is>
      </c>
      <c r="D14" s="84" t="n">
        <v>0.3736111111111111</v>
      </c>
      <c r="E14" s="85" t="n">
        <v>171</v>
      </c>
      <c r="F14" s="86" t="inlineStr">
        <is>
          <t>CNY</t>
        </is>
      </c>
      <c r="G14" s="87">
        <f>Compare!$B$6</f>
        <v/>
      </c>
      <c r="H14" s="88">
        <f>E14*G14*IF(F14="USD",Compare!$B$8,IF(F14="CNY",Compare!$B$9,IF(F14="HKD",Compare!$B$10,1)))</f>
        <v/>
      </c>
      <c r="I14" s="89">
        <f>E14</f>
        <v/>
      </c>
      <c r="J14" s="87">
        <f>Compare!$B$7</f>
        <v/>
      </c>
      <c r="K14" s="88">
        <f>I14*J14*IF(F14="USD",Compare!$B$8,IF(F14="CNY",Compare!$B$9,IF(F14="HKD",Compare!$B$10,1)))</f>
        <v/>
      </c>
      <c r="L14" s="90" t="inlineStr">
        <is>
          <t>Ctrip 1 Oct / 12306 3 Oct: K54 hard sleeper ¥171 (soft ¥263). Hard on purpose: it is after the contest, so sleep no longer matters (saves ¥92 pp). Leaves 22:00, so a late closing ceremony is fine; replaces the evening G-train (¥339) + a Beijing hotel night. Air China through ticket SHE 09:00 → UB 15:05 ($286) is the fallback. Sales open 1 Nov 09:00.</t>
        </is>
      </c>
    </row>
    <row r="15" ht="15" customHeight="1" s="56">
      <c r="A15" s="79" t="inlineStr">
        <is>
          <t>Accommodation</t>
        </is>
      </c>
      <c r="B15" s="80" t="n"/>
      <c r="C15" s="80" t="n"/>
      <c r="D15" s="80" t="n"/>
      <c r="E15" s="80" t="n"/>
      <c r="F15" s="80" t="n"/>
      <c r="G15" s="80" t="n"/>
      <c r="H15" s="80" t="n"/>
      <c r="I15" s="80" t="n"/>
      <c r="J15" s="80" t="n"/>
      <c r="K15" s="80" t="n"/>
      <c r="L15" s="80" t="n"/>
    </row>
    <row r="16" ht="26.85" customHeight="1" s="56">
      <c r="A16" s="81" t="n"/>
      <c r="B16" s="82" t="inlineStr">
        <is>
          <t>Shenyang RiCH Hotel, Sanhao St (~1.3 km to NEU Nanhu; Family Room sleeps 4, so one room for 3 or 4 ppl)</t>
        </is>
      </c>
      <c r="C16" s="83" t="inlineStr">
        <is>
          <t>12–15 Nov (3 nights)</t>
        </is>
      </c>
      <c r="D16" s="81" t="n"/>
      <c r="E16" s="85" t="n">
        <v>325.33</v>
      </c>
      <c r="F16" s="86" t="inlineStr">
        <is>
          <t>CNY</t>
        </is>
      </c>
      <c r="G16" s="91" t="n">
        <v>3</v>
      </c>
      <c r="H16" s="88">
        <f>E16*G16*IF(F16="USD",Compare!$B$8,IF(F16="CNY",Compare!$B$9,IF(F16="HKD",Compare!$B$10,1)))</f>
        <v/>
      </c>
      <c r="I16" s="85" t="n">
        <v>325.33</v>
      </c>
      <c r="J16" s="91" t="n">
        <v>3</v>
      </c>
      <c r="K16" s="88">
        <f>I16*J16*IF(F16="USD",Compare!$B$8,IF(F16="CNY",Compare!$B$9,IF(F16="HKD",Compare!$B$10,1)))</f>
        <v/>
      </c>
      <c r="L16" s="90" t="inlineStr">
        <is>
          <t>Trip.com 1 Oct: Family Room ¥976 for 3 nights, same price for 3 or 4 adults; rated 9.6 (1,802 reviews). Was Atour ¥527/night (3 ppl) / Mehood Lestie ¥718 (4 ppl, 2 rooms) on Booking.com</t>
        </is>
      </c>
    </row>
    <row r="17" ht="26.85" customHeight="1" s="56">
      <c r="A17" s="81" t="n"/>
      <c r="B17" s="82" t="n"/>
      <c r="C17" s="83" t="n"/>
      <c r="D17" s="81" t="n"/>
      <c r="E17" s="85" t="n"/>
      <c r="F17" s="86" t="n"/>
      <c r="G17" s="91" t="n"/>
      <c r="H17" s="88" t="n"/>
      <c r="I17" s="85" t="n"/>
      <c r="J17" s="91" t="n"/>
      <c r="K17" s="88" t="n"/>
      <c r="L17" s="90" t="n"/>
    </row>
    <row r="18" ht="15" customHeight="1" s="56">
      <c r="A18" s="79" t="inlineStr">
        <is>
          <t>Meals &amp; local transport</t>
        </is>
      </c>
      <c r="B18" s="80" t="n"/>
      <c r="C18" s="80" t="n"/>
      <c r="D18" s="80" t="n"/>
      <c r="E18" s="80" t="n"/>
      <c r="F18" s="80" t="n"/>
      <c r="G18" s="80" t="n"/>
      <c r="H18" s="80" t="n"/>
      <c r="I18" s="80" t="n"/>
      <c r="J18" s="80" t="n"/>
      <c r="K18" s="80" t="n"/>
      <c r="L18" s="80" t="n"/>
    </row>
    <row r="19" ht="22.35" customHeight="1" s="56">
      <c r="A19" s="81" t="n"/>
      <c r="B19" s="82" t="inlineStr">
        <is>
          <t>Meals</t>
        </is>
      </c>
      <c r="C19" s="83" t="inlineStr">
        <is>
          <t>in destination</t>
        </is>
      </c>
      <c r="D19" s="81" t="n"/>
      <c r="E19" s="92" t="n">
        <v>80</v>
      </c>
      <c r="F19" s="86" t="inlineStr">
        <is>
          <t>CNY</t>
        </is>
      </c>
      <c r="G19" s="87">
        <f>Compare!$B$6*$B$4</f>
        <v/>
      </c>
      <c r="H19" s="88">
        <f>E19*G19*IF(F19="USD",Compare!$B$8,IF(F19="CNY",Compare!$B$9,IF(F19="HKD",Compare!$B$10,1)))</f>
        <v/>
      </c>
      <c r="I19" s="93">
        <f>E19</f>
        <v/>
      </c>
      <c r="J19" s="87">
        <f>Compare!$B$7*$B$4</f>
        <v/>
      </c>
      <c r="K19" s="88">
        <f>I19*J19*IF(F19="USD",Compare!$B$8,IF(F19="CNY",Compare!$B$9,IF(F19="HKD",Compare!$B$10,1)))</f>
        <v/>
      </c>
      <c r="L19" s="90" t="inlineStr">
        <is>
          <t>ASSUMPTION 80 CNY/person/day; hosts usually provide some meals on contest days</t>
        </is>
      </c>
    </row>
    <row r="20" ht="15" customHeight="1" s="56">
      <c r="A20" s="81" t="n"/>
      <c r="B20" s="82" t="inlineStr">
        <is>
          <t>Local transport (metro, taxis)</t>
        </is>
      </c>
      <c r="C20" s="83" t="inlineStr">
        <is>
          <t>in destination</t>
        </is>
      </c>
      <c r="D20" s="81" t="n"/>
      <c r="E20" s="92" t="n">
        <v>30</v>
      </c>
      <c r="F20" s="86" t="inlineStr">
        <is>
          <t>CNY</t>
        </is>
      </c>
      <c r="G20" s="87">
        <f>Compare!$B$6*$B$4</f>
        <v/>
      </c>
      <c r="H20" s="88">
        <f>E20*G20*IF(F20="USD",Compare!$B$8,IF(F20="CNY",Compare!$B$9,IF(F20="HKD",Compare!$B$10,1)))</f>
        <v/>
      </c>
      <c r="I20" s="93">
        <f>E20</f>
        <v/>
      </c>
      <c r="J20" s="87">
        <f>Compare!$B$7*$B$4</f>
        <v/>
      </c>
      <c r="K20" s="88">
        <f>I20*J20*IF(F20="USD",Compare!$B$8,IF(F20="CNY",Compare!$B$9,IF(F20="HKD",Compare!$B$10,1)))</f>
        <v/>
      </c>
      <c r="L20" s="90" t="inlineStr">
        <is>
          <t>ASSUMPTION 30 CNY/person/day</t>
        </is>
      </c>
    </row>
    <row r="21" ht="15" customHeight="1" s="56">
      <c r="A21" s="94" t="inlineStr">
        <is>
          <t>PAID PERSONALLY (university won't cover)</t>
        </is>
      </c>
      <c r="B21" s="95" t="n"/>
      <c r="C21" s="95" t="n"/>
      <c r="D21" s="95" t="n"/>
      <c r="E21" s="95" t="n"/>
      <c r="F21" s="95" t="n"/>
      <c r="G21" s="95" t="n"/>
      <c r="H21" s="95" t="n"/>
      <c r="I21" s="95" t="n"/>
      <c r="J21" s="95" t="n"/>
      <c r="K21" s="95" t="n"/>
      <c r="L21" s="95" t="n"/>
    </row>
    <row r="22" ht="15" customHeight="1" s="56">
      <c r="A22" s="79" t="inlineStr">
        <is>
          <t>Contest fee</t>
        </is>
      </c>
      <c r="B22" s="80" t="n"/>
      <c r="C22" s="80" t="n"/>
      <c r="D22" s="80" t="n"/>
      <c r="E22" s="80" t="n"/>
      <c r="F22" s="80" t="n"/>
      <c r="G22" s="80" t="n"/>
      <c r="H22" s="80" t="n"/>
      <c r="I22" s="80" t="n"/>
      <c r="J22" s="80" t="n"/>
      <c r="K22" s="80" t="n"/>
      <c r="L22" s="80" t="n"/>
    </row>
    <row r="23" ht="22.35" customHeight="1" s="56">
      <c r="A23" s="81" t="n"/>
      <c r="B23" s="82" t="inlineStr">
        <is>
          <t>Shenyang regional registration fee (per team)</t>
        </is>
      </c>
      <c r="C23" s="83" t="inlineStr">
        <is>
          <t>pay by mid-Oct</t>
        </is>
      </c>
      <c r="D23" s="81" t="n"/>
      <c r="E23" s="92" t="n">
        <v>1500</v>
      </c>
      <c r="F23" s="86" t="inlineStr">
        <is>
          <t>CNY</t>
        </is>
      </c>
      <c r="G23" s="91" t="n">
        <v>1</v>
      </c>
      <c r="H23" s="88">
        <f>E23*G23*IF(F23="USD",Compare!$B$8,IF(F23="CNY",Compare!$B$9,IF(F23="HKD",Compare!$B$10,1)))</f>
        <v/>
      </c>
      <c r="I23" s="93">
        <f>E23</f>
        <v/>
      </c>
      <c r="J23" s="91" t="n">
        <v>1</v>
      </c>
      <c r="K23" s="88">
        <f>I23*J23*IF(F23="USD",Compare!$B$8,IF(F23="CNY",Compare!$B$9,IF(F23="HKD",Compare!$B$10,1)))</f>
        <v/>
      </c>
      <c r="L23" s="90" t="inlineStr">
        <is>
          <t>ASSUMPTION: 1,500 CNY/team like recent EC regionals; 2026 Shenyang invitation not yet out</t>
        </is>
      </c>
    </row>
    <row r="24" ht="15" customHeight="1" s="56">
      <c r="A24" s="79" t="inlineStr">
        <is>
          <t>Other</t>
        </is>
      </c>
      <c r="B24" s="80" t="n"/>
      <c r="C24" s="80" t="n"/>
      <c r="D24" s="80" t="n"/>
      <c r="E24" s="80" t="n"/>
      <c r="F24" s="80" t="n"/>
      <c r="G24" s="80" t="n"/>
      <c r="H24" s="80" t="n"/>
      <c r="I24" s="80" t="n"/>
      <c r="J24" s="80" t="n"/>
      <c r="K24" s="80" t="n"/>
      <c r="L24" s="80" t="n"/>
    </row>
    <row r="25" ht="15" customHeight="1" s="56">
      <c r="A25" s="81" t="n"/>
      <c r="B25" s="82" t="inlineStr">
        <is>
          <t>Taxi to/from Chinggis Khaan airport (UB), per trip</t>
        </is>
      </c>
      <c r="C25" s="83" t="inlineStr">
        <is>
          <t>out &amp; back</t>
        </is>
      </c>
      <c r="D25" s="84" t="n">
        <v>0.04166666666666666</v>
      </c>
      <c r="E25" s="92" t="n">
        <v>100000</v>
      </c>
      <c r="F25" s="86" t="inlineStr">
        <is>
          <t>MNT</t>
        </is>
      </c>
      <c r="G25" s="91" t="n">
        <v>2</v>
      </c>
      <c r="H25" s="88">
        <f>E25*G25*IF(F25="USD",Compare!$B$8,IF(F25="CNY",Compare!$B$9,IF(F25="HKD",Compare!$B$10,1)))</f>
        <v/>
      </c>
      <c r="I25" s="93">
        <f>E25</f>
        <v/>
      </c>
      <c r="J25" s="91" t="n">
        <v>2</v>
      </c>
      <c r="K25" s="88">
        <f>I25*J25*IF(F25="USD",Compare!$B$8,IF(F25="CNY",Compare!$B$9,IF(F25="HKD",Compare!$B$10,1)))</f>
        <v/>
      </c>
      <c r="L25" s="90" t="inlineStr">
        <is>
          <t>ASSUMPTION 100k MNT per trip for the group</t>
        </is>
      </c>
    </row>
    <row r="26" ht="15" customHeight="1" s="56">
      <c r="A26" s="81" t="n"/>
      <c r="B26" s="82" t="inlineStr">
        <is>
          <t>Travel medical insurance</t>
        </is>
      </c>
      <c r="C26" s="83" t="n"/>
      <c r="D26" s="81" t="n"/>
      <c r="E26" s="92" t="n">
        <v>30000</v>
      </c>
      <c r="F26" s="86" t="inlineStr">
        <is>
          <t>MNT</t>
        </is>
      </c>
      <c r="G26" s="87">
        <f>Compare!$B$6</f>
        <v/>
      </c>
      <c r="H26" s="88">
        <f>E26*G26*IF(F26="USD",Compare!$B$8,IF(F26="CNY",Compare!$B$9,IF(F26="HKD",Compare!$B$10,1)))</f>
        <v/>
      </c>
      <c r="I26" s="93">
        <f>E26</f>
        <v/>
      </c>
      <c r="J26" s="87">
        <f>Compare!$B$7</f>
        <v/>
      </c>
      <c r="K26" s="88">
        <f>I26*J26*IF(F26="USD",Compare!$B$8,IF(F26="CNY",Compare!$B$9,IF(F26="HKD",Compare!$B$10,1)))</f>
        <v/>
      </c>
      <c r="L26" s="90" t="inlineStr">
        <is>
          <t>ASSUMPTION ~30k MNT per person, Mongolian insurer</t>
        </is>
      </c>
    </row>
    <row r="27" ht="15" customHeight="1" s="56">
      <c r="A27" s="81" t="n"/>
      <c r="B27" s="82" t="inlineStr">
        <is>
          <t>Mobile data eSIM</t>
        </is>
      </c>
      <c r="C27" s="83" t="n"/>
      <c r="D27" s="81" t="n"/>
      <c r="E27" s="92" t="n">
        <v>10</v>
      </c>
      <c r="F27" s="86" t="inlineStr">
        <is>
          <t>USD</t>
        </is>
      </c>
      <c r="G27" s="87">
        <f>Compare!$B$6</f>
        <v/>
      </c>
      <c r="H27" s="88">
        <f>E27*G27*IF(F27="USD",Compare!$B$8,IF(F27="CNY",Compare!$B$9,IF(F27="HKD",Compare!$B$10,1)))</f>
        <v/>
      </c>
      <c r="I27" s="93">
        <f>E27</f>
        <v/>
      </c>
      <c r="J27" s="87">
        <f>Compare!$B$7</f>
        <v/>
      </c>
      <c r="K27" s="88">
        <f>I27*J27*IF(F27="USD",Compare!$B$8,IF(F27="CNY",Compare!$B$9,IF(F27="HKD",Compare!$B$10,1)))</f>
        <v/>
      </c>
      <c r="L27" s="90" t="inlineStr">
        <is>
          <t>ASSUMPTION ~$10 pp</t>
        </is>
      </c>
    </row>
    <row r="28" ht="22.35" customHeight="1" s="56">
      <c r="A28" s="81" t="n"/>
      <c r="B28" s="82" t="inlineStr">
        <is>
          <t>Visa</t>
        </is>
      </c>
      <c r="C28" s="83" t="n"/>
      <c r="D28" s="81" t="n"/>
      <c r="E28" s="85" t="n">
        <v>0</v>
      </c>
      <c r="F28" s="86" t="inlineStr">
        <is>
          <t>MNT</t>
        </is>
      </c>
      <c r="G28" s="87">
        <f>Compare!$B$6</f>
        <v/>
      </c>
      <c r="H28" s="88">
        <f>E28*G28*IF(F28="USD",Compare!$B$8,IF(F28="CNY",Compare!$B$9,IF(F28="HKD",Compare!$B$10,1)))</f>
        <v/>
      </c>
      <c r="I28" s="89">
        <f>E28</f>
        <v/>
      </c>
      <c r="J28" s="87">
        <f>Compare!$B$7</f>
        <v/>
      </c>
      <c r="K28" s="88">
        <f>I28*J28*IF(F28="USD",Compare!$B$8,IF(F28="CNY",Compare!$B$9,IF(F28="HKD",Compare!$B$10,1)))</f>
        <v/>
      </c>
      <c r="L28" s="90" t="inlineStr">
        <is>
          <t>Mongolian passports: visa-free (mainland China up to 30 days; Hong Kong up to 14 days)</t>
        </is>
      </c>
    </row>
    <row r="30" ht="15" customHeight="1" s="56">
      <c r="G30" s="60" t="n"/>
      <c r="H30" s="96" t="inlineStr">
        <is>
          <t>3 people – UNFUNDED</t>
        </is>
      </c>
      <c r="K30" s="96" t="inlineStr">
        <is>
          <t>4 people – FUNDED ₮12M</t>
        </is>
      </c>
    </row>
    <row r="31" ht="15" customHeight="1" s="56">
      <c r="G31" s="97" t="inlineStr">
        <is>
          <t>University-paid subtotal</t>
        </is>
      </c>
      <c r="H31" s="98">
        <f>SUM(H9:H20)</f>
        <v/>
      </c>
      <c r="K31" s="98">
        <f>SUM(K9:K20)</f>
        <v/>
      </c>
    </row>
    <row r="32" ht="15" customHeight="1" s="56">
      <c r="G32" s="99" t="inlineStr">
        <is>
          <t>Contingency</t>
        </is>
      </c>
      <c r="H32" s="100">
        <f>H31*Compare!$B$11</f>
        <v/>
      </c>
      <c r="K32" s="100">
        <f>K31*Compare!$B$11</f>
        <v/>
      </c>
    </row>
    <row r="33" ht="15" customHeight="1" s="56">
      <c r="G33" s="97" t="inlineStr">
        <is>
          <t>University-paid total incl. contingency</t>
        </is>
      </c>
      <c r="H33" s="98">
        <f>H31+H32</f>
        <v/>
      </c>
      <c r="K33" s="98">
        <f>K31+K32</f>
        <v/>
      </c>
    </row>
    <row r="34" ht="15" customHeight="1" s="56">
      <c r="G34" s="97" t="inlineStr">
        <is>
          <t>Funding left (negative = over)</t>
        </is>
      </c>
      <c r="H34" s="101">
        <f>Compare!$B$12-H33</f>
        <v/>
      </c>
      <c r="K34" s="101">
        <f>Compare!$B$5-K33</f>
        <v/>
      </c>
    </row>
    <row r="35" ht="15" customHeight="1" s="56">
      <c r="G35" s="97" t="inlineStr">
        <is>
          <t>Personal costs – team</t>
        </is>
      </c>
      <c r="H35" s="102">
        <f>SUM(H22:H28)</f>
        <v/>
      </c>
      <c r="K35" s="102">
        <f>SUM(K22:K28)</f>
        <v/>
      </c>
    </row>
    <row r="36" ht="15" customHeight="1" s="56">
      <c r="G36" s="97" t="inlineStr">
        <is>
          <t>Out-of-pocket per person (personal + any overrun)</t>
        </is>
      </c>
      <c r="H36" s="102">
        <f>(H35+MAX(0,-H34))/Compare!$B$6</f>
        <v/>
      </c>
      <c r="K36" s="102">
        <f>(K35+MAX(0,-K34))/Compare!$B$7</f>
        <v/>
      </c>
    </row>
    <row r="37" ht="15" customHeight="1" s="56">
      <c r="G37" s="97" t="inlineStr">
        <is>
          <t>Whole trip cost (university + personal)</t>
        </is>
      </c>
      <c r="H37" s="103">
        <f>H33+H35</f>
        <v/>
      </c>
      <c r="K37" s="103">
        <f>K33+K35</f>
        <v/>
      </c>
    </row>
    <row r="38" ht="15" customHeight="1" s="56">
      <c r="G38" s="99" t="inlineStr">
        <is>
          <t>Time in planes &amp; trains</t>
        </is>
      </c>
      <c r="H38" s="104">
        <f>SUM(D10:D11)+SUM(D13:D14)</f>
        <v/>
      </c>
      <c r="K38" s="104">
        <f>SUM(D10:D11)+SUM(D13:D14)</f>
        <v/>
      </c>
    </row>
    <row r="40" ht="15" customHeight="1" s="56">
      <c r="A40" s="72" t="inlineStr">
        <is>
          <t>Key facts</t>
        </is>
      </c>
    </row>
    <row r="41" ht="15" customHeight="1" s="56">
      <c r="A41" s="75" t="inlineStr">
        <is>
          <t>Contest</t>
        </is>
      </c>
      <c r="B41" s="74" t="inlineStr">
        <is>
          <t>Asia Shenyang Regional, 14–15 Nov 2026 (provisional), Northeastern University Nanhu campus (2025 venue).</t>
        </is>
      </c>
    </row>
    <row r="42" ht="15" customHeight="1" s="56">
      <c r="A42" s="75" t="inlineStr">
        <is>
          <t>Why this plan</t>
        </is>
      </c>
      <c r="B42" s="74" t="inlineStr">
        <is>
          <t>A full rest day before registration, hotel close to the venue, same cheap MIAT + rail route.</t>
        </is>
      </c>
    </row>
    <row r="43" ht="15" customHeight="1" s="56">
      <c r="A43" s="75" t="inlineStr">
        <is>
          <t>Trade-off</t>
        </is>
      </c>
      <c r="B43" s="74" t="inlineStr">
        <is>
          <t>Two extra hotel nights and meals; very early flight from UB on 12 Nov; one night on the train back.</t>
        </is>
      </c>
    </row>
    <row r="45" ht="15" customHeight="1" s="56">
      <c r="A45" s="72" t="inlineStr">
        <is>
          <t>Day-by-day plan</t>
        </is>
      </c>
    </row>
    <row r="46" ht="15" customHeight="1" s="56">
      <c r="A46" s="96" t="inlineStr">
        <is>
          <t>Date</t>
        </is>
      </c>
      <c r="B46" s="96" t="inlineStr">
        <is>
          <t>Sleep in</t>
        </is>
      </c>
      <c r="C46" s="96" t="inlineStr">
        <is>
          <t>What happens</t>
        </is>
      </c>
    </row>
    <row r="47" ht="15" customHeight="1" s="56">
      <c r="A47" s="74" t="inlineStr">
        <is>
          <t>Thu 12 Nov</t>
        </is>
      </c>
      <c r="B47" s="74" t="inlineStr">
        <is>
          <t>Shenyang</t>
        </is>
      </c>
      <c r="C47" s="74" t="inlineStr">
        <is>
          <t>MIAT OM223 UB 07:30 → Beijing 09:45; G-train Beijing Chaoyang → Shenyang North (~12:30 → ~15:15). RiCH Hotel near NEU.</t>
        </is>
      </c>
    </row>
    <row r="48" ht="15" customHeight="1" s="56">
      <c r="A48" s="74" t="inlineStr">
        <is>
          <t>Fri 13 Nov</t>
        </is>
      </c>
      <c r="B48" s="74" t="inlineStr">
        <is>
          <t>Shenyang</t>
        </is>
      </c>
      <c r="C48" s="74" t="inlineStr">
        <is>
          <t>Rest / practice day in Shenyang.</t>
        </is>
      </c>
    </row>
    <row r="49" ht="15" customHeight="1" s="56">
      <c r="A49" s="74" t="inlineStr">
        <is>
          <t>Sat 14 Nov</t>
        </is>
      </c>
      <c r="B49" s="74" t="inlineStr">
        <is>
          <t>Shenyang</t>
        </is>
      </c>
      <c r="C49" s="74" t="inlineStr">
        <is>
          <t>Registration &amp; practice at NEU Nanhu (walkable from hotel).</t>
        </is>
      </c>
    </row>
    <row r="50" ht="15" customHeight="1" s="56">
      <c r="A50" s="74" t="inlineStr">
        <is>
          <t>Sun 15 Nov</t>
        </is>
      </c>
      <c r="B50" s="74" t="inlineStr">
        <is>
          <t>Train</t>
        </is>
      </c>
      <c r="C50" s="74" t="inlineStr">
        <is>
          <t>SHENYANG REGIONAL contest day. K54 hard sleeper Shenyang North 22:00 → Beijing 06:58.</t>
        </is>
      </c>
    </row>
    <row r="51" ht="15" customHeight="1" s="56">
      <c r="A51" s="74" t="inlineStr">
        <is>
          <t>Mon 16 Nov</t>
        </is>
      </c>
      <c r="B51" s="74" t="inlineStr">
        <is>
          <t>Home</t>
        </is>
      </c>
      <c r="C51" s="74" t="inlineStr">
        <is>
          <t>Beijing station → PEK by metro + Airport Express. Air China Beijing Capital 12:55 → UB 15:05 (nonstop).</t>
        </is>
      </c>
    </row>
    <row r="53" ht="15" customHeight="1" s="56">
      <c r="A53" s="72" t="inlineStr">
        <is>
          <t>Door-to-door travel times</t>
        </is>
      </c>
    </row>
    <row r="54" ht="15" customHeight="1" s="56">
      <c r="A54" s="96" t="inlineStr">
        <is>
          <t>Date</t>
        </is>
      </c>
      <c r="B54" s="96" t="inlineStr">
        <is>
          <t>Leg</t>
        </is>
      </c>
      <c r="C54" s="96" t="inlineStr">
        <is>
          <t>Mode</t>
        </is>
      </c>
      <c r="D54" s="96" t="inlineStr">
        <is>
          <t>Expected time</t>
        </is>
      </c>
      <c r="E54" s="96" t="inlineStr">
        <is>
          <t>Notes</t>
        </is>
      </c>
    </row>
    <row r="55" ht="15" customHeight="1" s="56">
      <c r="A55" s="105" t="inlineStr">
        <is>
          <t>12 Nov</t>
        </is>
      </c>
      <c r="B55" s="105" t="inlineStr">
        <is>
          <t>Home → Chinggis Khaan airport</t>
        </is>
      </c>
      <c r="C55" s="82" t="inlineStr">
        <is>
          <t>Taxi (~50 km)</t>
        </is>
      </c>
      <c r="D55" s="104" t="n">
        <v>0.04166666666666666</v>
      </c>
      <c r="E55" s="106" t="inlineStr">
        <is>
          <t>Leave ~04:30 for 07:30 flight</t>
        </is>
      </c>
      <c r="F55" s="107" t="n"/>
      <c r="G55" s="107" t="n"/>
      <c r="H55" s="107" t="n"/>
      <c r="I55" s="107" t="n"/>
      <c r="J55" s="107" t="n"/>
      <c r="K55" s="107" t="n"/>
      <c r="L55" s="107" t="n"/>
    </row>
    <row r="56" ht="26.85" customHeight="1" s="56">
      <c r="A56" s="105" t="inlineStr">
        <is>
          <t>12 Nov</t>
        </is>
      </c>
      <c r="B56" s="105" t="inlineStr">
        <is>
          <t>Ulaanbaatar → Beijing (PEK)</t>
        </is>
      </c>
      <c r="C56" s="82" t="inlineStr">
        <is>
          <t>MIAT OM223 07:30–09:45</t>
        </is>
      </c>
      <c r="D56" s="84" t="n">
        <v>0.09375</v>
      </c>
      <c r="E56" s="106" t="n"/>
      <c r="F56" s="107" t="n"/>
      <c r="G56" s="107" t="n"/>
      <c r="H56" s="107" t="n"/>
      <c r="I56" s="107" t="n"/>
      <c r="J56" s="107" t="n"/>
      <c r="K56" s="107" t="n"/>
      <c r="L56" s="107" t="n"/>
    </row>
    <row r="57" ht="15" customHeight="1" s="56">
      <c r="A57" s="105" t="inlineStr">
        <is>
          <t>12 Nov</t>
        </is>
      </c>
      <c r="B57" s="105" t="inlineStr">
        <is>
          <t>PEK arrival: immigration, bags</t>
        </is>
      </c>
      <c r="C57" s="82" t="inlineStr">
        <is>
          <t>—</t>
        </is>
      </c>
      <c r="D57" s="104" t="n">
        <v>0.03125</v>
      </c>
      <c r="E57" s="106" t="inlineStr">
        <is>
          <t>Estimate</t>
        </is>
      </c>
      <c r="F57" s="107" t="n"/>
      <c r="G57" s="107" t="n"/>
      <c r="H57" s="107" t="n"/>
      <c r="I57" s="107" t="n"/>
      <c r="J57" s="107" t="n"/>
      <c r="K57" s="107" t="n"/>
      <c r="L57" s="107" t="n"/>
    </row>
    <row r="58" ht="15" customHeight="1" s="56">
      <c r="A58" s="105" t="inlineStr">
        <is>
          <t>12 Nov</t>
        </is>
      </c>
      <c r="B58" s="105" t="inlineStr">
        <is>
          <t>PEK → Beijing Chaoyang station</t>
        </is>
      </c>
      <c r="C58" s="82" t="inlineStr">
        <is>
          <t>Taxi (~20 km)</t>
        </is>
      </c>
      <c r="D58" s="104" t="n">
        <v>0.02777777777777778</v>
      </c>
      <c r="E58" s="106" t="inlineStr">
        <is>
          <t>Estimate</t>
        </is>
      </c>
      <c r="F58" s="107" t="n"/>
      <c r="G58" s="107" t="n"/>
      <c r="H58" s="107" t="n"/>
      <c r="I58" s="107" t="n"/>
      <c r="J58" s="107" t="n"/>
      <c r="K58" s="107" t="n"/>
      <c r="L58" s="107" t="n"/>
    </row>
    <row r="59" ht="15" customHeight="1" s="56">
      <c r="A59" s="105" t="inlineStr">
        <is>
          <t>12 Nov</t>
        </is>
      </c>
      <c r="B59" s="105" t="inlineStr">
        <is>
          <t>Beijing Chaoyang → Shenyang North</t>
        </is>
      </c>
      <c r="C59" s="82" t="inlineStr">
        <is>
          <t>G-train 2nd class</t>
        </is>
      </c>
      <c r="D59" s="84" t="n">
        <v>0.1138888888888889</v>
      </c>
      <c r="E59" s="106" t="n"/>
      <c r="F59" s="107" t="n"/>
      <c r="G59" s="107" t="n"/>
      <c r="H59" s="107" t="n"/>
      <c r="I59" s="107" t="n"/>
      <c r="J59" s="107" t="n"/>
      <c r="K59" s="107" t="n"/>
      <c r="L59" s="107" t="n"/>
    </row>
    <row r="60" ht="15" customHeight="1" s="56">
      <c r="A60" s="105" t="inlineStr">
        <is>
          <t>12 Nov</t>
        </is>
      </c>
      <c r="B60" s="105" t="inlineStr">
        <is>
          <t>Shenyang North → hotel near NEU</t>
        </is>
      </c>
      <c r="C60" s="82" t="inlineStr">
        <is>
          <t>Taxi</t>
        </is>
      </c>
      <c r="D60" s="104" t="n">
        <v>0.01736111111111111</v>
      </c>
      <c r="E60" s="106" t="inlineStr">
        <is>
          <t>Estimate</t>
        </is>
      </c>
      <c r="F60" s="107" t="n"/>
      <c r="G60" s="107" t="n"/>
      <c r="H60" s="107" t="n"/>
      <c r="I60" s="107" t="n"/>
      <c r="J60" s="107" t="n"/>
      <c r="K60" s="107" t="n"/>
      <c r="L60" s="107" t="n"/>
    </row>
    <row r="61" ht="15" customHeight="1" s="56">
      <c r="A61" s="105" t="inlineStr">
        <is>
          <t>13–15 Nov</t>
        </is>
      </c>
      <c r="B61" s="105" t="inlineStr">
        <is>
          <t>Hotel ↔ NEU Nanhu (each way)</t>
        </is>
      </c>
      <c r="C61" s="82" t="inlineStr">
        <is>
          <t>Walk</t>
        </is>
      </c>
      <c r="D61" s="108" t="inlineStr">
        <is>
          <t>daily</t>
        </is>
      </c>
      <c r="E61" s="106" t="inlineStr">
        <is>
          <t>~18 min walk (RiCH Hotel, 1.3 km)</t>
        </is>
      </c>
      <c r="F61" s="107" t="n"/>
      <c r="G61" s="107" t="n"/>
      <c r="H61" s="107" t="n"/>
      <c r="I61" s="107" t="n"/>
      <c r="J61" s="107" t="n"/>
      <c r="K61" s="107" t="n"/>
      <c r="L61" s="107" t="n"/>
    </row>
    <row r="62" ht="15" customHeight="1" s="56">
      <c r="A62" s="105" t="inlineStr">
        <is>
          <t>15 Nov</t>
        </is>
      </c>
      <c r="B62" s="105" t="inlineStr">
        <is>
          <t>NEU Nanhu → Shenyang North</t>
        </is>
      </c>
      <c r="C62" s="82" t="inlineStr">
        <is>
          <t>Taxi</t>
        </is>
      </c>
      <c r="D62" s="104" t="n">
        <v>0.01736111111111111</v>
      </c>
      <c r="E62" s="106" t="n"/>
      <c r="F62" s="107" t="n"/>
      <c r="G62" s="107" t="n"/>
      <c r="H62" s="107" t="n"/>
      <c r="I62" s="107" t="n"/>
      <c r="J62" s="107" t="n"/>
      <c r="K62" s="107" t="n"/>
      <c r="L62" s="107" t="n"/>
    </row>
    <row r="63" ht="15" customHeight="1" s="56">
      <c r="A63" s="105" t="inlineStr">
        <is>
          <t>15–16 Nov</t>
        </is>
      </c>
      <c r="B63" s="105" t="inlineStr">
        <is>
          <t>Shenyang North → Beijing</t>
        </is>
      </c>
      <c r="C63" s="82" t="inlineStr">
        <is>
          <t>K54 hard sleeper 22:00–06:58</t>
        </is>
      </c>
      <c r="D63" s="84" t="n">
        <v>0.3736111111111111</v>
      </c>
      <c r="E63" s="106" t="inlineStr">
        <is>
          <t>Overnight</t>
        </is>
      </c>
      <c r="F63" s="107" t="n"/>
      <c r="G63" s="107" t="n"/>
      <c r="H63" s="107" t="n"/>
      <c r="I63" s="107" t="n"/>
      <c r="J63" s="107" t="n"/>
      <c r="K63" s="107" t="n"/>
      <c r="L63" s="107" t="n"/>
    </row>
    <row r="64" ht="15" customHeight="1" s="56">
      <c r="A64" s="105" t="inlineStr">
        <is>
          <t>16 Nov</t>
        </is>
      </c>
      <c r="B64" s="105" t="inlineStr">
        <is>
          <t>Beijing station → PEK</t>
        </is>
      </c>
      <c r="C64" s="82" t="inlineStr">
        <is>
          <t>Metro line 2 + Airport Express</t>
        </is>
      </c>
      <c r="D64" s="104" t="n">
        <v>0.04166666666666666</v>
      </c>
      <c r="E64" s="106" t="inlineStr">
        <is>
          <t>Be at PEK by ~10:55</t>
        </is>
      </c>
      <c r="F64" s="107" t="n"/>
      <c r="G64" s="107" t="n"/>
      <c r="H64" s="107" t="n"/>
      <c r="I64" s="107" t="n"/>
      <c r="J64" s="107" t="n"/>
      <c r="K64" s="107" t="n"/>
      <c r="L64" s="107" t="n"/>
    </row>
    <row r="65" ht="15" customHeight="1" s="56">
      <c r="A65" s="105" t="inlineStr">
        <is>
          <t>16 Nov</t>
        </is>
      </c>
      <c r="B65" s="105" t="inlineStr">
        <is>
          <t>Beijing (PEK) → Ulaanbaatar</t>
        </is>
      </c>
      <c r="C65" s="82" t="inlineStr">
        <is>
          <t>Air China 12:55–15:05</t>
        </is>
      </c>
      <c r="D65" s="104" t="n">
        <v>0.09027777777777778</v>
      </c>
      <c r="E65" s="106" t="n"/>
      <c r="F65" s="107" t="n"/>
      <c r="G65" s="107" t="n"/>
      <c r="H65" s="107" t="n"/>
      <c r="I65" s="107" t="n"/>
      <c r="J65" s="107" t="n"/>
      <c r="K65" s="107" t="n"/>
      <c r="L65" s="107" t="n"/>
    </row>
    <row r="66" ht="26.85" customHeight="1" s="56">
      <c r="A66" s="105" t="inlineStr">
        <is>
          <t>16 Nov</t>
        </is>
      </c>
      <c r="B66" s="105" t="inlineStr">
        <is>
          <t>Chinggis Khaan airport → home</t>
        </is>
      </c>
      <c r="C66" s="82" t="inlineStr">
        <is>
          <t>Taxi</t>
        </is>
      </c>
      <c r="D66" s="84" t="n">
        <v>0.04166666666666666</v>
      </c>
      <c r="E66" s="106" t="n"/>
      <c r="F66" s="107" t="n"/>
      <c r="G66" s="107" t="n"/>
      <c r="H66" s="107" t="n"/>
      <c r="I66" s="107" t="n"/>
      <c r="J66" s="107" t="n"/>
      <c r="K66" s="107" t="n"/>
      <c r="L66" s="107" t="n"/>
    </row>
    <row r="67" ht="14.15" customHeight="1" s="56">
      <c r="A67" s="105" t="n"/>
      <c r="B67" s="105" t="n"/>
      <c r="C67" s="82" t="n"/>
      <c r="D67" s="104" t="n"/>
      <c r="E67" s="106" t="n"/>
      <c r="F67" s="107" t="n"/>
      <c r="G67" s="107" t="n"/>
      <c r="H67" s="107" t="n"/>
      <c r="I67" s="107" t="n"/>
      <c r="J67" s="107" t="n"/>
      <c r="K67" s="107" t="n"/>
      <c r="L67" s="107" t="n"/>
    </row>
    <row r="68" ht="15" customHeight="1" s="56">
      <c r="C68" s="59" t="inlineStr">
        <is>
          <t>Total door-to-door</t>
        </is>
      </c>
      <c r="D68" s="109">
        <f>SUM(D55:D67)</f>
        <v/>
      </c>
    </row>
  </sheetData>
  <mergeCells count="23">
    <mergeCell ref="E56:L56"/>
    <mergeCell ref="E58:L58"/>
    <mergeCell ref="C48:L48"/>
    <mergeCell ref="E55:L55"/>
    <mergeCell ref="E62:L62"/>
    <mergeCell ref="E67:L67"/>
    <mergeCell ref="B43:L43"/>
    <mergeCell ref="E64:L64"/>
    <mergeCell ref="C49:L49"/>
    <mergeCell ref="E63:L63"/>
    <mergeCell ref="B42:L42"/>
    <mergeCell ref="E60:L60"/>
    <mergeCell ref="E65:L65"/>
    <mergeCell ref="E59:L59"/>
    <mergeCell ref="C47:L47"/>
    <mergeCell ref="C50:L50"/>
    <mergeCell ref="E61:L61"/>
    <mergeCell ref="E57:L57"/>
    <mergeCell ref="E54:L54"/>
    <mergeCell ref="E66:L66"/>
    <mergeCell ref="C51:L51"/>
    <mergeCell ref="C46:L46"/>
    <mergeCell ref="B41:L4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L70"/>
  <sheetViews>
    <sheetView workbookViewId="0">
      <pane xSplit="2" ySplit="7" topLeftCell="C8" activePane="bottomRight" state="frozen"/>
      <selection pane="topRight" activeCell="A1" sqref="A1"/>
      <selection pane="bottomLeft" activeCell="A1" sqref="A1"/>
      <selection pane="bottomRight" activeCell="A1" sqref="A1"/>
    </sheetView>
  </sheetViews>
  <sheetFormatPr baseColWidth="8" defaultRowHeight="15"/>
  <cols>
    <col width="26" customWidth="1" style="56" min="1" max="1"/>
    <col width="52" customWidth="1" style="56" min="2" max="2"/>
    <col width="20" customWidth="1" style="56" min="3" max="3"/>
    <col width="15" customWidth="1" style="56" min="4" max="4"/>
    <col width="13" customWidth="1" style="56" min="5" max="5"/>
    <col width="9" customWidth="1" style="56" min="6" max="6"/>
    <col width="17" customWidth="1" style="56" min="8" max="8"/>
    <col width="13" customWidth="1" style="56" min="9" max="9"/>
    <col width="9" customWidth="1" style="56" min="10" max="10"/>
    <col width="17" customWidth="1" style="56" min="11" max="11"/>
    <col width="58" customWidth="1" style="56" min="12" max="12"/>
  </cols>
  <sheetData>
    <row r="1" ht="17.35" customHeight="1" s="56">
      <c r="A1" s="57" t="inlineStr">
        <is>
          <t>Shenyang – Budget (G-train)</t>
        </is>
      </c>
    </row>
    <row r="2" ht="15" customHeight="1" s="56">
      <c r="A2" s="62" t="inlineStr">
        <is>
          <t>No sleeper trains: MIAT in the evening, Beijing hotel night, morning G-train, cheap budget hotel, evening G-train back and another Beijing night.</t>
        </is>
      </c>
    </row>
    <row r="4" ht="15" customHeight="1" s="56">
      <c r="A4" s="60" t="inlineStr">
        <is>
          <t>Days in destination (meals &amp; local transport)</t>
        </is>
      </c>
      <c r="B4" s="76" t="n">
        <v>3</v>
      </c>
      <c r="C4" s="62" t="inlineStr">
        <is>
          <t>Evening 13 Nov → midday 16 Nov</t>
        </is>
      </c>
    </row>
    <row r="5" ht="15" customHeight="1" s="56">
      <c r="A5" s="62" t="inlineStr">
        <is>
          <t>Shared inputs are on the Compare sheet. Scroll down for the day-by-day plan and door-to-door travel times.</t>
        </is>
      </c>
    </row>
    <row r="7" ht="31.5" customHeight="1" s="56">
      <c r="A7" s="66" t="inlineStr">
        <is>
          <t>Category</t>
        </is>
      </c>
      <c r="B7" s="66" t="inlineStr">
        <is>
          <t>Item</t>
        </is>
      </c>
      <c r="C7" s="66" t="inlineStr">
        <is>
          <t>Date</t>
        </is>
      </c>
      <c r="D7" s="66" t="inlineStr">
        <is>
          <t>Travel time</t>
        </is>
      </c>
      <c r="E7" s="66" t="inlineStr">
        <is>
          <t>Unit cost (3 ppl)</t>
        </is>
      </c>
      <c r="F7" s="66" t="inlineStr">
        <is>
          <t>Currency</t>
        </is>
      </c>
      <c r="G7" s="66" t="inlineStr">
        <is>
          <t>Qty (3 ppl)</t>
        </is>
      </c>
      <c r="H7" s="66" t="inlineStr">
        <is>
          <t>Total MNT – 3 people</t>
        </is>
      </c>
      <c r="I7" s="66" t="inlineStr">
        <is>
          <t>Unit cost (4 ppl)</t>
        </is>
      </c>
      <c r="J7" s="66" t="inlineStr">
        <is>
          <t>Qty (4 ppl)</t>
        </is>
      </c>
      <c r="K7" s="66" t="inlineStr">
        <is>
          <t>Total MNT – 4 people</t>
        </is>
      </c>
      <c r="L7" s="66" t="inlineStr">
        <is>
          <t>Source / notes</t>
        </is>
      </c>
    </row>
    <row r="8" ht="15" customHeight="1" s="56">
      <c r="A8" s="77" t="inlineStr">
        <is>
          <t>PAID BY UNIVERSITY</t>
        </is>
      </c>
      <c r="B8" s="78" t="n"/>
      <c r="C8" s="78" t="n"/>
      <c r="D8" s="78" t="n"/>
      <c r="E8" s="78" t="n"/>
      <c r="F8" s="78" t="n"/>
      <c r="G8" s="78" t="n"/>
      <c r="H8" s="78" t="n"/>
      <c r="I8" s="78" t="n"/>
      <c r="J8" s="78" t="n"/>
      <c r="K8" s="78" t="n"/>
      <c r="L8" s="78" t="n"/>
    </row>
    <row r="9" ht="15" customHeight="1" s="56">
      <c r="A9" s="79" t="inlineStr">
        <is>
          <t>Flights</t>
        </is>
      </c>
      <c r="B9" s="80" t="n"/>
      <c r="C9" s="80" t="n"/>
      <c r="D9" s="80" t="n"/>
      <c r="E9" s="80" t="n"/>
      <c r="F9" s="80" t="n"/>
      <c r="G9" s="80" t="n"/>
      <c r="H9" s="80" t="n"/>
      <c r="I9" s="80" t="n"/>
      <c r="J9" s="80" t="n"/>
      <c r="K9" s="80" t="n"/>
      <c r="L9" s="80" t="n"/>
    </row>
    <row r="10" ht="30" customHeight="1" s="56">
      <c r="A10" s="81" t="n"/>
      <c r="B10" s="111" t="inlineStr">
        <is>
          <t>MIAT OM223 Ulaanbaatar → Beijing (PEK), 17:15–19:30</t>
        </is>
      </c>
      <c r="C10" s="83" t="inlineStr">
        <is>
          <t>13 Nov</t>
        </is>
      </c>
      <c r="D10" s="84" t="n">
        <v>0.09375</v>
      </c>
      <c r="E10" s="85" t="n">
        <v>150</v>
      </c>
      <c r="F10" s="86" t="inlineStr">
        <is>
          <t>USD</t>
        </is>
      </c>
      <c r="G10" s="87">
        <f>Compare!$B$6</f>
        <v/>
      </c>
      <c r="H10" s="88">
        <f>E10*G10*IF(F10="USD",Compare!$B$8,IF(F10="CNY",Compare!$B$9,IF(F10="HKD",Compare!$B$10,1)))</f>
        <v/>
      </c>
      <c r="I10" s="89">
        <f>E10</f>
        <v/>
      </c>
      <c r="J10" s="87">
        <f>Compare!$B$7</f>
        <v/>
      </c>
      <c r="K10" s="88">
        <f>I10*J10*IF(F10="USD",Compare!$B$8,IF(F10="CNY",Compare!$B$9,IF(F10="HKD",Compare!$B$10,1)))</f>
        <v/>
      </c>
      <c r="L10" s="112" t="inlineStr">
        <is>
          <t>Trip.com 1 Oct: MIAT 17:15–19:30 $150 pp (SlickTrip 30 Sep: $154)</t>
        </is>
      </c>
    </row>
    <row r="11" ht="30" customHeight="1" s="56">
      <c r="A11" s="81" t="n"/>
      <c r="B11" s="111" t="inlineStr">
        <is>
          <t>Air China Beijing (PEK) → Ulaanbaatar, nonstop 12:55–15:05</t>
        </is>
      </c>
      <c r="C11" s="83" t="inlineStr">
        <is>
          <t>16 Nov</t>
        </is>
      </c>
      <c r="D11" s="84" t="n">
        <v>0.09027777777777778</v>
      </c>
      <c r="E11" s="85" t="n">
        <v>171</v>
      </c>
      <c r="F11" s="86" t="inlineStr">
        <is>
          <t>USD</t>
        </is>
      </c>
      <c r="G11" s="87">
        <f>Compare!$B$6</f>
        <v/>
      </c>
      <c r="H11" s="88">
        <f>E11*G11*IF(F11="USD",Compare!$B$8,IF(F11="CNY",Compare!$B$9,IF(F11="HKD",Compare!$B$10,1)))</f>
        <v/>
      </c>
      <c r="I11" s="89">
        <f>E11</f>
        <v/>
      </c>
      <c r="J11" s="87">
        <f>Compare!$B$7</f>
        <v/>
      </c>
      <c r="K11" s="88">
        <f>I11*J11*IF(F11="USD",Compare!$B$8,IF(F11="CNY",Compare!$B$9,IF(F11="HKD",Compare!$B$10,1)))</f>
        <v/>
      </c>
      <c r="L11" s="112" t="inlineStr">
        <is>
          <t>Trip.com 30 Sep: Air China nonstop $171 pp (MIAT OM224 11:30 was $194 on Trip.com, $196.33 on SlickTrip)</t>
        </is>
      </c>
    </row>
    <row r="12" ht="15" customHeight="1" s="56">
      <c r="A12" s="79" t="inlineStr">
        <is>
          <t>Trains</t>
        </is>
      </c>
      <c r="B12" s="80" t="n"/>
      <c r="C12" s="80" t="n"/>
      <c r="D12" s="80" t="n"/>
      <c r="E12" s="80" t="n"/>
      <c r="F12" s="80" t="n"/>
      <c r="G12" s="80" t="n"/>
      <c r="H12" s="80" t="n"/>
      <c r="I12" s="80" t="n"/>
      <c r="J12" s="80" t="n"/>
      <c r="K12" s="80" t="n"/>
      <c r="L12" s="80" t="n"/>
    </row>
    <row r="13" ht="30" customHeight="1" s="56">
      <c r="A13" s="81" t="n"/>
      <c r="B13" s="111" t="inlineStr">
        <is>
          <t>High-speed rail Beijing Chaoyang 08:00 → Shenyang North 10:29 (G101), 2nd class</t>
        </is>
      </c>
      <c r="C13" s="83" t="inlineStr">
        <is>
          <t>14 Nov (morning)</t>
        </is>
      </c>
      <c r="D13" s="84" t="n">
        <v>0.1034722222222222</v>
      </c>
      <c r="E13" s="85" t="n">
        <v>355</v>
      </c>
      <c r="F13" s="86" t="inlineStr">
        <is>
          <t>CNY</t>
        </is>
      </c>
      <c r="G13" s="87">
        <f>Compare!$B$6</f>
        <v/>
      </c>
      <c r="H13" s="88">
        <f>E13*G13*IF(F13="USD",Compare!$B$8,IF(F13="CNY",Compare!$B$9,IF(F13="HKD",Compare!$B$10,1)))</f>
        <v/>
      </c>
      <c r="I13" s="89">
        <f>E13</f>
        <v/>
      </c>
      <c r="J13" s="87">
        <f>Compare!$B$7</f>
        <v/>
      </c>
      <c r="K13" s="88">
        <f>I13*J13*IF(F13="USD",Compare!$B$8,IF(F13="CNY",Compare!$B$9,IF(F13="HKD",Compare!$B$10,1)))</f>
        <v/>
      </c>
      <c r="L13" s="112" t="inlineStr">
        <is>
          <t>12306 (queried 10 Oct for 20 Oct; fares fixed): G101 / G103 08:05 / G105 08:55 ¥355; slower G3503 08:25 → 11:56 ¥296</t>
        </is>
      </c>
    </row>
    <row r="14" ht="60" customHeight="1" s="56">
      <c r="A14" s="81" t="n"/>
      <c r="B14" s="111" t="inlineStr">
        <is>
          <t>High-speed rail Shenyang North 19:51 → Beijing Chaoyang 22:30 (G142), 2nd class</t>
        </is>
      </c>
      <c r="C14" s="83" t="inlineStr">
        <is>
          <t>15 Nov (evening)</t>
        </is>
      </c>
      <c r="D14" s="84" t="n">
        <v>0.1104166666666667</v>
      </c>
      <c r="E14" s="85" t="n">
        <v>268</v>
      </c>
      <c r="F14" s="86" t="inlineStr">
        <is>
          <t>CNY</t>
        </is>
      </c>
      <c r="G14" s="87">
        <f>Compare!$B$6</f>
        <v/>
      </c>
      <c r="H14" s="88">
        <f>E14*G14*IF(F14="USD",Compare!$B$8,IF(F14="CNY",Compare!$B$9,IF(F14="HKD",Compare!$B$10,1)))</f>
        <v/>
      </c>
      <c r="I14" s="89">
        <f>E14</f>
        <v/>
      </c>
      <c r="J14" s="87">
        <f>Compare!$B$7</f>
        <v/>
      </c>
      <c r="K14" s="88">
        <f>I14*J14*IF(F14="USD",Compare!$B$8,IF(F14="CNY",Compare!$B$9,IF(F14="HKD",Compare!$B$10,1)))</f>
        <v/>
      </c>
      <c r="L14" s="112" t="inlineStr">
        <is>
          <t>12306 (queried 10 Oct for 20 Oct; fares fixed): G142 / G156 (Shenyang stn 19:05) / G3522 19:21 → 22:36 ¥268; G122 / G126 ¥344. Awards end ~17:00, so 19:51 leaves a safe margin</t>
        </is>
      </c>
    </row>
    <row r="15" ht="15" customHeight="1" s="56">
      <c r="A15" s="79" t="inlineStr">
        <is>
          <t>Accommodation</t>
        </is>
      </c>
      <c r="B15" s="80" t="n"/>
      <c r="C15" s="80" t="n"/>
      <c r="D15" s="80" t="n"/>
      <c r="E15" s="80" t="n"/>
      <c r="F15" s="80" t="n"/>
      <c r="G15" s="80" t="n"/>
      <c r="H15" s="80" t="n"/>
      <c r="I15" s="80" t="n"/>
      <c r="J15" s="80" t="n"/>
      <c r="K15" s="80" t="n"/>
      <c r="L15" s="80" t="n"/>
    </row>
    <row r="16" ht="45" customHeight="1" s="56">
      <c r="A16" s="81" t="n"/>
      <c r="B16" s="111" t="inlineStr">
        <is>
          <t>Dequan Railway Station Hotel, Beijing (~1 km from Beijing Chaoyang station; 3 ppl 1 room; 4 ppl 2 rooms)</t>
        </is>
      </c>
      <c r="C16" s="83" t="inlineStr">
        <is>
          <t>13 &amp; 15 Nov (2 nights)</t>
        </is>
      </c>
      <c r="D16" s="81" t="n"/>
      <c r="E16" s="85" t="n">
        <v>304</v>
      </c>
      <c r="F16" s="86" t="inlineStr">
        <is>
          <t>CNY</t>
        </is>
      </c>
      <c r="G16" s="91" t="n">
        <v>2</v>
      </c>
      <c r="H16" s="88">
        <f>E16*G16*IF(F16="USD",Compare!$B$8,IF(F16="CNY",Compare!$B$9,IF(F16="HKD",Compare!$B$10,1)))</f>
        <v/>
      </c>
      <c r="I16" s="113" t="n">
        <v>608</v>
      </c>
      <c r="J16" s="91" t="n">
        <v>2</v>
      </c>
      <c r="K16" s="88">
        <f>I16*J16*IF(F16="USD",Compare!$B$8,IF(F16="CNY",Compare!$B$9,IF(F16="HKD",Compare!$B$10,1)))</f>
        <v/>
      </c>
      <c r="L16" s="112" t="inlineStr">
        <is>
          <t>Booking.com 9 Oct: ¥304 for 3 adults, 1 room per night; rated 8.7 (65 reviews). 4 ppl: ASSUMPTION 2 × ¥304 (rooms not searched)</t>
        </is>
      </c>
    </row>
    <row r="17" ht="45" customHeight="1" s="56">
      <c r="A17" s="81" t="n"/>
      <c r="B17" s="111" t="inlineStr">
        <is>
          <t>Bestay Hotel Express Shenyang (Huaiyuanmen; ~25 min metro to NEU Nanhu)</t>
        </is>
      </c>
      <c r="C17" s="83" t="inlineStr">
        <is>
          <t>14 Nov (1 night)</t>
        </is>
      </c>
      <c r="D17" s="81" t="n"/>
      <c r="E17" s="85" t="n">
        <v>86</v>
      </c>
      <c r="F17" s="86" t="inlineStr">
        <is>
          <t>CNY</t>
        </is>
      </c>
      <c r="G17" s="91" t="n">
        <v>1</v>
      </c>
      <c r="H17" s="88">
        <f>E17*G17*IF(F17="USD",Compare!$B$8,IF(F17="CNY",Compare!$B$9,IF(F17="HKD",Compare!$B$10,1)))</f>
        <v/>
      </c>
      <c r="I17" s="85" t="n">
        <v>134</v>
      </c>
      <c r="J17" s="91" t="n">
        <v>1</v>
      </c>
      <c r="K17" s="88">
        <f>I17*J17*IF(F17="USD",Compare!$B$8,IF(F17="CNY",Compare!$B$9,IF(F17="HKD",Compare!$B$10,1)))</f>
        <v/>
      </c>
      <c r="L17" s="112" t="inlineStr">
        <is>
          <t>Booking.com: 86/night (3 ppl, 1 room); 134 CNY for 2 rooms on 14 Nov. Trip.com 1 Oct confirms the price (rated 8.2, 1,062 reviews)</t>
        </is>
      </c>
    </row>
    <row r="18" ht="15" customHeight="1" s="56">
      <c r="A18" s="79" t="inlineStr">
        <is>
          <t>Meals &amp; local transport</t>
        </is>
      </c>
      <c r="B18" s="80" t="n"/>
      <c r="C18" s="80" t="n"/>
      <c r="D18" s="80" t="n"/>
      <c r="E18" s="80" t="n"/>
      <c r="F18" s="80" t="n"/>
      <c r="G18" s="80" t="n"/>
      <c r="H18" s="80" t="n"/>
      <c r="I18" s="80" t="n"/>
      <c r="J18" s="80" t="n"/>
      <c r="K18" s="80" t="n"/>
      <c r="L18" s="80" t="n"/>
    </row>
    <row r="19" ht="30" customHeight="1" s="56">
      <c r="A19" s="81" t="n"/>
      <c r="B19" s="111" t="inlineStr">
        <is>
          <t>Meals</t>
        </is>
      </c>
      <c r="C19" s="83" t="inlineStr">
        <is>
          <t>in destination</t>
        </is>
      </c>
      <c r="D19" s="81" t="n"/>
      <c r="E19" s="113" t="n">
        <v>80</v>
      </c>
      <c r="F19" s="86" t="inlineStr">
        <is>
          <t>CNY</t>
        </is>
      </c>
      <c r="G19" s="87">
        <f>Compare!$B$6*$B$4</f>
        <v/>
      </c>
      <c r="H19" s="88">
        <f>E19*G19*IF(F19="USD",Compare!$B$8,IF(F19="CNY",Compare!$B$9,IF(F19="HKD",Compare!$B$10,1)))</f>
        <v/>
      </c>
      <c r="I19" s="114">
        <f>E19</f>
        <v/>
      </c>
      <c r="J19" s="87">
        <f>Compare!$B$7*$B$4</f>
        <v/>
      </c>
      <c r="K19" s="88">
        <f>I19*J19*IF(F19="USD",Compare!$B$8,IF(F19="CNY",Compare!$B$9,IF(F19="HKD",Compare!$B$10,1)))</f>
        <v/>
      </c>
      <c r="L19" s="112" t="inlineStr">
        <is>
          <t>ASSUMPTION 80 CNY/person/day; hosts usually provide some meals on contest days</t>
        </is>
      </c>
    </row>
    <row r="20" ht="15" customHeight="1" s="56">
      <c r="A20" s="81" t="n"/>
      <c r="B20" s="111" t="inlineStr">
        <is>
          <t>Local transport (metro, taxis)</t>
        </is>
      </c>
      <c r="C20" s="83" t="inlineStr">
        <is>
          <t>in destination</t>
        </is>
      </c>
      <c r="D20" s="81" t="n"/>
      <c r="E20" s="113" t="n">
        <v>30</v>
      </c>
      <c r="F20" s="86" t="inlineStr">
        <is>
          <t>CNY</t>
        </is>
      </c>
      <c r="G20" s="87">
        <f>Compare!$B$6*$B$4</f>
        <v/>
      </c>
      <c r="H20" s="88">
        <f>E20*G20*IF(F20="USD",Compare!$B$8,IF(F20="CNY",Compare!$B$9,IF(F20="HKD",Compare!$B$10,1)))</f>
        <v/>
      </c>
      <c r="I20" s="114">
        <f>E20</f>
        <v/>
      </c>
      <c r="J20" s="87">
        <f>Compare!$B$7*$B$4</f>
        <v/>
      </c>
      <c r="K20" s="88">
        <f>I20*J20*IF(F20="USD",Compare!$B$8,IF(F20="CNY",Compare!$B$9,IF(F20="HKD",Compare!$B$10,1)))</f>
        <v/>
      </c>
      <c r="L20" s="112" t="inlineStr">
        <is>
          <t>ASSUMPTION 30 CNY/person/day</t>
        </is>
      </c>
    </row>
    <row r="21" ht="30" customHeight="1" s="56">
      <c r="A21" s="81" t="n"/>
      <c r="B21" s="111" t="inlineStr">
        <is>
          <t>Taxi PEK → Beijing Chaoyang area (Dequan hotel)</t>
        </is>
      </c>
      <c r="C21" s="83" t="inlineStr">
        <is>
          <t>13 Nov</t>
        </is>
      </c>
      <c r="D21" s="84" t="n"/>
      <c r="E21" s="113" t="n">
        <v>120</v>
      </c>
      <c r="F21" s="86" t="inlineStr">
        <is>
          <t>CNY</t>
        </is>
      </c>
      <c r="G21" s="91" t="n">
        <v>1</v>
      </c>
      <c r="H21" s="88">
        <f>E21*G21*IF(F21="USD",Compare!$B$8,IF(F21="CNY",Compare!$B$9,IF(F21="HKD",Compare!$B$10,1)))</f>
        <v/>
      </c>
      <c r="I21" s="114">
        <f>E21</f>
        <v/>
      </c>
      <c r="J21" s="91" t="n">
        <v>1</v>
      </c>
      <c r="K21" s="88">
        <f>I21*J21*IF(F21="USD",Compare!$B$8,IF(F21="CNY",Compare!$B$9,IF(F21="HKD",Compare!$B$10,1)))</f>
        <v/>
      </c>
      <c r="L21" s="112" t="inlineStr">
        <is>
          <t>ASSUMPTION ~120 CNY per car, ~35 km at night (4 ppl may need an XL car)</t>
        </is>
      </c>
    </row>
    <row r="22" ht="15" customHeight="1" s="56">
      <c r="A22" s="81" t="n"/>
      <c r="B22" s="111" t="inlineStr">
        <is>
          <t>Taxi Dequan hotel → PEK</t>
        </is>
      </c>
      <c r="C22" s="83" t="inlineStr">
        <is>
          <t>16 Nov</t>
        </is>
      </c>
      <c r="D22" s="84" t="n"/>
      <c r="E22" s="113" t="n">
        <v>120</v>
      </c>
      <c r="F22" s="86" t="inlineStr">
        <is>
          <t>CNY</t>
        </is>
      </c>
      <c r="G22" s="91" t="n">
        <v>1</v>
      </c>
      <c r="H22" s="88">
        <f>E22*G22*IF(F22="USD",Compare!$B$8,IF(F22="CNY",Compare!$B$9,IF(F22="HKD",Compare!$B$10,1)))</f>
        <v/>
      </c>
      <c r="I22" s="114">
        <f>E22</f>
        <v/>
      </c>
      <c r="J22" s="91" t="n">
        <v>1</v>
      </c>
      <c r="K22" s="88">
        <f>I22*J22*IF(F22="USD",Compare!$B$8,IF(F22="CNY",Compare!$B$9,IF(F22="HKD",Compare!$B$10,1)))</f>
        <v/>
      </c>
      <c r="L22" s="112" t="inlineStr">
        <is>
          <t>ASSUMPTION ~120 CNY per car, ~35 km, leave ~09:00</t>
        </is>
      </c>
    </row>
    <row r="23" ht="15" customHeight="1" s="56">
      <c r="A23" s="94" t="inlineStr">
        <is>
          <t>PAID PERSONALLY (university won't cover)</t>
        </is>
      </c>
      <c r="B23" s="95" t="n"/>
      <c r="C23" s="95" t="n"/>
      <c r="D23" s="95" t="n"/>
      <c r="E23" s="95" t="n"/>
      <c r="F23" s="95" t="n"/>
      <c r="G23" s="95" t="n"/>
      <c r="H23" s="95" t="n"/>
      <c r="I23" s="95" t="n"/>
      <c r="J23" s="95" t="n"/>
      <c r="K23" s="95" t="n"/>
      <c r="L23" s="95" t="n"/>
    </row>
    <row r="24" ht="15" customHeight="1" s="56">
      <c r="A24" s="79" t="inlineStr">
        <is>
          <t>Contest fee</t>
        </is>
      </c>
      <c r="B24" s="80" t="n"/>
      <c r="C24" s="80" t="n"/>
      <c r="D24" s="80" t="n"/>
      <c r="E24" s="80" t="n"/>
      <c r="F24" s="80" t="n"/>
      <c r="G24" s="80" t="n"/>
      <c r="H24" s="80" t="n"/>
      <c r="I24" s="80" t="n"/>
      <c r="J24" s="80" t="n"/>
      <c r="K24" s="80" t="n"/>
      <c r="L24" s="80" t="n"/>
    </row>
    <row r="25" ht="22.35" customHeight="1" s="56">
      <c r="A25" s="81" t="n"/>
      <c r="B25" s="82" t="inlineStr">
        <is>
          <t>Shenyang regional registration fee (per team)</t>
        </is>
      </c>
      <c r="C25" s="83" t="inlineStr">
        <is>
          <t>pay by mid-Oct</t>
        </is>
      </c>
      <c r="D25" s="81" t="n"/>
      <c r="E25" s="113" t="n">
        <v>1500</v>
      </c>
      <c r="F25" s="86" t="inlineStr">
        <is>
          <t>CNY</t>
        </is>
      </c>
      <c r="G25" s="91" t="n">
        <v>1</v>
      </c>
      <c r="H25" s="88">
        <f>E25*G25*IF(F25="USD",Compare!$B$8,IF(F25="CNY",Compare!$B$9,IF(F25="HKD",Compare!$B$10,1)))</f>
        <v/>
      </c>
      <c r="I25" s="114">
        <f>E25</f>
        <v/>
      </c>
      <c r="J25" s="91" t="n">
        <v>1</v>
      </c>
      <c r="K25" s="88">
        <f>I25*J25*IF(F25="USD",Compare!$B$8,IF(F25="CNY",Compare!$B$9,IF(F25="HKD",Compare!$B$10,1)))</f>
        <v/>
      </c>
      <c r="L25" s="90" t="inlineStr">
        <is>
          <t>ASSUMPTION: 1,500 CNY/team like recent EC regionals; 2026 Shenyang invitation not seen</t>
        </is>
      </c>
    </row>
    <row r="26" ht="15" customHeight="1" s="56">
      <c r="A26" s="79" t="inlineStr">
        <is>
          <t>Other</t>
        </is>
      </c>
      <c r="B26" s="80" t="n"/>
      <c r="C26" s="80" t="n"/>
      <c r="D26" s="80" t="n"/>
      <c r="E26" s="80" t="n"/>
      <c r="F26" s="80" t="n"/>
      <c r="G26" s="80" t="n"/>
      <c r="H26" s="80" t="n"/>
      <c r="I26" s="80" t="n"/>
      <c r="J26" s="80" t="n"/>
      <c r="K26" s="80" t="n"/>
      <c r="L26" s="80" t="n"/>
    </row>
    <row r="27" ht="15" customHeight="1" s="56">
      <c r="A27" s="81" t="n"/>
      <c r="B27" s="82" t="inlineStr">
        <is>
          <t>Taxi to/from Chinggis Khaan airport (UB), per trip</t>
        </is>
      </c>
      <c r="C27" s="83" t="inlineStr">
        <is>
          <t>out &amp; back</t>
        </is>
      </c>
      <c r="D27" s="84" t="n">
        <v>0.04166666666666666</v>
      </c>
      <c r="E27" s="92" t="n">
        <v>100000</v>
      </c>
      <c r="F27" s="86" t="inlineStr">
        <is>
          <t>MNT</t>
        </is>
      </c>
      <c r="G27" s="91" t="n">
        <v>2</v>
      </c>
      <c r="H27" s="88">
        <f>E27*G27*IF(F27="USD",Compare!$B$8,IF(F27="CNY",Compare!$B$9,IF(F27="HKD",Compare!$B$10,1)))</f>
        <v/>
      </c>
      <c r="I27" s="93">
        <f>E27</f>
        <v/>
      </c>
      <c r="J27" s="91" t="n">
        <v>2</v>
      </c>
      <c r="K27" s="88">
        <f>I27*J27*IF(F27="USD",Compare!$B$8,IF(F27="CNY",Compare!$B$9,IF(F27="HKD",Compare!$B$10,1)))</f>
        <v/>
      </c>
      <c r="L27" s="90" t="inlineStr">
        <is>
          <t>ASSUMPTION 100k MNT per trip for the group</t>
        </is>
      </c>
    </row>
    <row r="28" ht="15" customHeight="1" s="56">
      <c r="A28" s="81" t="n"/>
      <c r="B28" s="82" t="inlineStr">
        <is>
          <t>Travel medical insurance</t>
        </is>
      </c>
      <c r="C28" s="83" t="n"/>
      <c r="D28" s="81" t="n"/>
      <c r="E28" s="92" t="n">
        <v>30000</v>
      </c>
      <c r="F28" s="86" t="inlineStr">
        <is>
          <t>MNT</t>
        </is>
      </c>
      <c r="G28" s="87">
        <f>Compare!$B$6</f>
        <v/>
      </c>
      <c r="H28" s="88">
        <f>E28*G28*IF(F28="USD",Compare!$B$8,IF(F28="CNY",Compare!$B$9,IF(F28="HKD",Compare!$B$10,1)))</f>
        <v/>
      </c>
      <c r="I28" s="93">
        <f>E28</f>
        <v/>
      </c>
      <c r="J28" s="87">
        <f>Compare!$B$7</f>
        <v/>
      </c>
      <c r="K28" s="88">
        <f>I28*J28*IF(F28="USD",Compare!$B$8,IF(F28="CNY",Compare!$B$9,IF(F28="HKD",Compare!$B$10,1)))</f>
        <v/>
      </c>
      <c r="L28" s="90" t="inlineStr">
        <is>
          <t>ASSUMPTION ~30k MNT per person, Mongolian insurer</t>
        </is>
      </c>
    </row>
    <row r="29" ht="15" customHeight="1" s="56">
      <c r="A29" s="81" t="n"/>
      <c r="B29" s="82" t="inlineStr">
        <is>
          <t>Mobile data eSIM</t>
        </is>
      </c>
      <c r="C29" s="83" t="n"/>
      <c r="D29" s="81" t="n"/>
      <c r="E29" s="92" t="n">
        <v>10</v>
      </c>
      <c r="F29" s="86" t="inlineStr">
        <is>
          <t>USD</t>
        </is>
      </c>
      <c r="G29" s="87">
        <f>Compare!$B$6</f>
        <v/>
      </c>
      <c r="H29" s="88">
        <f>E29*G29*IF(F29="USD",Compare!$B$8,IF(F29="CNY",Compare!$B$9,IF(F29="HKD",Compare!$B$10,1)))</f>
        <v/>
      </c>
      <c r="I29" s="93">
        <f>E29</f>
        <v/>
      </c>
      <c r="J29" s="87">
        <f>Compare!$B$7</f>
        <v/>
      </c>
      <c r="K29" s="88">
        <f>I29*J29*IF(F29="USD",Compare!$B$8,IF(F29="CNY",Compare!$B$9,IF(F29="HKD",Compare!$B$10,1)))</f>
        <v/>
      </c>
      <c r="L29" s="90" t="inlineStr">
        <is>
          <t>ASSUMPTION ~$10 pp</t>
        </is>
      </c>
    </row>
    <row r="30" ht="22.35" customHeight="1" s="56">
      <c r="A30" s="81" t="n"/>
      <c r="B30" s="82" t="inlineStr">
        <is>
          <t>Visa</t>
        </is>
      </c>
      <c r="C30" s="83" t="n"/>
      <c r="D30" s="81" t="n"/>
      <c r="E30" s="85" t="n">
        <v>0</v>
      </c>
      <c r="F30" s="86" t="inlineStr">
        <is>
          <t>MNT</t>
        </is>
      </c>
      <c r="G30" s="87">
        <f>Compare!$B$6</f>
        <v/>
      </c>
      <c r="H30" s="88">
        <f>E30*G30*IF(F30="USD",Compare!$B$8,IF(F30="CNY",Compare!$B$9,IF(F30="HKD",Compare!$B$10,1)))</f>
        <v/>
      </c>
      <c r="I30" s="89">
        <f>E30</f>
        <v/>
      </c>
      <c r="J30" s="87">
        <f>Compare!$B$7</f>
        <v/>
      </c>
      <c r="K30" s="88">
        <f>I30*J30*IF(F30="USD",Compare!$B$8,IF(F30="CNY",Compare!$B$9,IF(F30="HKD",Compare!$B$10,1)))</f>
        <v/>
      </c>
      <c r="L30" s="90" t="inlineStr">
        <is>
          <t>Mongolian passports: visa-free (mainland China up to 30 days; Hong Kong up to 14 days)</t>
        </is>
      </c>
    </row>
    <row r="32" ht="15" customHeight="1" s="56">
      <c r="G32" s="60" t="n"/>
      <c r="H32" s="96" t="inlineStr">
        <is>
          <t>3 people – UNFUNDED</t>
        </is>
      </c>
      <c r="K32" s="96" t="inlineStr">
        <is>
          <t>4 people – FUNDED ₮12M</t>
        </is>
      </c>
    </row>
    <row r="33" ht="15" customHeight="1" s="56">
      <c r="G33" s="97" t="inlineStr">
        <is>
          <t>University-paid subtotal</t>
        </is>
      </c>
      <c r="H33" s="98">
        <f>SUM(H9:H22)</f>
        <v/>
      </c>
      <c r="K33" s="98">
        <f>SUM(K9:K22)</f>
        <v/>
      </c>
    </row>
    <row r="34" ht="15" customHeight="1" s="56">
      <c r="G34" s="99" t="inlineStr">
        <is>
          <t>Contingency</t>
        </is>
      </c>
      <c r="H34" s="100">
        <f>H33*Compare!$B$11</f>
        <v/>
      </c>
      <c r="K34" s="100">
        <f>K33*Compare!$B$11</f>
        <v/>
      </c>
    </row>
    <row r="35" ht="15" customHeight="1" s="56">
      <c r="G35" s="97" t="inlineStr">
        <is>
          <t>University-paid total incl. contingency</t>
        </is>
      </c>
      <c r="H35" s="98">
        <f>H33+H34</f>
        <v/>
      </c>
      <c r="K35" s="98">
        <f>K33+K34</f>
        <v/>
      </c>
    </row>
    <row r="36" ht="15" customHeight="1" s="56">
      <c r="G36" s="97" t="inlineStr">
        <is>
          <t>Funding left (negative = over)</t>
        </is>
      </c>
      <c r="H36" s="101">
        <f>Compare!$B$12-H35</f>
        <v/>
      </c>
      <c r="K36" s="101">
        <f>Compare!$B$5-K35</f>
        <v/>
      </c>
    </row>
    <row r="37" ht="15" customHeight="1" s="56">
      <c r="G37" s="97" t="inlineStr">
        <is>
          <t>Personal costs – team</t>
        </is>
      </c>
      <c r="H37" s="102">
        <f>SUM(H24:H30)</f>
        <v/>
      </c>
      <c r="K37" s="102">
        <f>SUM(K24:K30)</f>
        <v/>
      </c>
    </row>
    <row r="38" ht="15" customHeight="1" s="56">
      <c r="G38" s="97" t="inlineStr">
        <is>
          <t>Out-of-pocket per person (personal + any overrun)</t>
        </is>
      </c>
      <c r="H38" s="102">
        <f>(H37+MAX(0,-H36))/Compare!$B$6</f>
        <v/>
      </c>
      <c r="K38" s="102">
        <f>(K37+MAX(0,-K36))/Compare!$B$7</f>
        <v/>
      </c>
    </row>
    <row r="39" ht="15" customHeight="1" s="56">
      <c r="G39" s="97" t="inlineStr">
        <is>
          <t>Whole trip cost (university + personal)</t>
        </is>
      </c>
      <c r="H39" s="103">
        <f>H35+H37</f>
        <v/>
      </c>
      <c r="K39" s="103">
        <f>K35+K37</f>
        <v/>
      </c>
    </row>
    <row r="40" ht="15" customHeight="1" s="56">
      <c r="G40" s="99" t="inlineStr">
        <is>
          <t>Time in planes &amp; trains</t>
        </is>
      </c>
      <c r="H40" s="104">
        <f>D10+D11+D13+D14</f>
        <v/>
      </c>
      <c r="K40" s="104">
        <f>D10+D11+D13+D14</f>
        <v/>
      </c>
    </row>
    <row r="42" ht="15" customHeight="1" s="56">
      <c r="A42" s="72" t="inlineStr">
        <is>
          <t>Key facts</t>
        </is>
      </c>
    </row>
    <row r="43" ht="15" customHeight="1" s="56">
      <c r="A43" s="75" t="inlineStr">
        <is>
          <t>Contest</t>
        </is>
      </c>
      <c r="B43" s="74" t="inlineStr">
        <is>
          <t>Asia Shenyang Regional, 14–15 Nov 2026 (provisional), Northeastern University Nanhu campus</t>
        </is>
      </c>
    </row>
    <row r="44" ht="30" customHeight="1" s="56">
      <c r="A44" s="75" t="inlineStr">
        <is>
          <t>Why this plan</t>
        </is>
      </c>
      <c r="B44" s="74" t="inlineStr">
        <is>
          <t>Cheapest plan without overnight trains: two nights at Dequan (¥304 each), one at Bestay (¥86), MIAT evening flight, G101 at 08:00 reaches Shenyang before the registration desk opens.</t>
        </is>
      </c>
    </row>
    <row r="45" ht="15" customHeight="1" s="56">
      <c r="A45" s="75" t="inlineStr">
        <is>
          <t>Trade-off</t>
        </is>
      </c>
      <c r="B45" s="74" t="inlineStr">
        <is>
          <t>Two Beijing night stops and a metro commute to NEU on contest day; ~25 min metro each way. About ₮0.84M more than the sleeper-train budget plan (3 ppl).</t>
        </is>
      </c>
    </row>
    <row r="47" ht="15" customHeight="1" s="56">
      <c r="A47" s="72" t="inlineStr">
        <is>
          <t>Day-by-day plan</t>
        </is>
      </c>
    </row>
    <row r="48" ht="15" customHeight="1" s="56">
      <c r="A48" s="96" t="inlineStr">
        <is>
          <t>Date</t>
        </is>
      </c>
      <c r="B48" s="96" t="inlineStr">
        <is>
          <t>Sleep in</t>
        </is>
      </c>
      <c r="C48" s="96" t="inlineStr">
        <is>
          <t>What happens</t>
        </is>
      </c>
    </row>
    <row r="49" ht="15" customHeight="1" s="56">
      <c r="A49" s="74" t="inlineStr">
        <is>
          <t>Fri 13 Nov</t>
        </is>
      </c>
      <c r="B49" s="74" t="inlineStr">
        <is>
          <t>Beijing</t>
        </is>
      </c>
      <c r="C49" s="74" t="inlineStr">
        <is>
          <t>MIAT OM223 UB 17:15 → Beijing 19:30. Taxi to Dequan Railway Station Hotel near Beijing Chaoyang.</t>
        </is>
      </c>
    </row>
    <row r="50" ht="15" customHeight="1" s="56">
      <c r="A50" s="74" t="inlineStr">
        <is>
          <t>Sat 14 Nov</t>
        </is>
      </c>
      <c r="B50" s="74" t="inlineStr">
        <is>
          <t>Shenyang</t>
        </is>
      </c>
      <c r="C50" s="74" t="inlineStr">
        <is>
          <t>G101 Beijing Chaoyang 08:00 → Shenyang North 10:29; Bestay Hotel; registration &amp; practice at NEU Nanhu (metro).</t>
        </is>
      </c>
    </row>
    <row r="51" ht="15" customHeight="1" s="56">
      <c r="A51" s="74" t="inlineStr">
        <is>
          <t>Sun 15 Nov</t>
        </is>
      </c>
      <c r="B51" s="74" t="inlineStr">
        <is>
          <t>Beijing</t>
        </is>
      </c>
      <c r="C51" s="74" t="inlineStr">
        <is>
          <t>SHENYANG REGIONAL contest day. G142 19:51 → Beijing Chaoyang 22:30; Dequan hotel.</t>
        </is>
      </c>
    </row>
    <row r="52" ht="15" customHeight="1" s="56">
      <c r="A52" s="74" t="inlineStr">
        <is>
          <t>Mon 16 Nov</t>
        </is>
      </c>
      <c r="B52" s="74" t="inlineStr">
        <is>
          <t>Home</t>
        </is>
      </c>
      <c r="C52" s="74" t="inlineStr">
        <is>
          <t>Taxi to PEK. Air China Beijing Capital 12:55 → UB 15:05 (nonstop).</t>
        </is>
      </c>
    </row>
    <row r="54" ht="15" customHeight="1" s="56">
      <c r="A54" s="72" t="inlineStr">
        <is>
          <t>Door-to-door travel times</t>
        </is>
      </c>
    </row>
    <row r="55" ht="15" customHeight="1" s="56">
      <c r="A55" s="96" t="inlineStr">
        <is>
          <t>Date</t>
        </is>
      </c>
      <c r="B55" s="96" t="inlineStr">
        <is>
          <t>Leg</t>
        </is>
      </c>
      <c r="C55" s="96" t="inlineStr">
        <is>
          <t>Mode</t>
        </is>
      </c>
      <c r="D55" s="96" t="inlineStr">
        <is>
          <t>Expected time</t>
        </is>
      </c>
      <c r="E55" s="96" t="inlineStr">
        <is>
          <t>Notes</t>
        </is>
      </c>
    </row>
    <row r="56" ht="15" customHeight="1" s="56">
      <c r="A56" s="105" t="inlineStr">
        <is>
          <t>13 Nov</t>
        </is>
      </c>
      <c r="B56" s="105" t="inlineStr">
        <is>
          <t>Home → Chinggis Khaan airport</t>
        </is>
      </c>
      <c r="C56" s="82" t="inlineStr">
        <is>
          <t>Taxi (~50 km)</t>
        </is>
      </c>
      <c r="D56" s="104" t="n">
        <v>0.04166666666666666</v>
      </c>
      <c r="E56" s="106" t="inlineStr">
        <is>
          <t>Leave ~14:15 for 17:15 flight</t>
        </is>
      </c>
      <c r="F56" s="107" t="n"/>
      <c r="G56" s="107" t="n"/>
      <c r="H56" s="107" t="n"/>
      <c r="I56" s="107" t="n"/>
      <c r="J56" s="107" t="n"/>
      <c r="K56" s="107" t="n"/>
      <c r="L56" s="107" t="n"/>
    </row>
    <row r="57" ht="15" customHeight="1" s="56">
      <c r="A57" s="105" t="inlineStr">
        <is>
          <t>13 Nov</t>
        </is>
      </c>
      <c r="B57" s="105" t="inlineStr">
        <is>
          <t>Ulaanbaatar → Beijing (PEK)</t>
        </is>
      </c>
      <c r="C57" s="82" t="inlineStr">
        <is>
          <t>MIAT OM223 17:15–19:30</t>
        </is>
      </c>
      <c r="D57" s="104" t="n">
        <v>0.09375</v>
      </c>
      <c r="E57" s="106" t="inlineStr"/>
      <c r="F57" s="107" t="n"/>
      <c r="G57" s="107" t="n"/>
      <c r="H57" s="107" t="n"/>
      <c r="I57" s="107" t="n"/>
      <c r="J57" s="107" t="n"/>
      <c r="K57" s="107" t="n"/>
      <c r="L57" s="107" t="n"/>
    </row>
    <row r="58" ht="15" customHeight="1" s="56">
      <c r="A58" s="105" t="inlineStr">
        <is>
          <t>13 Nov</t>
        </is>
      </c>
      <c r="B58" s="105" t="inlineStr">
        <is>
          <t>PEK arrival: immigration, bags</t>
        </is>
      </c>
      <c r="C58" s="82" t="inlineStr">
        <is>
          <t>—</t>
        </is>
      </c>
      <c r="D58" s="104" t="n">
        <v>0.03125</v>
      </c>
      <c r="E58" s="106" t="inlineStr">
        <is>
          <t>Estimate</t>
        </is>
      </c>
      <c r="F58" s="107" t="n"/>
      <c r="G58" s="107" t="n"/>
      <c r="H58" s="107" t="n"/>
      <c r="I58" s="107" t="n"/>
      <c r="J58" s="107" t="n"/>
      <c r="K58" s="107" t="n"/>
      <c r="L58" s="107" t="n"/>
    </row>
    <row r="59" ht="15" customHeight="1" s="56">
      <c r="A59" s="105" t="inlineStr">
        <is>
          <t>13 Nov</t>
        </is>
      </c>
      <c r="B59" s="105" t="inlineStr">
        <is>
          <t>PEK → Dequan hotel (Chaoyang station)</t>
        </is>
      </c>
      <c r="C59" s="82" t="inlineStr">
        <is>
          <t>Taxi (~35 km)</t>
        </is>
      </c>
      <c r="D59" s="104" t="n">
        <v>0.03472222222222222</v>
      </c>
      <c r="E59" s="106" t="inlineStr">
        <is>
          <t>Estimate</t>
        </is>
      </c>
      <c r="F59" s="107" t="n"/>
      <c r="G59" s="107" t="n"/>
      <c r="H59" s="107" t="n"/>
      <c r="I59" s="107" t="n"/>
      <c r="J59" s="107" t="n"/>
      <c r="K59" s="107" t="n"/>
      <c r="L59" s="107" t="n"/>
    </row>
    <row r="60" ht="15" customHeight="1" s="56">
      <c r="A60" s="105" t="inlineStr">
        <is>
          <t>14 Nov</t>
        </is>
      </c>
      <c r="B60" s="105" t="inlineStr">
        <is>
          <t>Beijing Chaoyang → Shenyang North</t>
        </is>
      </c>
      <c r="C60" s="82" t="inlineStr">
        <is>
          <t>G101 08:00–10:29</t>
        </is>
      </c>
      <c r="D60" s="104" t="n">
        <v>0.1034722222222222</v>
      </c>
      <c r="E60" s="106" t="inlineStr"/>
      <c r="F60" s="107" t="n"/>
      <c r="G60" s="107" t="n"/>
      <c r="H60" s="107" t="n"/>
      <c r="I60" s="107" t="n"/>
      <c r="J60" s="107" t="n"/>
      <c r="K60" s="107" t="n"/>
      <c r="L60" s="107" t="n"/>
    </row>
    <row r="61" ht="15" customHeight="1" s="56">
      <c r="A61" s="105" t="inlineStr">
        <is>
          <t>14 Nov</t>
        </is>
      </c>
      <c r="B61" s="105" t="inlineStr">
        <is>
          <t>Shenyang North → Bestay hotel</t>
        </is>
      </c>
      <c r="C61" s="82" t="inlineStr">
        <is>
          <t>Metro</t>
        </is>
      </c>
      <c r="D61" s="104" t="n">
        <v>0.02083333333333333</v>
      </c>
      <c r="E61" s="106" t="inlineStr">
        <is>
          <t>Estimate</t>
        </is>
      </c>
      <c r="F61" s="107" t="n"/>
      <c r="G61" s="107" t="n"/>
      <c r="H61" s="107" t="n"/>
      <c r="I61" s="107" t="n"/>
      <c r="J61" s="107" t="n"/>
      <c r="K61" s="107" t="n"/>
      <c r="L61" s="107" t="n"/>
    </row>
    <row r="62" ht="15" customHeight="1" s="56">
      <c r="A62" s="105" t="inlineStr">
        <is>
          <t>14–15 Nov</t>
        </is>
      </c>
      <c r="B62" s="105" t="inlineStr">
        <is>
          <t>Hotel ↔ NEU Nanhu (each way)</t>
        </is>
      </c>
      <c r="C62" s="82" t="inlineStr">
        <is>
          <t>Metro</t>
        </is>
      </c>
      <c r="D62" s="104" t="inlineStr">
        <is>
          <t>daily</t>
        </is>
      </c>
      <c r="E62" s="106" t="inlineStr">
        <is>
          <t>~25 min metro</t>
        </is>
      </c>
      <c r="F62" s="107" t="n"/>
      <c r="G62" s="107" t="n"/>
      <c r="H62" s="107" t="n"/>
      <c r="I62" s="107" t="n"/>
      <c r="J62" s="107" t="n"/>
      <c r="K62" s="107" t="n"/>
      <c r="L62" s="107" t="n"/>
    </row>
    <row r="63" ht="15" customHeight="1" s="56">
      <c r="A63" s="105" t="inlineStr">
        <is>
          <t>15 Nov</t>
        </is>
      </c>
      <c r="B63" s="105" t="inlineStr">
        <is>
          <t>NEU Nanhu → Shenyang North</t>
        </is>
      </c>
      <c r="C63" s="82" t="inlineStr">
        <is>
          <t>Taxi</t>
        </is>
      </c>
      <c r="D63" s="104" t="n">
        <v>0.01736111111111111</v>
      </c>
      <c r="E63" s="106" t="inlineStr"/>
      <c r="F63" s="107" t="n"/>
      <c r="G63" s="107" t="n"/>
      <c r="H63" s="107" t="n"/>
      <c r="I63" s="107" t="n"/>
      <c r="J63" s="107" t="n"/>
      <c r="K63" s="107" t="n"/>
      <c r="L63" s="107" t="n"/>
    </row>
    <row r="64" ht="15" customHeight="1" s="56">
      <c r="A64" s="105" t="inlineStr">
        <is>
          <t>15 Nov</t>
        </is>
      </c>
      <c r="B64" s="105" t="inlineStr">
        <is>
          <t>Shenyang North → Beijing Chaoyang</t>
        </is>
      </c>
      <c r="C64" s="82" t="inlineStr">
        <is>
          <t>G142 19:51–22:30</t>
        </is>
      </c>
      <c r="D64" s="104" t="n">
        <v>0.1104166666666667</v>
      </c>
      <c r="E64" s="106" t="inlineStr"/>
      <c r="F64" s="107" t="n"/>
      <c r="G64" s="107" t="n"/>
      <c r="H64" s="107" t="n"/>
      <c r="I64" s="107" t="n"/>
      <c r="J64" s="107" t="n"/>
      <c r="K64" s="107" t="n"/>
      <c r="L64" s="107" t="n"/>
    </row>
    <row r="65" ht="15" customHeight="1" s="56">
      <c r="A65" s="105" t="inlineStr">
        <is>
          <t>15 Nov</t>
        </is>
      </c>
      <c r="B65" s="105" t="inlineStr">
        <is>
          <t>Beijing Chaoyang station → Dequan hotel</t>
        </is>
      </c>
      <c r="C65" s="82" t="inlineStr">
        <is>
          <t>Walk / taxi (~1 km)</t>
        </is>
      </c>
      <c r="D65" s="104" t="n">
        <v>0.01041666666666667</v>
      </c>
      <c r="E65" s="106" t="inlineStr">
        <is>
          <t>Estimate</t>
        </is>
      </c>
      <c r="F65" s="107" t="n"/>
      <c r="G65" s="107" t="n"/>
      <c r="H65" s="107" t="n"/>
      <c r="I65" s="107" t="n"/>
      <c r="J65" s="107" t="n"/>
      <c r="K65" s="107" t="n"/>
      <c r="L65" s="107" t="n"/>
    </row>
    <row r="66" ht="15" customHeight="1" s="56">
      <c r="A66" s="105" t="inlineStr">
        <is>
          <t>16 Nov</t>
        </is>
      </c>
      <c r="B66" s="105" t="inlineStr">
        <is>
          <t>Hotel → PEK</t>
        </is>
      </c>
      <c r="C66" s="82" t="inlineStr">
        <is>
          <t>Taxi</t>
        </is>
      </c>
      <c r="D66" s="104" t="n">
        <v>0.03472222222222222</v>
      </c>
      <c r="E66" s="106" t="inlineStr">
        <is>
          <t>Be at PEK by ~10:55</t>
        </is>
      </c>
      <c r="F66" s="107" t="n"/>
      <c r="G66" s="107" t="n"/>
      <c r="H66" s="107" t="n"/>
      <c r="I66" s="107" t="n"/>
      <c r="J66" s="107" t="n"/>
      <c r="K66" s="107" t="n"/>
      <c r="L66" s="107" t="n"/>
    </row>
    <row r="67" ht="15" customHeight="1" s="56">
      <c r="A67" s="105" t="inlineStr">
        <is>
          <t>16 Nov</t>
        </is>
      </c>
      <c r="B67" s="105" t="inlineStr">
        <is>
          <t>Beijing (PEK) → Ulaanbaatar</t>
        </is>
      </c>
      <c r="C67" s="82" t="inlineStr">
        <is>
          <t>Air China 12:55–15:05</t>
        </is>
      </c>
      <c r="D67" s="104" t="n">
        <v>0.09027777777777778</v>
      </c>
      <c r="E67" s="106" t="inlineStr"/>
      <c r="F67" s="107" t="n"/>
      <c r="G67" s="107" t="n"/>
      <c r="H67" s="107" t="n"/>
      <c r="I67" s="107" t="n"/>
      <c r="J67" s="107" t="n"/>
      <c r="K67" s="107" t="n"/>
      <c r="L67" s="107" t="n"/>
    </row>
    <row r="68" ht="15" customHeight="1" s="56">
      <c r="A68" s="105" t="inlineStr">
        <is>
          <t>16 Nov</t>
        </is>
      </c>
      <c r="B68" s="105" t="inlineStr">
        <is>
          <t>Chinggis Khaan airport → home</t>
        </is>
      </c>
      <c r="C68" s="82" t="inlineStr">
        <is>
          <t>Taxi</t>
        </is>
      </c>
      <c r="D68" s="104" t="n">
        <v>0.04166666666666666</v>
      </c>
      <c r="E68" s="106" t="inlineStr"/>
      <c r="F68" s="107" t="n"/>
      <c r="G68" s="107" t="n"/>
      <c r="H68" s="107" t="n"/>
      <c r="I68" s="107" t="n"/>
      <c r="J68" s="107" t="n"/>
      <c r="K68" s="107" t="n"/>
      <c r="L68" s="107" t="n"/>
    </row>
    <row r="70" ht="15" customHeight="1" s="56">
      <c r="C70" s="59" t="inlineStr">
        <is>
          <t>Total door-to-door</t>
        </is>
      </c>
      <c r="D70" s="109">
        <f>SUM(D56:D68)</f>
        <v/>
      </c>
    </row>
  </sheetData>
  <mergeCells count="20">
    <mergeCell ref="E56:L56"/>
    <mergeCell ref="E58:L58"/>
    <mergeCell ref="C52:L52"/>
    <mergeCell ref="E68:L68"/>
    <mergeCell ref="E62:L62"/>
    <mergeCell ref="E67:L67"/>
    <mergeCell ref="B43:L43"/>
    <mergeCell ref="E64:L64"/>
    <mergeCell ref="C49:L49"/>
    <mergeCell ref="E63:L63"/>
    <mergeCell ref="E60:L60"/>
    <mergeCell ref="E65:L65"/>
    <mergeCell ref="B44:L44"/>
    <mergeCell ref="E59:L59"/>
    <mergeCell ref="C50:L50"/>
    <mergeCell ref="E61:L61"/>
    <mergeCell ref="E57:L57"/>
    <mergeCell ref="E66:L66"/>
    <mergeCell ref="C51:L51"/>
    <mergeCell ref="B45:L4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71"/>
  <sheetViews>
    <sheetView workbookViewId="0">
      <pane xSplit="2" ySplit="7" topLeftCell="C8" activePane="bottomRight" state="frozen"/>
      <selection pane="topRight" activeCell="A1" sqref="A1"/>
      <selection pane="bottomLeft" activeCell="A1" sqref="A1"/>
      <selection pane="bottomRight" activeCell="A1" sqref="A1"/>
    </sheetView>
  </sheetViews>
  <sheetFormatPr baseColWidth="8" defaultRowHeight="15"/>
  <cols>
    <col width="26" customWidth="1" style="56" min="1" max="1"/>
    <col width="52" customWidth="1" style="56" min="2" max="2"/>
    <col width="20" customWidth="1" style="56" min="3" max="3"/>
    <col width="15" customWidth="1" style="56" min="4" max="4"/>
    <col width="13" customWidth="1" style="56" min="5" max="5"/>
    <col width="9" customWidth="1" style="56" min="6" max="6"/>
    <col width="17" customWidth="1" style="56" min="8" max="8"/>
    <col width="13" customWidth="1" style="56" min="9" max="9"/>
    <col width="9" customWidth="1" style="56" min="10" max="10"/>
    <col width="17" customWidth="1" style="56" min="11" max="11"/>
    <col width="58" customWidth="1" style="56" min="12" max="12"/>
  </cols>
  <sheetData>
    <row r="1" ht="17.35" customHeight="1" s="56">
      <c r="A1" s="57" t="inlineStr">
        <is>
          <t>Shenyang – Comfort (G-train)</t>
        </is>
      </c>
    </row>
    <row r="2" ht="15" customHeight="1" s="56">
      <c r="A2" s="62" t="inlineStr">
        <is>
          <t>No sleeper trains: MIAT + high-speed rail out, evening G-train back to Beijing and a hotel night near Chaoyang station; rest day and family room near the venue.</t>
        </is>
      </c>
    </row>
    <row r="4" ht="15" customHeight="1" s="56">
      <c r="A4" s="60" t="inlineStr">
        <is>
          <t>Days in destination (meals &amp; local transport)</t>
        </is>
      </c>
      <c r="B4" s="76" t="n">
        <v>4.5</v>
      </c>
      <c r="C4" s="62" t="inlineStr">
        <is>
          <t>12 Nov morning → midday 16 Nov</t>
        </is>
      </c>
    </row>
    <row r="5" ht="15" customHeight="1" s="56">
      <c r="A5" s="62" t="inlineStr">
        <is>
          <t>Shared inputs are on the Compare sheet. Scroll down for the day-by-day plan and door-to-door travel times.</t>
        </is>
      </c>
    </row>
    <row r="7" ht="31.5" customHeight="1" s="56">
      <c r="A7" s="66" t="inlineStr">
        <is>
          <t>Category</t>
        </is>
      </c>
      <c r="B7" s="66" t="inlineStr">
        <is>
          <t>Item</t>
        </is>
      </c>
      <c r="C7" s="66" t="inlineStr">
        <is>
          <t>Date</t>
        </is>
      </c>
      <c r="D7" s="66" t="inlineStr">
        <is>
          <t>Travel time</t>
        </is>
      </c>
      <c r="E7" s="66" t="inlineStr">
        <is>
          <t>Unit cost (3 ppl)</t>
        </is>
      </c>
      <c r="F7" s="66" t="inlineStr">
        <is>
          <t>Currency</t>
        </is>
      </c>
      <c r="G7" s="66" t="inlineStr">
        <is>
          <t>Qty (3 ppl)</t>
        </is>
      </c>
      <c r="H7" s="66" t="inlineStr">
        <is>
          <t>Total MNT – 3 people</t>
        </is>
      </c>
      <c r="I7" s="66" t="inlineStr">
        <is>
          <t>Unit cost (4 ppl)</t>
        </is>
      </c>
      <c r="J7" s="66" t="inlineStr">
        <is>
          <t>Qty (4 ppl)</t>
        </is>
      </c>
      <c r="K7" s="66" t="inlineStr">
        <is>
          <t>Total MNT – 4 people</t>
        </is>
      </c>
      <c r="L7" s="66" t="inlineStr">
        <is>
          <t>Source / notes</t>
        </is>
      </c>
    </row>
    <row r="8" ht="15" customHeight="1" s="56">
      <c r="A8" s="77" t="inlineStr">
        <is>
          <t>PAID BY UNIVERSITY</t>
        </is>
      </c>
      <c r="B8" s="78" t="n"/>
      <c r="C8" s="78" t="n"/>
      <c r="D8" s="78" t="n"/>
      <c r="E8" s="78" t="n"/>
      <c r="F8" s="78" t="n"/>
      <c r="G8" s="78" t="n"/>
      <c r="H8" s="78" t="n"/>
      <c r="I8" s="78" t="n"/>
      <c r="J8" s="78" t="n"/>
      <c r="K8" s="78" t="n"/>
      <c r="L8" s="78" t="n"/>
    </row>
    <row r="9" ht="15" customHeight="1" s="56">
      <c r="A9" s="79" t="inlineStr">
        <is>
          <t>Flights</t>
        </is>
      </c>
      <c r="B9" s="80" t="n"/>
      <c r="C9" s="80" t="n"/>
      <c r="D9" s="80" t="n"/>
      <c r="E9" s="80" t="n"/>
      <c r="F9" s="80" t="n"/>
      <c r="G9" s="80" t="n"/>
      <c r="H9" s="80" t="n"/>
      <c r="I9" s="80" t="n"/>
      <c r="J9" s="80" t="n"/>
      <c r="K9" s="80" t="n"/>
      <c r="L9" s="80" t="n"/>
    </row>
    <row r="10" ht="30" customHeight="1" s="56">
      <c r="A10" s="81" t="n"/>
      <c r="B10" s="111" t="inlineStr">
        <is>
          <t>MIAT OM223 Ulaanbaatar → Beijing (PEK), 07:30–09:45</t>
        </is>
      </c>
      <c r="C10" s="83" t="inlineStr">
        <is>
          <t>12 Nov</t>
        </is>
      </c>
      <c r="D10" s="84" t="n">
        <v>0.09375</v>
      </c>
      <c r="E10" s="85" t="n">
        <v>151</v>
      </c>
      <c r="F10" s="86" t="inlineStr">
        <is>
          <t>USD</t>
        </is>
      </c>
      <c r="G10" s="87">
        <f>Compare!$B$6</f>
        <v/>
      </c>
      <c r="H10" s="88">
        <f>E10*G10*IF(F10="USD",Compare!$B$8,IF(F10="CNY",Compare!$B$9,IF(F10="HKD",Compare!$B$10,1)))</f>
        <v/>
      </c>
      <c r="I10" s="89">
        <f>E10</f>
        <v/>
      </c>
      <c r="J10" s="87">
        <f>Compare!$B$7</f>
        <v/>
      </c>
      <c r="K10" s="88">
        <f>I10*J10*IF(F10="USD",Compare!$B$8,IF(F10="CNY",Compare!$B$9,IF(F10="HKD",Compare!$B$10,1)))</f>
        <v/>
      </c>
      <c r="L10" s="112" t="inlineStr">
        <is>
          <t>Trip.com 30 Sep: MIAT 07:30–09:45 $151 pp (SlickTrip 30 Sep: $154)</t>
        </is>
      </c>
    </row>
    <row r="11" ht="30" customHeight="1" s="56">
      <c r="A11" s="81" t="n"/>
      <c r="B11" s="111" t="inlineStr">
        <is>
          <t>Air China Beijing (PEK) → Ulaanbaatar, nonstop 12:55–15:05</t>
        </is>
      </c>
      <c r="C11" s="83" t="inlineStr">
        <is>
          <t>16 Nov</t>
        </is>
      </c>
      <c r="D11" s="84" t="n">
        <v>0.09027777777777778</v>
      </c>
      <c r="E11" s="85" t="n">
        <v>171</v>
      </c>
      <c r="F11" s="86" t="inlineStr">
        <is>
          <t>USD</t>
        </is>
      </c>
      <c r="G11" s="87">
        <f>Compare!$B$6</f>
        <v/>
      </c>
      <c r="H11" s="88">
        <f>E11*G11*IF(F11="USD",Compare!$B$8,IF(F11="CNY",Compare!$B$9,IF(F11="HKD",Compare!$B$10,1)))</f>
        <v/>
      </c>
      <c r="I11" s="89">
        <f>E11</f>
        <v/>
      </c>
      <c r="J11" s="87">
        <f>Compare!$B$7</f>
        <v/>
      </c>
      <c r="K11" s="88">
        <f>I11*J11*IF(F11="USD",Compare!$B$8,IF(F11="CNY",Compare!$B$9,IF(F11="HKD",Compare!$B$10,1)))</f>
        <v/>
      </c>
      <c r="L11" s="112" t="inlineStr">
        <is>
          <t>Trip.com 30 Sep: Air China nonstop $171 pp (MIAT OM224 11:30 was $194 on Trip.com, $196.33 on SlickTrip)</t>
        </is>
      </c>
    </row>
    <row r="12" ht="15" customHeight="1" s="56">
      <c r="A12" s="79" t="inlineStr">
        <is>
          <t>Trains</t>
        </is>
      </c>
      <c r="B12" s="80" t="n"/>
      <c r="C12" s="80" t="n"/>
      <c r="D12" s="80" t="n"/>
      <c r="E12" s="80" t="n"/>
      <c r="F12" s="80" t="n"/>
      <c r="G12" s="80" t="n"/>
      <c r="H12" s="80" t="n"/>
      <c r="I12" s="80" t="n"/>
      <c r="J12" s="80" t="n"/>
      <c r="K12" s="80" t="n"/>
      <c r="L12" s="80" t="n"/>
    </row>
    <row r="13" ht="75" customHeight="1" s="56">
      <c r="A13" s="81" t="n"/>
      <c r="B13" s="111" t="inlineStr">
        <is>
          <t>High-speed rail Beijing Chaoyang 12:19 → Shenyang North 14:48 (G149), 2nd class</t>
        </is>
      </c>
      <c r="C13" s="83" t="inlineStr">
        <is>
          <t>12 Nov (midday)</t>
        </is>
      </c>
      <c r="D13" s="84" t="n">
        <v>0.1034722222222222</v>
      </c>
      <c r="E13" s="85" t="n">
        <v>369</v>
      </c>
      <c r="F13" s="86" t="inlineStr">
        <is>
          <t>CNY</t>
        </is>
      </c>
      <c r="G13" s="87">
        <f>Compare!$B$6</f>
        <v/>
      </c>
      <c r="H13" s="88">
        <f>E13*G13*IF(F13="USD",Compare!$B$8,IF(F13="CNY",Compare!$B$9,IF(F13="HKD",Compare!$B$10,1)))</f>
        <v/>
      </c>
      <c r="I13" s="89">
        <f>E13</f>
        <v/>
      </c>
      <c r="J13" s="87">
        <f>Compare!$B$7</f>
        <v/>
      </c>
      <c r="K13" s="88">
        <f>I13*J13*IF(F13="USD",Compare!$B$8,IF(F13="CNY",Compare!$B$9,IF(F13="HKD",Compare!$B$10,1)))</f>
        <v/>
      </c>
      <c r="L13" s="112" t="inlineStr">
        <is>
          <t>12306 (queried 10 Oct for 20 Oct; fares fixed): G149 ¥369; G3539 11:43 → 15:34 ¥355; slower 3 h 15–3 h 35 trains ¥296–317. MIAT lands 09:45, so a ~12:00 train is realistic (the old ¥339 in Shenyang – Comfort is not on the 12306 list)</t>
        </is>
      </c>
    </row>
    <row r="14" ht="60" customHeight="1" s="56">
      <c r="A14" s="81" t="n"/>
      <c r="B14" s="111" t="inlineStr">
        <is>
          <t>High-speed rail Shenyang North 19:51 → Beijing Chaoyang 22:30 (G142), 2nd class</t>
        </is>
      </c>
      <c r="C14" s="83" t="inlineStr">
        <is>
          <t>15 Nov (evening)</t>
        </is>
      </c>
      <c r="D14" s="84" t="n">
        <v>0.1104166666666667</v>
      </c>
      <c r="E14" s="85" t="n">
        <v>268</v>
      </c>
      <c r="F14" s="86" t="inlineStr">
        <is>
          <t>CNY</t>
        </is>
      </c>
      <c r="G14" s="87">
        <f>Compare!$B$6</f>
        <v/>
      </c>
      <c r="H14" s="88">
        <f>E14*G14*IF(F14="USD",Compare!$B$8,IF(F14="CNY",Compare!$B$9,IF(F14="HKD",Compare!$B$10,1)))</f>
        <v/>
      </c>
      <c r="I14" s="89">
        <f>E14</f>
        <v/>
      </c>
      <c r="J14" s="87">
        <f>Compare!$B$7</f>
        <v/>
      </c>
      <c r="K14" s="88">
        <f>I14*J14*IF(F14="USD",Compare!$B$8,IF(F14="CNY",Compare!$B$9,IF(F14="HKD",Compare!$B$10,1)))</f>
        <v/>
      </c>
      <c r="L14" s="112" t="inlineStr">
        <is>
          <t>12306 (queried 10 Oct for 20 Oct; fares fixed): G142 / G156 (Shenyang stn 19:05) / G3522 19:21 → 22:36 ¥268; G122 / G126 ¥344. Awards end ~17:00, so 19:51 leaves a safe margin</t>
        </is>
      </c>
    </row>
    <row r="15" ht="15" customHeight="1" s="56">
      <c r="A15" s="79" t="inlineStr">
        <is>
          <t>Accommodation</t>
        </is>
      </c>
      <c r="B15" s="80" t="n"/>
      <c r="C15" s="80" t="n"/>
      <c r="D15" s="80" t="n"/>
      <c r="E15" s="80" t="n"/>
      <c r="F15" s="80" t="n"/>
      <c r="G15" s="80" t="n"/>
      <c r="H15" s="80" t="n"/>
      <c r="I15" s="80" t="n"/>
      <c r="J15" s="80" t="n"/>
      <c r="K15" s="80" t="n"/>
      <c r="L15" s="80" t="n"/>
    </row>
    <row r="16" ht="30" customHeight="1" s="56">
      <c r="A16" s="81" t="n"/>
      <c r="B16" s="111" t="inlineStr">
        <is>
          <t>Shenyang RiCH Hotel, Sanhao St (~1.3 km to NEU Nanhu; Family Room sleeps 4, so one room for 3 or 4)</t>
        </is>
      </c>
      <c r="C16" s="83" t="inlineStr">
        <is>
          <t>12–15 Nov (3 nights)</t>
        </is>
      </c>
      <c r="D16" s="81" t="n"/>
      <c r="E16" s="85" t="n">
        <v>325.33</v>
      </c>
      <c r="F16" s="86" t="inlineStr">
        <is>
          <t>CNY</t>
        </is>
      </c>
      <c r="G16" s="91" t="n">
        <v>3</v>
      </c>
      <c r="H16" s="88">
        <f>E16*G16*IF(F16="USD",Compare!$B$8,IF(F16="CNY",Compare!$B$9,IF(F16="HKD",Compare!$B$10,1)))</f>
        <v/>
      </c>
      <c r="I16" s="85" t="n">
        <v>325.33</v>
      </c>
      <c r="J16" s="91" t="n">
        <v>3</v>
      </c>
      <c r="K16" s="88">
        <f>I16*J16*IF(F16="USD",Compare!$B$8,IF(F16="CNY",Compare!$B$9,IF(F16="HKD",Compare!$B$10,1)))</f>
        <v/>
      </c>
      <c r="L16" s="112" t="inlineStr">
        <is>
          <t>Trip.com 1 Oct: Family Room ¥976 for 3 nights, same price for 3 or 4 adults; rated 9.6 (1,802 reviews)</t>
        </is>
      </c>
    </row>
    <row r="17" ht="45" customHeight="1" s="56">
      <c r="A17" s="81" t="n"/>
      <c r="B17" s="111" t="inlineStr">
        <is>
          <t>Dequan Railway Station Hotel, Beijing (~1 km from Beijing Chaoyang station; 3 ppl 1 room; 4 ppl 2 rooms)</t>
        </is>
      </c>
      <c r="C17" s="83" t="inlineStr">
        <is>
          <t>15 Nov (1 night)</t>
        </is>
      </c>
      <c r="D17" s="81" t="n"/>
      <c r="E17" s="85" t="n">
        <v>304</v>
      </c>
      <c r="F17" s="86" t="inlineStr">
        <is>
          <t>CNY</t>
        </is>
      </c>
      <c r="G17" s="91" t="n">
        <v>1</v>
      </c>
      <c r="H17" s="88">
        <f>E17*G17*IF(F17="USD",Compare!$B$8,IF(F17="CNY",Compare!$B$9,IF(F17="HKD",Compare!$B$10,1)))</f>
        <v/>
      </c>
      <c r="I17" s="113" t="n">
        <v>608</v>
      </c>
      <c r="J17" s="91" t="n">
        <v>1</v>
      </c>
      <c r="K17" s="88">
        <f>I17*J17*IF(F17="USD",Compare!$B$8,IF(F17="CNY",Compare!$B$9,IF(F17="HKD",Compare!$B$10,1)))</f>
        <v/>
      </c>
      <c r="L17" s="112" t="inlineStr">
        <is>
          <t>Booking.com 9 Oct: ¥304 for 3 adults, 1 room per night; rated 8.7 (65 reviews). 4 ppl: ASSUMPTION 2 × ¥304 (rooms not searched)</t>
        </is>
      </c>
    </row>
    <row r="18" ht="15" customHeight="1" s="56">
      <c r="A18" s="79" t="inlineStr">
        <is>
          <t>Meals &amp; local transport</t>
        </is>
      </c>
      <c r="B18" s="80" t="n"/>
      <c r="C18" s="80" t="n"/>
      <c r="D18" s="80" t="n"/>
      <c r="E18" s="80" t="n"/>
      <c r="F18" s="80" t="n"/>
      <c r="G18" s="80" t="n"/>
      <c r="H18" s="80" t="n"/>
      <c r="I18" s="80" t="n"/>
      <c r="J18" s="80" t="n"/>
      <c r="K18" s="80" t="n"/>
      <c r="L18" s="80" t="n"/>
    </row>
    <row r="19" ht="30" customHeight="1" s="56">
      <c r="A19" s="81" t="n"/>
      <c r="B19" s="111" t="inlineStr">
        <is>
          <t>Meals</t>
        </is>
      </c>
      <c r="C19" s="83" t="inlineStr">
        <is>
          <t>in destination</t>
        </is>
      </c>
      <c r="D19" s="81" t="n"/>
      <c r="E19" s="113" t="n">
        <v>80</v>
      </c>
      <c r="F19" s="86" t="inlineStr">
        <is>
          <t>CNY</t>
        </is>
      </c>
      <c r="G19" s="87">
        <f>Compare!$B$6*$B$4</f>
        <v/>
      </c>
      <c r="H19" s="88">
        <f>E19*G19*IF(F19="USD",Compare!$B$8,IF(F19="CNY",Compare!$B$9,IF(F19="HKD",Compare!$B$10,1)))</f>
        <v/>
      </c>
      <c r="I19" s="114">
        <f>E19</f>
        <v/>
      </c>
      <c r="J19" s="87">
        <f>Compare!$B$7*$B$4</f>
        <v/>
      </c>
      <c r="K19" s="88">
        <f>I19*J19*IF(F19="USD",Compare!$B$8,IF(F19="CNY",Compare!$B$9,IF(F19="HKD",Compare!$B$10,1)))</f>
        <v/>
      </c>
      <c r="L19" s="112" t="inlineStr">
        <is>
          <t>ASSUMPTION 80 CNY/person/day; hosts usually provide some meals on contest days</t>
        </is>
      </c>
    </row>
    <row r="20" ht="15" customHeight="1" s="56">
      <c r="A20" s="81" t="n"/>
      <c r="B20" s="111" t="inlineStr">
        <is>
          <t>Local transport (metro, taxis)</t>
        </is>
      </c>
      <c r="C20" s="83" t="inlineStr">
        <is>
          <t>in destination</t>
        </is>
      </c>
      <c r="D20" s="81" t="n"/>
      <c r="E20" s="113" t="n">
        <v>30</v>
      </c>
      <c r="F20" s="86" t="inlineStr">
        <is>
          <t>CNY</t>
        </is>
      </c>
      <c r="G20" s="87">
        <f>Compare!$B$6*$B$4</f>
        <v/>
      </c>
      <c r="H20" s="88">
        <f>E20*G20*IF(F20="USD",Compare!$B$8,IF(F20="CNY",Compare!$B$9,IF(F20="HKD",Compare!$B$10,1)))</f>
        <v/>
      </c>
      <c r="I20" s="114">
        <f>E20</f>
        <v/>
      </c>
      <c r="J20" s="87">
        <f>Compare!$B$7*$B$4</f>
        <v/>
      </c>
      <c r="K20" s="88">
        <f>I20*J20*IF(F20="USD",Compare!$B$8,IF(F20="CNY",Compare!$B$9,IF(F20="HKD",Compare!$B$10,1)))</f>
        <v/>
      </c>
      <c r="L20" s="112" t="inlineStr">
        <is>
          <t>ASSUMPTION 30 CNY/person/day</t>
        </is>
      </c>
    </row>
    <row r="21" ht="30" customHeight="1" s="56">
      <c r="A21" s="81" t="n"/>
      <c r="B21" s="111" t="inlineStr">
        <is>
          <t>Taxi PEK → Beijing Chaoyang station</t>
        </is>
      </c>
      <c r="C21" s="83" t="inlineStr">
        <is>
          <t>12 Nov</t>
        </is>
      </c>
      <c r="D21" s="84" t="n"/>
      <c r="E21" s="113" t="n">
        <v>120</v>
      </c>
      <c r="F21" s="86" t="inlineStr">
        <is>
          <t>CNY</t>
        </is>
      </c>
      <c r="G21" s="91" t="n">
        <v>1</v>
      </c>
      <c r="H21" s="88">
        <f>E21*G21*IF(F21="USD",Compare!$B$8,IF(F21="CNY",Compare!$B$9,IF(F21="HKD",Compare!$B$10,1)))</f>
        <v/>
      </c>
      <c r="I21" s="114">
        <f>E21</f>
        <v/>
      </c>
      <c r="J21" s="91" t="n">
        <v>1</v>
      </c>
      <c r="K21" s="88">
        <f>I21*J21*IF(F21="USD",Compare!$B$8,IF(F21="CNY",Compare!$B$9,IF(F21="HKD",Compare!$B$10,1)))</f>
        <v/>
      </c>
      <c r="L21" s="112" t="inlineStr">
        <is>
          <t>ASSUMPTION ~120 CNY per car, ~40 km (4 ppl may need an XL car)</t>
        </is>
      </c>
    </row>
    <row r="22" ht="15" customHeight="1" s="56">
      <c r="A22" s="81" t="n"/>
      <c r="B22" s="111" t="inlineStr">
        <is>
          <t>Taxi Dequan hotel → PEK</t>
        </is>
      </c>
      <c r="C22" s="83" t="inlineStr">
        <is>
          <t>16 Nov</t>
        </is>
      </c>
      <c r="D22" s="84" t="n"/>
      <c r="E22" s="113" t="n">
        <v>120</v>
      </c>
      <c r="F22" s="86" t="inlineStr">
        <is>
          <t>CNY</t>
        </is>
      </c>
      <c r="G22" s="91" t="n">
        <v>1</v>
      </c>
      <c r="H22" s="88">
        <f>E22*G22*IF(F22="USD",Compare!$B$8,IF(F22="CNY",Compare!$B$9,IF(F22="HKD",Compare!$B$10,1)))</f>
        <v/>
      </c>
      <c r="I22" s="114">
        <f>E22</f>
        <v/>
      </c>
      <c r="J22" s="91" t="n">
        <v>1</v>
      </c>
      <c r="K22" s="88">
        <f>I22*J22*IF(F22="USD",Compare!$B$8,IF(F22="CNY",Compare!$B$9,IF(F22="HKD",Compare!$B$10,1)))</f>
        <v/>
      </c>
      <c r="L22" s="112" t="inlineStr">
        <is>
          <t>ASSUMPTION ~120 CNY per car, ~35 km, leave ~09:00</t>
        </is>
      </c>
    </row>
    <row r="23" ht="15" customHeight="1" s="56">
      <c r="A23" s="94" t="inlineStr">
        <is>
          <t>PAID PERSONALLY (university won't cover)</t>
        </is>
      </c>
      <c r="B23" s="95" t="n"/>
      <c r="C23" s="95" t="n"/>
      <c r="D23" s="95" t="n"/>
      <c r="E23" s="95" t="n"/>
      <c r="F23" s="95" t="n"/>
      <c r="G23" s="95" t="n"/>
      <c r="H23" s="95" t="n"/>
      <c r="I23" s="95" t="n"/>
      <c r="J23" s="95" t="n"/>
      <c r="K23" s="95" t="n"/>
      <c r="L23" s="95" t="n"/>
    </row>
    <row r="24" ht="15" customHeight="1" s="56">
      <c r="A24" s="79" t="inlineStr">
        <is>
          <t>Contest fee</t>
        </is>
      </c>
      <c r="B24" s="80" t="n"/>
      <c r="C24" s="80" t="n"/>
      <c r="D24" s="80" t="n"/>
      <c r="E24" s="80" t="n"/>
      <c r="F24" s="80" t="n"/>
      <c r="G24" s="80" t="n"/>
      <c r="H24" s="80" t="n"/>
      <c r="I24" s="80" t="n"/>
      <c r="J24" s="80" t="n"/>
      <c r="K24" s="80" t="n"/>
      <c r="L24" s="80" t="n"/>
    </row>
    <row r="25" ht="22.35" customHeight="1" s="56">
      <c r="A25" s="81" t="n"/>
      <c r="B25" s="82" t="inlineStr">
        <is>
          <t>Shenyang regional registration fee (per team)</t>
        </is>
      </c>
      <c r="C25" s="83" t="inlineStr">
        <is>
          <t>pay by mid-Oct</t>
        </is>
      </c>
      <c r="D25" s="81" t="n"/>
      <c r="E25" s="113" t="n">
        <v>1500</v>
      </c>
      <c r="F25" s="86" t="inlineStr">
        <is>
          <t>CNY</t>
        </is>
      </c>
      <c r="G25" s="91" t="n">
        <v>1</v>
      </c>
      <c r="H25" s="88">
        <f>E25*G25*IF(F25="USD",Compare!$B$8,IF(F25="CNY",Compare!$B$9,IF(F25="HKD",Compare!$B$10,1)))</f>
        <v/>
      </c>
      <c r="I25" s="114">
        <f>E25</f>
        <v/>
      </c>
      <c r="J25" s="91" t="n">
        <v>1</v>
      </c>
      <c r="K25" s="88">
        <f>I25*J25*IF(F25="USD",Compare!$B$8,IF(F25="CNY",Compare!$B$9,IF(F25="HKD",Compare!$B$10,1)))</f>
        <v/>
      </c>
      <c r="L25" s="90" t="inlineStr">
        <is>
          <t>ASSUMPTION: 1,500 CNY/team like recent EC regionals; 2026 Shenyang invitation not seen</t>
        </is>
      </c>
    </row>
    <row r="26" ht="15" customHeight="1" s="56">
      <c r="A26" s="79" t="inlineStr">
        <is>
          <t>Other</t>
        </is>
      </c>
      <c r="B26" s="80" t="n"/>
      <c r="C26" s="80" t="n"/>
      <c r="D26" s="80" t="n"/>
      <c r="E26" s="80" t="n"/>
      <c r="F26" s="80" t="n"/>
      <c r="G26" s="80" t="n"/>
      <c r="H26" s="80" t="n"/>
      <c r="I26" s="80" t="n"/>
      <c r="J26" s="80" t="n"/>
      <c r="K26" s="80" t="n"/>
      <c r="L26" s="80" t="n"/>
    </row>
    <row r="27" ht="15" customHeight="1" s="56">
      <c r="A27" s="81" t="n"/>
      <c r="B27" s="82" t="inlineStr">
        <is>
          <t>Taxi to/from Chinggis Khaan airport (UB), per trip</t>
        </is>
      </c>
      <c r="C27" s="83" t="inlineStr">
        <is>
          <t>out &amp; back</t>
        </is>
      </c>
      <c r="D27" s="84" t="n">
        <v>0.04166666666666666</v>
      </c>
      <c r="E27" s="92" t="n">
        <v>100000</v>
      </c>
      <c r="F27" s="86" t="inlineStr">
        <is>
          <t>MNT</t>
        </is>
      </c>
      <c r="G27" s="91" t="n">
        <v>2</v>
      </c>
      <c r="H27" s="88">
        <f>E27*G27*IF(F27="USD",Compare!$B$8,IF(F27="CNY",Compare!$B$9,IF(F27="HKD",Compare!$B$10,1)))</f>
        <v/>
      </c>
      <c r="I27" s="93">
        <f>E27</f>
        <v/>
      </c>
      <c r="J27" s="91" t="n">
        <v>2</v>
      </c>
      <c r="K27" s="88">
        <f>I27*J27*IF(F27="USD",Compare!$B$8,IF(F27="CNY",Compare!$B$9,IF(F27="HKD",Compare!$B$10,1)))</f>
        <v/>
      </c>
      <c r="L27" s="90" t="inlineStr">
        <is>
          <t>ASSUMPTION 100k MNT per trip for the group</t>
        </is>
      </c>
    </row>
    <row r="28" ht="15" customHeight="1" s="56">
      <c r="A28" s="81" t="n"/>
      <c r="B28" s="82" t="inlineStr">
        <is>
          <t>Travel medical insurance</t>
        </is>
      </c>
      <c r="C28" s="83" t="n"/>
      <c r="D28" s="81" t="n"/>
      <c r="E28" s="92" t="n">
        <v>30000</v>
      </c>
      <c r="F28" s="86" t="inlineStr">
        <is>
          <t>MNT</t>
        </is>
      </c>
      <c r="G28" s="87">
        <f>Compare!$B$6</f>
        <v/>
      </c>
      <c r="H28" s="88">
        <f>E28*G28*IF(F28="USD",Compare!$B$8,IF(F28="CNY",Compare!$B$9,IF(F28="HKD",Compare!$B$10,1)))</f>
        <v/>
      </c>
      <c r="I28" s="93">
        <f>E28</f>
        <v/>
      </c>
      <c r="J28" s="87">
        <f>Compare!$B$7</f>
        <v/>
      </c>
      <c r="K28" s="88">
        <f>I28*J28*IF(F28="USD",Compare!$B$8,IF(F28="CNY",Compare!$B$9,IF(F28="HKD",Compare!$B$10,1)))</f>
        <v/>
      </c>
      <c r="L28" s="90" t="inlineStr">
        <is>
          <t>ASSUMPTION ~30k MNT per person, Mongolian insurer</t>
        </is>
      </c>
    </row>
    <row r="29" ht="15" customHeight="1" s="56">
      <c r="A29" s="81" t="n"/>
      <c r="B29" s="82" t="inlineStr">
        <is>
          <t>Mobile data eSIM</t>
        </is>
      </c>
      <c r="C29" s="83" t="n"/>
      <c r="D29" s="81" t="n"/>
      <c r="E29" s="92" t="n">
        <v>10</v>
      </c>
      <c r="F29" s="86" t="inlineStr">
        <is>
          <t>USD</t>
        </is>
      </c>
      <c r="G29" s="87">
        <f>Compare!$B$6</f>
        <v/>
      </c>
      <c r="H29" s="88">
        <f>E29*G29*IF(F29="USD",Compare!$B$8,IF(F29="CNY",Compare!$B$9,IF(F29="HKD",Compare!$B$10,1)))</f>
        <v/>
      </c>
      <c r="I29" s="93">
        <f>E29</f>
        <v/>
      </c>
      <c r="J29" s="87">
        <f>Compare!$B$7</f>
        <v/>
      </c>
      <c r="K29" s="88">
        <f>I29*J29*IF(F29="USD",Compare!$B$8,IF(F29="CNY",Compare!$B$9,IF(F29="HKD",Compare!$B$10,1)))</f>
        <v/>
      </c>
      <c r="L29" s="90" t="inlineStr">
        <is>
          <t>ASSUMPTION ~$10 pp</t>
        </is>
      </c>
    </row>
    <row r="30" ht="22.35" customHeight="1" s="56">
      <c r="A30" s="81" t="n"/>
      <c r="B30" s="82" t="inlineStr">
        <is>
          <t>Visa</t>
        </is>
      </c>
      <c r="C30" s="83" t="n"/>
      <c r="D30" s="81" t="n"/>
      <c r="E30" s="85" t="n">
        <v>0</v>
      </c>
      <c r="F30" s="86" t="inlineStr">
        <is>
          <t>MNT</t>
        </is>
      </c>
      <c r="G30" s="87">
        <f>Compare!$B$6</f>
        <v/>
      </c>
      <c r="H30" s="88">
        <f>E30*G30*IF(F30="USD",Compare!$B$8,IF(F30="CNY",Compare!$B$9,IF(F30="HKD",Compare!$B$10,1)))</f>
        <v/>
      </c>
      <c r="I30" s="89">
        <f>E30</f>
        <v/>
      </c>
      <c r="J30" s="87">
        <f>Compare!$B$7</f>
        <v/>
      </c>
      <c r="K30" s="88">
        <f>I30*J30*IF(F30="USD",Compare!$B$8,IF(F30="CNY",Compare!$B$9,IF(F30="HKD",Compare!$B$10,1)))</f>
        <v/>
      </c>
      <c r="L30" s="90" t="inlineStr">
        <is>
          <t>Mongolian passports: visa-free (mainland China up to 30 days; Hong Kong up to 14 days)</t>
        </is>
      </c>
    </row>
    <row r="32" ht="15" customHeight="1" s="56">
      <c r="G32" s="60" t="n"/>
      <c r="H32" s="96" t="inlineStr">
        <is>
          <t>3 people – UNFUNDED</t>
        </is>
      </c>
      <c r="K32" s="96" t="inlineStr">
        <is>
          <t>4 people – FUNDED ₮12M</t>
        </is>
      </c>
    </row>
    <row r="33" ht="15" customHeight="1" s="56">
      <c r="G33" s="97" t="inlineStr">
        <is>
          <t>University-paid subtotal</t>
        </is>
      </c>
      <c r="H33" s="98">
        <f>SUM(H9:H22)</f>
        <v/>
      </c>
      <c r="K33" s="98">
        <f>SUM(K9:K22)</f>
        <v/>
      </c>
    </row>
    <row r="34" ht="15" customHeight="1" s="56">
      <c r="G34" s="99" t="inlineStr">
        <is>
          <t>Contingency</t>
        </is>
      </c>
      <c r="H34" s="100">
        <f>H33*Compare!$B$11</f>
        <v/>
      </c>
      <c r="K34" s="100">
        <f>K33*Compare!$B$11</f>
        <v/>
      </c>
    </row>
    <row r="35" ht="15" customHeight="1" s="56">
      <c r="G35" s="97" t="inlineStr">
        <is>
          <t>University-paid total incl. contingency</t>
        </is>
      </c>
      <c r="H35" s="98">
        <f>H33+H34</f>
        <v/>
      </c>
      <c r="K35" s="98">
        <f>K33+K34</f>
        <v/>
      </c>
    </row>
    <row r="36" ht="15" customHeight="1" s="56">
      <c r="G36" s="97" t="inlineStr">
        <is>
          <t>Funding left (negative = over)</t>
        </is>
      </c>
      <c r="H36" s="101">
        <f>Compare!$B$12-H35</f>
        <v/>
      </c>
      <c r="K36" s="101">
        <f>Compare!$B$5-K35</f>
        <v/>
      </c>
    </row>
    <row r="37" ht="15" customHeight="1" s="56">
      <c r="G37" s="97" t="inlineStr">
        <is>
          <t>Personal costs – team</t>
        </is>
      </c>
      <c r="H37" s="102">
        <f>SUM(H24:H30)</f>
        <v/>
      </c>
      <c r="K37" s="102">
        <f>SUM(K24:K30)</f>
        <v/>
      </c>
    </row>
    <row r="38" ht="15" customHeight="1" s="56">
      <c r="G38" s="97" t="inlineStr">
        <is>
          <t>Out-of-pocket per person (personal + any overrun)</t>
        </is>
      </c>
      <c r="H38" s="102">
        <f>(H37+MAX(0,-H36))/Compare!$B$6</f>
        <v/>
      </c>
      <c r="K38" s="102">
        <f>(K37+MAX(0,-K36))/Compare!$B$7</f>
        <v/>
      </c>
    </row>
    <row r="39" ht="15" customHeight="1" s="56">
      <c r="G39" s="97" t="inlineStr">
        <is>
          <t>Whole trip cost (university + personal)</t>
        </is>
      </c>
      <c r="H39" s="103">
        <f>H35+H37</f>
        <v/>
      </c>
      <c r="K39" s="103">
        <f>K35+K37</f>
        <v/>
      </c>
    </row>
    <row r="40" ht="15" customHeight="1" s="56">
      <c r="G40" s="99" t="inlineStr">
        <is>
          <t>Time in planes &amp; trains</t>
        </is>
      </c>
      <c r="H40" s="104">
        <f>D10+D11+D13+D14</f>
        <v/>
      </c>
      <c r="K40" s="104">
        <f>D10+D11+D13+D14</f>
        <v/>
      </c>
    </row>
    <row r="42" ht="15" customHeight="1" s="56">
      <c r="A42" s="72" t="inlineStr">
        <is>
          <t>Key facts</t>
        </is>
      </c>
    </row>
    <row r="43" ht="15" customHeight="1" s="56">
      <c r="A43" s="75" t="inlineStr">
        <is>
          <t>Contest</t>
        </is>
      </c>
      <c r="B43" s="74" t="inlineStr">
        <is>
          <t>Asia Shenyang Regional, 14–15 Nov 2026 (provisional), Northeastern University Nanhu campus</t>
        </is>
      </c>
    </row>
    <row r="44" ht="30" customHeight="1" s="56">
      <c r="A44" s="75" t="inlineStr">
        <is>
          <t>Why this plan</t>
        </is>
      </c>
      <c r="B44" s="74" t="inlineStr">
        <is>
          <t>Same rest day and hotel as Shenyang – Comfort, but no overnight train: you sleep in a bed both nights and the evening G-train is cheap (¥268). Fits a late closing ceremony (train 19:51).</t>
        </is>
      </c>
    </row>
    <row r="45" ht="15" customHeight="1" s="56">
      <c r="A45" s="75" t="inlineStr">
        <is>
          <t>Trade-off</t>
        </is>
      </c>
      <c r="B45" s="74" t="inlineStr">
        <is>
          <t>Costs a Beijing hotel night and about ₮0.54M more than the hard-sleeper plan (3 ppl); ~9 h 30 min in planes and trains (sleeper plan: 16 h).</t>
        </is>
      </c>
    </row>
    <row r="47" ht="15" customHeight="1" s="56">
      <c r="A47" s="72" t="inlineStr">
        <is>
          <t>Day-by-day plan</t>
        </is>
      </c>
    </row>
    <row r="48" ht="15" customHeight="1" s="56">
      <c r="A48" s="96" t="inlineStr">
        <is>
          <t>Date</t>
        </is>
      </c>
      <c r="B48" s="96" t="inlineStr">
        <is>
          <t>Sleep in</t>
        </is>
      </c>
      <c r="C48" s="96" t="inlineStr">
        <is>
          <t>What happens</t>
        </is>
      </c>
    </row>
    <row r="49" ht="15" customHeight="1" s="56">
      <c r="A49" s="74" t="inlineStr">
        <is>
          <t>Thu 12 Nov</t>
        </is>
      </c>
      <c r="B49" s="74" t="inlineStr">
        <is>
          <t>Shenyang</t>
        </is>
      </c>
      <c r="C49" s="74" t="inlineStr">
        <is>
          <t>MIAT OM223 UB 07:30 → Beijing 09:45; taxi PEK → Beijing Chaoyang; G149 12:19 → Shenyang North 14:48; taxi to RiCH Hotel.</t>
        </is>
      </c>
    </row>
    <row r="50" ht="15" customHeight="1" s="56">
      <c r="A50" s="74" t="inlineStr">
        <is>
          <t>Fri 13 Nov</t>
        </is>
      </c>
      <c r="B50" s="74" t="inlineStr">
        <is>
          <t>Shenyang</t>
        </is>
      </c>
      <c r="C50" s="74" t="inlineStr">
        <is>
          <t>Rest / practice day in Shenyang.</t>
        </is>
      </c>
    </row>
    <row r="51" ht="15" customHeight="1" s="56">
      <c r="A51" s="74" t="inlineStr">
        <is>
          <t>Sat 14 Nov</t>
        </is>
      </c>
      <c r="B51" s="74" t="inlineStr">
        <is>
          <t>Shenyang</t>
        </is>
      </c>
      <c r="C51" s="74" t="inlineStr">
        <is>
          <t>Registration &amp; practice at NEU Nanhu (walkable from hotel).</t>
        </is>
      </c>
    </row>
    <row r="52" ht="15" customHeight="1" s="56">
      <c r="A52" s="74" t="inlineStr">
        <is>
          <t>Sun 15 Nov</t>
        </is>
      </c>
      <c r="B52" s="74" t="inlineStr">
        <is>
          <t>Beijing</t>
        </is>
      </c>
      <c r="C52" s="74" t="inlineStr">
        <is>
          <t>SHENYANG REGIONAL contest day. Taxi to Shenyang North; G142 19:51 → Beijing Chaoyang 22:30; walk/taxi to Dequan hotel.</t>
        </is>
      </c>
    </row>
    <row r="53" ht="15" customHeight="1" s="56">
      <c r="A53" s="74" t="inlineStr">
        <is>
          <t>Mon 16 Nov</t>
        </is>
      </c>
      <c r="B53" s="74" t="inlineStr">
        <is>
          <t>Home</t>
        </is>
      </c>
      <c r="C53" s="74" t="inlineStr">
        <is>
          <t>Taxi Chaoyang → PEK. Air China Beijing Capital 12:55 → UB 15:05 (nonstop).</t>
        </is>
      </c>
    </row>
    <row r="55" ht="15" customHeight="1" s="56">
      <c r="A55" s="72" t="inlineStr">
        <is>
          <t>Door-to-door travel times</t>
        </is>
      </c>
    </row>
    <row r="56" ht="15" customHeight="1" s="56">
      <c r="A56" s="96" t="inlineStr">
        <is>
          <t>Date</t>
        </is>
      </c>
      <c r="B56" s="96" t="inlineStr">
        <is>
          <t>Leg</t>
        </is>
      </c>
      <c r="C56" s="96" t="inlineStr">
        <is>
          <t>Mode</t>
        </is>
      </c>
      <c r="D56" s="96" t="inlineStr">
        <is>
          <t>Expected time</t>
        </is>
      </c>
      <c r="E56" s="96" t="inlineStr">
        <is>
          <t>Notes</t>
        </is>
      </c>
    </row>
    <row r="57" ht="15" customHeight="1" s="56">
      <c r="A57" s="105" t="inlineStr">
        <is>
          <t>12 Nov</t>
        </is>
      </c>
      <c r="B57" s="105" t="inlineStr">
        <is>
          <t>Home → Chinggis Khaan airport</t>
        </is>
      </c>
      <c r="C57" s="82" t="inlineStr">
        <is>
          <t>Taxi (~50 km)</t>
        </is>
      </c>
      <c r="D57" s="104" t="n">
        <v>0.04166666666666666</v>
      </c>
      <c r="E57" s="106" t="inlineStr">
        <is>
          <t>Leave ~04:30 for 07:30 flight</t>
        </is>
      </c>
      <c r="F57" s="107" t="n"/>
      <c r="G57" s="107" t="n"/>
      <c r="H57" s="107" t="n"/>
      <c r="I57" s="107" t="n"/>
      <c r="J57" s="107" t="n"/>
      <c r="K57" s="107" t="n"/>
      <c r="L57" s="107" t="n"/>
    </row>
    <row r="58" ht="15" customHeight="1" s="56">
      <c r="A58" s="105" t="inlineStr">
        <is>
          <t>12 Nov</t>
        </is>
      </c>
      <c r="B58" s="105" t="inlineStr">
        <is>
          <t>Ulaanbaatar → Beijing (PEK)</t>
        </is>
      </c>
      <c r="C58" s="82" t="inlineStr">
        <is>
          <t>MIAT OM223 07:30–09:45</t>
        </is>
      </c>
      <c r="D58" s="104" t="n">
        <v>0.09375</v>
      </c>
      <c r="E58" s="106" t="inlineStr"/>
      <c r="F58" s="107" t="n"/>
      <c r="G58" s="107" t="n"/>
      <c r="H58" s="107" t="n"/>
      <c r="I58" s="107" t="n"/>
      <c r="J58" s="107" t="n"/>
      <c r="K58" s="107" t="n"/>
      <c r="L58" s="107" t="n"/>
    </row>
    <row r="59" ht="15" customHeight="1" s="56">
      <c r="A59" s="105" t="inlineStr">
        <is>
          <t>12 Nov</t>
        </is>
      </c>
      <c r="B59" s="105" t="inlineStr">
        <is>
          <t>PEK arrival: immigration, bags</t>
        </is>
      </c>
      <c r="C59" s="82" t="inlineStr">
        <is>
          <t>—</t>
        </is>
      </c>
      <c r="D59" s="104" t="n">
        <v>0.03125</v>
      </c>
      <c r="E59" s="106" t="inlineStr">
        <is>
          <t>Estimate</t>
        </is>
      </c>
      <c r="F59" s="107" t="n"/>
      <c r="G59" s="107" t="n"/>
      <c r="H59" s="107" t="n"/>
      <c r="I59" s="107" t="n"/>
      <c r="J59" s="107" t="n"/>
      <c r="K59" s="107" t="n"/>
      <c r="L59" s="107" t="n"/>
    </row>
    <row r="60" ht="15" customHeight="1" s="56">
      <c r="A60" s="105" t="inlineStr">
        <is>
          <t>12 Nov</t>
        </is>
      </c>
      <c r="B60" s="105" t="inlineStr">
        <is>
          <t>PEK → Beijing Chaoyang station</t>
        </is>
      </c>
      <c r="C60" s="82" t="inlineStr">
        <is>
          <t>Taxi (~40 km)</t>
        </is>
      </c>
      <c r="D60" s="104" t="n">
        <v>0.03472222222222222</v>
      </c>
      <c r="E60" s="106" t="inlineStr">
        <is>
          <t>Estimate; arrive ~11:15 for the 12:19 train</t>
        </is>
      </c>
      <c r="F60" s="107" t="n"/>
      <c r="G60" s="107" t="n"/>
      <c r="H60" s="107" t="n"/>
      <c r="I60" s="107" t="n"/>
      <c r="J60" s="107" t="n"/>
      <c r="K60" s="107" t="n"/>
      <c r="L60" s="107" t="n"/>
    </row>
    <row r="61" ht="15" customHeight="1" s="56">
      <c r="A61" s="105" t="inlineStr">
        <is>
          <t>12 Nov</t>
        </is>
      </c>
      <c r="B61" s="105" t="inlineStr">
        <is>
          <t>Beijing Chaoyang → Shenyang North</t>
        </is>
      </c>
      <c r="C61" s="82" t="inlineStr">
        <is>
          <t>G149 2nd class</t>
        </is>
      </c>
      <c r="D61" s="104" t="n">
        <v>0.1034722222222222</v>
      </c>
      <c r="E61" s="106" t="inlineStr"/>
      <c r="F61" s="107" t="n"/>
      <c r="G61" s="107" t="n"/>
      <c r="H61" s="107" t="n"/>
      <c r="I61" s="107" t="n"/>
      <c r="J61" s="107" t="n"/>
      <c r="K61" s="107" t="n"/>
      <c r="L61" s="107" t="n"/>
    </row>
    <row r="62" ht="15" customHeight="1" s="56">
      <c r="A62" s="105" t="inlineStr">
        <is>
          <t>12 Nov</t>
        </is>
      </c>
      <c r="B62" s="105" t="inlineStr">
        <is>
          <t>Shenyang North → hotel near NEU</t>
        </is>
      </c>
      <c r="C62" s="82" t="inlineStr">
        <is>
          <t>Taxi</t>
        </is>
      </c>
      <c r="D62" s="104" t="n">
        <v>0.01736111111111111</v>
      </c>
      <c r="E62" s="106" t="inlineStr">
        <is>
          <t>Estimate</t>
        </is>
      </c>
      <c r="F62" s="107" t="n"/>
      <c r="G62" s="107" t="n"/>
      <c r="H62" s="107" t="n"/>
      <c r="I62" s="107" t="n"/>
      <c r="J62" s="107" t="n"/>
      <c r="K62" s="107" t="n"/>
      <c r="L62" s="107" t="n"/>
    </row>
    <row r="63" ht="15" customHeight="1" s="56">
      <c r="A63" s="105" t="inlineStr">
        <is>
          <t>13–15 Nov</t>
        </is>
      </c>
      <c r="B63" s="105" t="inlineStr">
        <is>
          <t>Hotel ↔ NEU Nanhu (each way)</t>
        </is>
      </c>
      <c r="C63" s="82" t="inlineStr">
        <is>
          <t>Walk</t>
        </is>
      </c>
      <c r="D63" s="104" t="inlineStr">
        <is>
          <t>daily</t>
        </is>
      </c>
      <c r="E63" s="106" t="inlineStr">
        <is>
          <t>~18 min walk (RiCH Hotel, 1.3 km)</t>
        </is>
      </c>
      <c r="F63" s="107" t="n"/>
      <c r="G63" s="107" t="n"/>
      <c r="H63" s="107" t="n"/>
      <c r="I63" s="107" t="n"/>
      <c r="J63" s="107" t="n"/>
      <c r="K63" s="107" t="n"/>
      <c r="L63" s="107" t="n"/>
    </row>
    <row r="64" ht="15" customHeight="1" s="56">
      <c r="A64" s="105" t="inlineStr">
        <is>
          <t>15 Nov</t>
        </is>
      </c>
      <c r="B64" s="105" t="inlineStr">
        <is>
          <t>NEU Nanhu → Shenyang North</t>
        </is>
      </c>
      <c r="C64" s="82" t="inlineStr">
        <is>
          <t>Taxi</t>
        </is>
      </c>
      <c r="D64" s="104" t="n">
        <v>0.01736111111111111</v>
      </c>
      <c r="E64" s="106" t="inlineStr"/>
      <c r="F64" s="107" t="n"/>
      <c r="G64" s="107" t="n"/>
      <c r="H64" s="107" t="n"/>
      <c r="I64" s="107" t="n"/>
      <c r="J64" s="107" t="n"/>
      <c r="K64" s="107" t="n"/>
      <c r="L64" s="107" t="n"/>
    </row>
    <row r="65" ht="15" customHeight="1" s="56">
      <c r="A65" s="105" t="inlineStr">
        <is>
          <t>15 Nov</t>
        </is>
      </c>
      <c r="B65" s="105" t="inlineStr">
        <is>
          <t>Shenyang North → Beijing Chaoyang</t>
        </is>
      </c>
      <c r="C65" s="82" t="inlineStr">
        <is>
          <t>G142 19:51–22:30</t>
        </is>
      </c>
      <c r="D65" s="104" t="n">
        <v>0.1104166666666667</v>
      </c>
      <c r="E65" s="106" t="inlineStr"/>
      <c r="F65" s="107" t="n"/>
      <c r="G65" s="107" t="n"/>
      <c r="H65" s="107" t="n"/>
      <c r="I65" s="107" t="n"/>
      <c r="J65" s="107" t="n"/>
      <c r="K65" s="107" t="n"/>
      <c r="L65" s="107" t="n"/>
    </row>
    <row r="66" ht="15" customHeight="1" s="56">
      <c r="A66" s="105" t="inlineStr">
        <is>
          <t>15 Nov</t>
        </is>
      </c>
      <c r="B66" s="105" t="inlineStr">
        <is>
          <t>Beijing Chaoyang station → Dequan hotel</t>
        </is>
      </c>
      <c r="C66" s="82" t="inlineStr">
        <is>
          <t>Walk / taxi (~1 km)</t>
        </is>
      </c>
      <c r="D66" s="104" t="n">
        <v>0.01041666666666667</v>
      </c>
      <c r="E66" s="106" t="inlineStr">
        <is>
          <t>Estimate</t>
        </is>
      </c>
      <c r="F66" s="107" t="n"/>
      <c r="G66" s="107" t="n"/>
      <c r="H66" s="107" t="n"/>
      <c r="I66" s="107" t="n"/>
      <c r="J66" s="107" t="n"/>
      <c r="K66" s="107" t="n"/>
      <c r="L66" s="107" t="n"/>
    </row>
    <row r="67" ht="15" customHeight="1" s="56">
      <c r="A67" s="105" t="inlineStr">
        <is>
          <t>16 Nov</t>
        </is>
      </c>
      <c r="B67" s="105" t="inlineStr">
        <is>
          <t>Hotel → PEK</t>
        </is>
      </c>
      <c r="C67" s="82" t="inlineStr">
        <is>
          <t>Taxi</t>
        </is>
      </c>
      <c r="D67" s="104" t="n">
        <v>0.03472222222222222</v>
      </c>
      <c r="E67" s="106" t="inlineStr">
        <is>
          <t>Be at PEK by ~10:55</t>
        </is>
      </c>
      <c r="F67" s="107" t="n"/>
      <c r="G67" s="107" t="n"/>
      <c r="H67" s="107" t="n"/>
      <c r="I67" s="107" t="n"/>
      <c r="J67" s="107" t="n"/>
      <c r="K67" s="107" t="n"/>
      <c r="L67" s="107" t="n"/>
    </row>
    <row r="68" ht="15" customHeight="1" s="56">
      <c r="A68" s="105" t="inlineStr">
        <is>
          <t>16 Nov</t>
        </is>
      </c>
      <c r="B68" s="105" t="inlineStr">
        <is>
          <t>Beijing (PEK) → Ulaanbaatar</t>
        </is>
      </c>
      <c r="C68" s="82" t="inlineStr">
        <is>
          <t>Air China 12:55–15:05</t>
        </is>
      </c>
      <c r="D68" s="104" t="n">
        <v>0.09027777777777778</v>
      </c>
      <c r="E68" s="106" t="inlineStr"/>
      <c r="F68" s="107" t="n"/>
      <c r="G68" s="107" t="n"/>
      <c r="H68" s="107" t="n"/>
      <c r="I68" s="107" t="n"/>
      <c r="J68" s="107" t="n"/>
      <c r="K68" s="107" t="n"/>
      <c r="L68" s="107" t="n"/>
    </row>
    <row r="69" ht="15" customHeight="1" s="56">
      <c r="A69" s="105" t="inlineStr">
        <is>
          <t>16 Nov</t>
        </is>
      </c>
      <c r="B69" s="105" t="inlineStr">
        <is>
          <t>Chinggis Khaan airport → home</t>
        </is>
      </c>
      <c r="C69" s="82" t="inlineStr">
        <is>
          <t>Taxi</t>
        </is>
      </c>
      <c r="D69" s="104" t="n">
        <v>0.04166666666666666</v>
      </c>
      <c r="E69" s="106" t="inlineStr"/>
      <c r="F69" s="107" t="n"/>
      <c r="G69" s="107" t="n"/>
      <c r="H69" s="107" t="n"/>
      <c r="I69" s="107" t="n"/>
      <c r="J69" s="107" t="n"/>
      <c r="K69" s="107" t="n"/>
      <c r="L69" s="107" t="n"/>
    </row>
    <row r="71" ht="15" customHeight="1" s="56">
      <c r="C71" s="59" t="inlineStr">
        <is>
          <t>Total door-to-door</t>
        </is>
      </c>
      <c r="D71" s="109">
        <f>SUM(D57:D69)</f>
        <v/>
      </c>
    </row>
  </sheetData>
  <mergeCells count="21">
    <mergeCell ref="E58:L58"/>
    <mergeCell ref="C52:L52"/>
    <mergeCell ref="E68:L68"/>
    <mergeCell ref="E62:L62"/>
    <mergeCell ref="E67:L67"/>
    <mergeCell ref="B43:L43"/>
    <mergeCell ref="C53:L53"/>
    <mergeCell ref="E64:L64"/>
    <mergeCell ref="C49:L49"/>
    <mergeCell ref="E63:L63"/>
    <mergeCell ref="E60:L60"/>
    <mergeCell ref="E69:L69"/>
    <mergeCell ref="E65:L65"/>
    <mergeCell ref="B44:L44"/>
    <mergeCell ref="E59:L59"/>
    <mergeCell ref="C50:L50"/>
    <mergeCell ref="E61:L61"/>
    <mergeCell ref="E57:L57"/>
    <mergeCell ref="E66:L66"/>
    <mergeCell ref="C51:L51"/>
    <mergeCell ref="B45:L4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70"/>
  <sheetViews>
    <sheetView workbookViewId="0">
      <selection activeCell="A1" sqref="A1"/>
    </sheetView>
  </sheetViews>
  <sheetFormatPr baseColWidth="8" defaultRowHeight="15"/>
  <cols>
    <col width="26" customWidth="1" style="56" min="1" max="1"/>
    <col width="52" customWidth="1" style="56" min="2" max="2"/>
    <col width="20" customWidth="1" style="56" min="3" max="3"/>
    <col width="15" customWidth="1" style="56" min="4" max="4"/>
    <col width="13" customWidth="1" style="56" min="5" max="5"/>
    <col width="9" customWidth="1" style="56" min="6" max="6"/>
    <col width="17" customWidth="1" style="56" min="8" max="8"/>
    <col width="13" customWidth="1" style="56" min="9" max="9"/>
    <col width="9" customWidth="1" style="56" min="10" max="10"/>
    <col width="17" customWidth="1" style="56" min="11" max="11"/>
    <col width="58" customWidth="1" style="56" min="12" max="12"/>
  </cols>
  <sheetData>
    <row r="1" ht="17.35" customHeight="1" s="56">
      <c r="A1" s="57" t="inlineStr">
        <is>
          <t>Shenyang – Sleep first</t>
        </is>
      </c>
    </row>
    <row r="2" ht="15" customHeight="1" s="56">
      <c r="A2" s="62" t="inlineStr">
        <is>
          <t>Sleep first before the contest, cheapest after: no early alarm (Air China 11:50), three nights in the same quiet hotel next to the venue with a bed each; hard-seat night train + cheapest flight home.</t>
        </is>
      </c>
    </row>
    <row r="4" ht="15" customHeight="1" s="56">
      <c r="A4" s="60" t="inlineStr">
        <is>
          <t>Days in destination (meals &amp; local transport)</t>
        </is>
      </c>
      <c r="B4" s="76" t="n">
        <v>4</v>
      </c>
      <c r="C4" s="62" t="inlineStr">
        <is>
          <t>12 Nov afternoon → 16 Nov midday</t>
        </is>
      </c>
    </row>
    <row r="5" ht="15" customHeight="1" s="56">
      <c r="A5" s="62" t="inlineStr">
        <is>
          <t>Shared inputs are on the Compare sheet. Scroll down for the day-by-day plan and door-to-door travel times.</t>
        </is>
      </c>
    </row>
    <row r="7" ht="31.5" customHeight="1" s="56">
      <c r="A7" s="66" t="inlineStr">
        <is>
          <t>Category</t>
        </is>
      </c>
      <c r="B7" s="66" t="inlineStr">
        <is>
          <t>Item</t>
        </is>
      </c>
      <c r="C7" s="66" t="inlineStr">
        <is>
          <t>Date</t>
        </is>
      </c>
      <c r="D7" s="66" t="inlineStr">
        <is>
          <t>Travel time</t>
        </is>
      </c>
      <c r="E7" s="66" t="inlineStr">
        <is>
          <t>Unit cost (3 ppl)</t>
        </is>
      </c>
      <c r="F7" s="66" t="inlineStr">
        <is>
          <t>Currency</t>
        </is>
      </c>
      <c r="G7" s="66" t="inlineStr">
        <is>
          <t>Qty (3 ppl)</t>
        </is>
      </c>
      <c r="H7" s="66" t="inlineStr">
        <is>
          <t>Total MNT – 3 people</t>
        </is>
      </c>
      <c r="I7" s="66" t="inlineStr">
        <is>
          <t>Unit cost (4 ppl)</t>
        </is>
      </c>
      <c r="J7" s="66" t="inlineStr">
        <is>
          <t>Qty (4 ppl)</t>
        </is>
      </c>
      <c r="K7" s="66" t="inlineStr">
        <is>
          <t>Total MNT – 4 people</t>
        </is>
      </c>
      <c r="L7" s="66" t="inlineStr">
        <is>
          <t>Source / notes</t>
        </is>
      </c>
    </row>
    <row r="8" s="56">
      <c r="A8" s="77" t="inlineStr">
        <is>
          <t>PAID BY UNIVERSITY</t>
        </is>
      </c>
      <c r="B8" s="78" t="n"/>
      <c r="C8" s="78" t="n"/>
      <c r="D8" s="78" t="n"/>
      <c r="E8" s="78" t="n"/>
      <c r="F8" s="78" t="n"/>
      <c r="G8" s="78" t="n"/>
      <c r="H8" s="78" t="n"/>
      <c r="I8" s="78" t="n"/>
      <c r="J8" s="78" t="n"/>
      <c r="K8" s="78" t="n"/>
      <c r="L8" s="78" t="n"/>
    </row>
    <row r="9" s="56">
      <c r="A9" s="79" t="inlineStr">
        <is>
          <t>Flights</t>
        </is>
      </c>
      <c r="B9" s="80" t="n"/>
      <c r="C9" s="80" t="n"/>
      <c r="D9" s="80" t="n"/>
      <c r="E9" s="80" t="n"/>
      <c r="F9" s="80" t="n"/>
      <c r="G9" s="80" t="n"/>
      <c r="H9" s="80" t="n"/>
      <c r="I9" s="80" t="n"/>
      <c r="J9" s="80" t="n"/>
      <c r="K9" s="80" t="n"/>
      <c r="L9" s="80" t="n"/>
    </row>
    <row r="10" ht="60" customHeight="1" s="56">
      <c r="B10" s="111" t="inlineStr">
        <is>
          <t>Air China CA902 Ulaanbaatar 11:50 → Beijing Capital (PEK) 13:55, nonstop, checked bag included</t>
        </is>
      </c>
      <c r="C10" s="83" t="inlineStr">
        <is>
          <t>12 Nov</t>
        </is>
      </c>
      <c r="D10" s="84" t="n">
        <v>0.08680555555555555</v>
      </c>
      <c r="E10" s="85" t="n">
        <v>1291</v>
      </c>
      <c r="F10" s="86" t="inlineStr">
        <is>
          <t>CNY</t>
        </is>
      </c>
      <c r="G10" s="87">
        <f>Compare!$B$6</f>
        <v/>
      </c>
      <c r="H10" s="88">
        <f>E10*G10*IF(F10="USD",Compare!$B$8,IF(F10="CNY",Compare!$B$9,IF(F10="HKD",Compare!$B$10,1)))</f>
        <v/>
      </c>
      <c r="I10" s="89">
        <f>E10</f>
        <v/>
      </c>
      <c r="J10" s="87">
        <f>Compare!$B$7</f>
        <v/>
      </c>
      <c r="K10" s="88">
        <f>I10*J10*IF(F10="USD",Compare!$B$8,IF(F10="CNY",Compare!$B$9,IF(F10="HKD",Compare!$B$10,1)))</f>
        <v/>
      </c>
      <c r="L10" s="112" t="inlineStr">
        <is>
          <t>Ctrip 22 Oct: ¥1,291 pp incl. tax – cheapest of 5 sources (Kiwi $200, Trip.com $203, SlickTrip $316 on 13 Nov, Google Flights unpriced). MIAT OM223 07:30 is ¥1,096 on Ctrip / $167 Kiwi / $172 Google / $154 SlickTrip but means a ~04:00 wake-up. Ctrip needs a Ctrip account (Alipay or a foreign card); Trip.com $203 is the fallback.</t>
        </is>
      </c>
    </row>
    <row r="11" ht="39" customHeight="1" s="56">
      <c r="B11" s="111" t="inlineStr">
        <is>
          <t>Air China CA955 Beijing Capital (PEK) 12:55 → Ulaanbaatar 15:05, nonstop</t>
        </is>
      </c>
      <c r="C11" s="83" t="inlineStr">
        <is>
          <t>16 Nov</t>
        </is>
      </c>
      <c r="D11" s="84" t="n">
        <v>0.09027777777777778</v>
      </c>
      <c r="E11" s="85" t="n">
        <v>171</v>
      </c>
      <c r="F11" s="86" t="inlineStr">
        <is>
          <t>USD</t>
        </is>
      </c>
      <c r="G11" s="87">
        <f>Compare!$B$6</f>
        <v/>
      </c>
      <c r="H11" s="88">
        <f>E11*G11*IF(F11="USD",Compare!$B$8,IF(F11="CNY",Compare!$B$9,IF(F11="HKD",Compare!$B$10,1)))</f>
        <v/>
      </c>
      <c r="I11" s="89">
        <f>E11</f>
        <v/>
      </c>
      <c r="J11" s="87">
        <f>Compare!$B$7</f>
        <v/>
      </c>
      <c r="K11" s="88">
        <f>I11*J11*IF(F11="USD",Compare!$B$8,IF(F11="CNY",Compare!$B$9,IF(F11="HKD",Compare!$B$10,1)))</f>
        <v/>
      </c>
      <c r="L11" s="112" t="inlineStr">
        <is>
          <t>Trip.com 22 Oct: US$171 pp, cheapest that day (MIAT OM224 11:30 US$193 on Trip.com / $176 on SlickTrip; Air China 08:25 $215; Capital + Hunnu via Erenhot $196)</t>
        </is>
      </c>
    </row>
    <row r="12" s="56">
      <c r="A12" s="79" t="inlineStr">
        <is>
          <t>Trains</t>
        </is>
      </c>
      <c r="B12" s="80" t="n"/>
      <c r="C12" s="80" t="n"/>
      <c r="D12" s="80" t="n"/>
      <c r="E12" s="80" t="n"/>
      <c r="F12" s="80" t="n"/>
      <c r="G12" s="80" t="n"/>
      <c r="H12" s="80" t="n"/>
      <c r="I12" s="80" t="n"/>
      <c r="J12" s="80" t="n"/>
      <c r="K12" s="80" t="n"/>
      <c r="L12" s="80" t="n"/>
    </row>
    <row r="13" ht="75" customHeight="1" s="56">
      <c r="B13" s="111" t="inlineStr">
        <is>
          <t>High-speed rail G153 Beijing Chaoyang 17:27 → Shenyang 20:04, 2nd class</t>
        </is>
      </c>
      <c r="C13" s="83" t="inlineStr">
        <is>
          <t>12 Nov (evening)</t>
        </is>
      </c>
      <c r="D13" s="84" t="n">
        <v>0.1090277777777778</v>
      </c>
      <c r="E13" s="85" t="n">
        <v>369</v>
      </c>
      <c r="F13" s="86" t="inlineStr">
        <is>
          <t>CNY</t>
        </is>
      </c>
      <c r="G13" s="87">
        <f>Compare!$B$6</f>
        <v/>
      </c>
      <c r="H13" s="88">
        <f>E13*G13*IF(F13="USD",Compare!$B$8,IF(F13="CNY",Compare!$B$9,IF(F13="HKD",Compare!$B$10,1)))</f>
        <v/>
      </c>
      <c r="I13" s="89">
        <f>E13</f>
        <v/>
      </c>
      <c r="J13" s="87">
        <f>Compare!$B$7</f>
        <v/>
      </c>
      <c r="K13" s="88">
        <f>I13*J13*IF(F13="USD",Compare!$B$8,IF(F13="CNY",Compare!$B$9,IF(F13="HKD",Compare!$B$10,1)))</f>
        <v/>
      </c>
      <c r="L13" s="112" t="inlineStr">
        <is>
          <t>12306 (queried 22 Oct for 5 Nov; fares fixed): ¥369. ChinaTicketOnline confirms G153 on 12 Nov, on sale 29 Oct 10:00. Leaves 3 h 30 min after landing; if the flight is on time, change at the station to G141 16:00 → Shenyang North 18:29 (¥369). Later trains: G155 18:35 / G143 18:48 (¥369–383). Ctrip train list (22 Oct, for 12 Nov) shows the same fares; 12go.asia resells at ~$90 for 1st class.</t>
        </is>
      </c>
    </row>
    <row r="14" ht="51" customHeight="1" s="56">
      <c r="B14" s="111" t="inlineStr">
        <is>
          <t>Overnight train K28 Shenyang 22:24 → Beijing 08:40, hard seat (after the contest)</t>
        </is>
      </c>
      <c r="C14" s="83" t="inlineStr">
        <is>
          <t>15 Nov (night)</t>
        </is>
      </c>
      <c r="D14" s="84" t="n">
        <v>0.4277777777777778</v>
      </c>
      <c r="E14" s="85" t="n">
        <v>112</v>
      </c>
      <c r="F14" s="86" t="inlineStr">
        <is>
          <t>CNY</t>
        </is>
      </c>
      <c r="G14" s="87">
        <f>Compare!$B$6</f>
        <v/>
      </c>
      <c r="H14" s="88">
        <f>E14*G14*IF(F14="USD",Compare!$B$8,IF(F14="CNY",Compare!$B$9,IF(F14="HKD",Compare!$B$10,1)))</f>
        <v/>
      </c>
      <c r="I14" s="89">
        <f>E14</f>
        <v/>
      </c>
      <c r="J14" s="87">
        <f>Compare!$B$7</f>
        <v/>
      </c>
      <c r="K14" s="88">
        <f>I14*J14*IF(F14="USD",Compare!$B$8,IF(F14="CNY",Compare!$B$9,IF(F14="HKD",Compare!$B$10,1)))</f>
        <v/>
      </c>
      <c r="L14" s="112" t="inlineStr">
        <is>
          <t>12306 (5 Nov query): hard seat ¥112 (hard sleeper ¥194). Cheapest train that still makes the 12:55 flight (K96 23:39 ¥102 arrives 11:19 – too late). Lie-flat upgrade: K54 Shenyang North 22:00 → 06:58 hard sleeper ¥171 (+¥59 pp). On sale 1 Nov 09:30 (ChinaTicketOnline confirms 15 Nov).</t>
        </is>
      </c>
    </row>
    <row r="15" s="56">
      <c r="A15" s="79" t="inlineStr">
        <is>
          <t>Accommodation</t>
        </is>
      </c>
      <c r="B15" s="80" t="n"/>
      <c r="C15" s="80" t="n"/>
      <c r="D15" s="80" t="n"/>
      <c r="E15" s="80" t="n"/>
      <c r="F15" s="80" t="n"/>
      <c r="G15" s="80" t="n"/>
      <c r="H15" s="80" t="n"/>
      <c r="I15" s="80" t="n"/>
      <c r="J15" s="80" t="n"/>
      <c r="K15" s="80" t="n"/>
      <c r="L15" s="80" t="n"/>
    </row>
    <row r="16" ht="51" customHeight="1" s="56">
      <c r="B16" s="111" t="inlineStr">
        <is>
          <t>NEU International Hotel, 80 Wenti West Rd (~580 m to NEU Nanhu): 2 Superior Twin rooms, 38 m², floors 5–10 – a bed each</t>
        </is>
      </c>
      <c r="C16" s="83" t="inlineStr">
        <is>
          <t>12–15 Nov (3 nights)</t>
        </is>
      </c>
      <c r="D16" s="84" t="n"/>
      <c r="E16" s="85" t="n">
        <v>796</v>
      </c>
      <c r="F16" s="86" t="inlineStr">
        <is>
          <t>CNY</t>
        </is>
      </c>
      <c r="G16" s="91" t="n">
        <v>3</v>
      </c>
      <c r="H16" s="88">
        <f>E16*G16*IF(F16="USD",Compare!$B$8,IF(F16="CNY",Compare!$B$9,IF(F16="HKD",Compare!$B$10,1)))</f>
        <v/>
      </c>
      <c r="I16" s="85" t="n">
        <v>796</v>
      </c>
      <c r="J16" s="91" t="n">
        <v>3</v>
      </c>
      <c r="K16" s="88">
        <f>I16*J16*IF(F16="USD",Compare!$B$8,IF(F16="CNY",Compare!$B$9,IF(F16="HKD",Compare!$B$10,1)))</f>
        <v/>
      </c>
      <c r="L16" s="112" t="inlineStr">
        <is>
          <t>Trip.com 22 Oct: ¥2,388 for 2 rooms × 3 nights incl. taxes, free cancellation, pay at hotel; same price for 3 or 4 adults. 9.7 from 1,998 reviews (no negative review in 2 years; campus/river views). Shown as a 30% 'Surprise Savings' rate (list ¥547 per room-night = ¥3,282) – book soon.</t>
        </is>
      </c>
    </row>
    <row r="17" s="56">
      <c r="A17" s="79" t="inlineStr">
        <is>
          <t>Meals &amp; local transport</t>
        </is>
      </c>
      <c r="B17" s="80" t="n"/>
      <c r="C17" s="80" t="n"/>
      <c r="D17" s="80" t="n"/>
      <c r="E17" s="80" t="n"/>
      <c r="F17" s="80" t="n"/>
      <c r="G17" s="80" t="n"/>
      <c r="H17" s="80" t="n"/>
      <c r="I17" s="80" t="n"/>
      <c r="J17" s="80" t="n"/>
      <c r="K17" s="80" t="n"/>
      <c r="L17" s="80" t="n"/>
    </row>
    <row r="18" ht="30" customHeight="1" s="56">
      <c r="B18" s="111" t="inlineStr">
        <is>
          <t>Meals</t>
        </is>
      </c>
      <c r="C18" s="83" t="inlineStr">
        <is>
          <t>in destination</t>
        </is>
      </c>
      <c r="D18" s="84" t="n"/>
      <c r="E18" s="113" t="n">
        <v>80</v>
      </c>
      <c r="F18" s="86" t="inlineStr">
        <is>
          <t>CNY</t>
        </is>
      </c>
      <c r="G18" s="87">
        <f>Compare!$B$6*$B$4</f>
        <v/>
      </c>
      <c r="H18" s="88">
        <f>E18*G18*IF(F18="USD",Compare!$B$8,IF(F18="CNY",Compare!$B$9,IF(F18="HKD",Compare!$B$10,1)))</f>
        <v/>
      </c>
      <c r="I18" s="114">
        <f>E18</f>
        <v/>
      </c>
      <c r="J18" s="87">
        <f>Compare!$B$7*$B$4</f>
        <v/>
      </c>
      <c r="K18" s="88">
        <f>I18*J18*IF(F18="USD",Compare!$B$8,IF(F18="CNY",Compare!$B$9,IF(F18="HKD",Compare!$B$10,1)))</f>
        <v/>
      </c>
      <c r="L18" s="112" t="inlineStr">
        <is>
          <t>ASSUMPTION 80 CNY/person/day; hosts usually provide some meals on contest days</t>
        </is>
      </c>
    </row>
    <row r="19" ht="30" customHeight="1" s="56">
      <c r="B19" s="111" t="inlineStr">
        <is>
          <t>Local transport (metro, taxis)</t>
        </is>
      </c>
      <c r="C19" s="83" t="inlineStr">
        <is>
          <t>in destination</t>
        </is>
      </c>
      <c r="D19" s="84" t="n"/>
      <c r="E19" s="113" t="n">
        <v>30</v>
      </c>
      <c r="F19" s="86" t="inlineStr">
        <is>
          <t>CNY</t>
        </is>
      </c>
      <c r="G19" s="87">
        <f>Compare!$B$6*$B$4</f>
        <v/>
      </c>
      <c r="H19" s="88">
        <f>E19*G19*IF(F19="USD",Compare!$B$8,IF(F19="CNY",Compare!$B$9,IF(F19="HKD",Compare!$B$10,1)))</f>
        <v/>
      </c>
      <c r="I19" s="114">
        <f>E19</f>
        <v/>
      </c>
      <c r="J19" s="87">
        <f>Compare!$B$7*$B$4</f>
        <v/>
      </c>
      <c r="K19" s="88">
        <f>I19*J19*IF(F19="USD",Compare!$B$8,IF(F19="CNY",Compare!$B$9,IF(F19="HKD",Compare!$B$10,1)))</f>
        <v/>
      </c>
      <c r="L19" s="112" t="inlineStr">
        <is>
          <t>ASSUMPTION 30 CNY/person/day</t>
        </is>
      </c>
    </row>
    <row r="20" ht="30" customHeight="1" s="56">
      <c r="B20" s="111" t="inlineStr">
        <is>
          <t>Taxi PEK → Beijing Chaoyang station</t>
        </is>
      </c>
      <c r="C20" s="83" t="inlineStr">
        <is>
          <t>12 Nov</t>
        </is>
      </c>
      <c r="D20" s="84" t="n"/>
      <c r="E20" s="113" t="n">
        <v>120</v>
      </c>
      <c r="F20" s="86" t="inlineStr">
        <is>
          <t>CNY</t>
        </is>
      </c>
      <c r="G20" s="91" t="n">
        <v>1</v>
      </c>
      <c r="H20" s="88">
        <f>E20*G20*IF(F20="USD",Compare!$B$8,IF(F20="CNY",Compare!$B$9,IF(F20="HKD",Compare!$B$10,1)))</f>
        <v/>
      </c>
      <c r="I20" s="114">
        <f>E20</f>
        <v/>
      </c>
      <c r="J20" s="91" t="n">
        <v>1</v>
      </c>
      <c r="K20" s="88">
        <f>I20*J20*IF(F20="USD",Compare!$B$8,IF(F20="CNY",Compare!$B$9,IF(F20="HKD",Compare!$B$10,1)))</f>
        <v/>
      </c>
      <c r="L20" s="112" t="inlineStr">
        <is>
          <t>ASSUMPTION ~120 CNY per car, ~40 km (4 ppl may need an XL car)</t>
        </is>
      </c>
    </row>
    <row r="21" ht="30" customHeight="1" s="56">
      <c r="B21" s="111" t="inlineStr">
        <is>
          <t>Metro line 2 + Airport Express, Beijing station → PEK T3</t>
        </is>
      </c>
      <c r="C21" s="83" t="inlineStr">
        <is>
          <t>16 Nov</t>
        </is>
      </c>
      <c r="D21" s="84" t="n"/>
      <c r="E21" s="113" t="n">
        <v>30</v>
      </c>
      <c r="F21" s="86" t="inlineStr">
        <is>
          <t>CNY</t>
        </is>
      </c>
      <c r="G21" s="87">
        <f>Compare!$B$6</f>
        <v/>
      </c>
      <c r="H21" s="88">
        <f>E21*G21*IF(F21="USD",Compare!$B$8,IF(F21="CNY",Compare!$B$9,IF(F21="HKD",Compare!$B$10,1)))</f>
        <v/>
      </c>
      <c r="I21" s="114">
        <f>E21</f>
        <v/>
      </c>
      <c r="J21" s="87">
        <f>Compare!$B$7</f>
        <v/>
      </c>
      <c r="K21" s="88">
        <f>I21*J21*IF(F21="USD",Compare!$B$8,IF(F21="CNY",Compare!$B$9,IF(F21="HKD",Compare!$B$10,1)))</f>
        <v/>
      </c>
      <c r="L21" s="112" t="inlineStr">
        <is>
          <t>ASSUMPTION Airport Express ¥25 + metro ¥4–5 pp</t>
        </is>
      </c>
    </row>
    <row r="22" s="56">
      <c r="A22" s="94" t="inlineStr">
        <is>
          <t>PAID PERSONALLY (university won't cover)</t>
        </is>
      </c>
      <c r="B22" s="95" t="n"/>
      <c r="C22" s="95" t="n"/>
      <c r="D22" s="95" t="n"/>
      <c r="E22" s="95" t="n"/>
      <c r="F22" s="95" t="n"/>
      <c r="G22" s="95" t="n"/>
      <c r="H22" s="95" t="n"/>
      <c r="I22" s="95" t="n"/>
      <c r="J22" s="95" t="n"/>
      <c r="K22" s="95" t="n"/>
      <c r="L22" s="95" t="n"/>
    </row>
    <row r="23" s="56">
      <c r="A23" s="79" t="inlineStr">
        <is>
          <t>Contest fee</t>
        </is>
      </c>
      <c r="B23" s="80" t="n"/>
      <c r="C23" s="80" t="n"/>
      <c r="D23" s="80" t="n"/>
      <c r="E23" s="80" t="n"/>
      <c r="F23" s="80" t="n"/>
      <c r="G23" s="80" t="n"/>
      <c r="H23" s="80" t="n"/>
      <c r="I23" s="80" t="n"/>
      <c r="J23" s="80" t="n"/>
      <c r="K23" s="80" t="n"/>
      <c r="L23" s="80" t="n"/>
    </row>
    <row r="24" ht="30" customHeight="1" s="56">
      <c r="B24" s="111" t="inlineStr">
        <is>
          <t>Shenyang regional registration fee (per team)</t>
        </is>
      </c>
      <c r="C24" s="83" t="inlineStr">
        <is>
          <t>pay when invited</t>
        </is>
      </c>
      <c r="D24" s="84" t="n"/>
      <c r="E24" s="113" t="n">
        <v>1500</v>
      </c>
      <c r="F24" s="86" t="inlineStr">
        <is>
          <t>CNY</t>
        </is>
      </c>
      <c r="G24" s="91" t="n">
        <v>1</v>
      </c>
      <c r="H24" s="88">
        <f>E24*G24*IF(F24="USD",Compare!$B$8,IF(F24="CNY",Compare!$B$9,IF(F24="HKD",Compare!$B$10,1)))</f>
        <v/>
      </c>
      <c r="I24" s="114">
        <f>E24</f>
        <v/>
      </c>
      <c r="J24" s="91" t="n">
        <v>1</v>
      </c>
      <c r="K24" s="88">
        <f>I24*J24*IF(F24="USD",Compare!$B$8,IF(F24="CNY",Compare!$B$9,IF(F24="HKD",Compare!$B$10,1)))</f>
        <v/>
      </c>
      <c r="L24" s="112" t="inlineStr">
        <is>
          <t>ASSUMPTION: 1,500 CNY/team like recent EC regionals; the 2026 Shenyang invitation was not found on 22 Oct</t>
        </is>
      </c>
    </row>
    <row r="25" s="56">
      <c r="A25" s="79" t="inlineStr">
        <is>
          <t>Other</t>
        </is>
      </c>
      <c r="B25" s="80" t="n"/>
      <c r="C25" s="80" t="n"/>
      <c r="D25" s="80" t="n"/>
      <c r="E25" s="80" t="n"/>
      <c r="F25" s="80" t="n"/>
      <c r="G25" s="80" t="n"/>
      <c r="H25" s="80" t="n"/>
      <c r="I25" s="80" t="n"/>
      <c r="J25" s="80" t="n"/>
      <c r="K25" s="80" t="n"/>
      <c r="L25" s="80" t="n"/>
    </row>
    <row r="26" ht="30" customHeight="1" s="56">
      <c r="B26" s="111" t="inlineStr">
        <is>
          <t>Taxi to/from Chinggis Khaan airport (UB), per trip</t>
        </is>
      </c>
      <c r="C26" s="83" t="inlineStr">
        <is>
          <t>out &amp; back</t>
        </is>
      </c>
      <c r="D26" s="84" t="n">
        <v>0.04166666666666666</v>
      </c>
      <c r="E26" s="113" t="n">
        <v>100000</v>
      </c>
      <c r="F26" s="86" t="inlineStr">
        <is>
          <t>MNT</t>
        </is>
      </c>
      <c r="G26" s="91" t="n">
        <v>2</v>
      </c>
      <c r="H26" s="88">
        <f>E26*G26*IF(F26="USD",Compare!$B$8,IF(F26="CNY",Compare!$B$9,IF(F26="HKD",Compare!$B$10,1)))</f>
        <v/>
      </c>
      <c r="I26" s="114">
        <f>E26</f>
        <v/>
      </c>
      <c r="J26" s="91" t="n">
        <v>2</v>
      </c>
      <c r="K26" s="88">
        <f>I26*J26*IF(F26="USD",Compare!$B$8,IF(F26="CNY",Compare!$B$9,IF(F26="HKD",Compare!$B$10,1)))</f>
        <v/>
      </c>
      <c r="L26" s="112" t="inlineStr">
        <is>
          <t>ASSUMPTION 100k MNT per trip for the group</t>
        </is>
      </c>
    </row>
    <row r="27" ht="30" customHeight="1" s="56">
      <c r="B27" s="111" t="inlineStr">
        <is>
          <t>Travel medical insurance</t>
        </is>
      </c>
      <c r="C27" s="83" t="n"/>
      <c r="D27" s="84" t="n"/>
      <c r="E27" s="113" t="n">
        <v>30000</v>
      </c>
      <c r="F27" s="86" t="inlineStr">
        <is>
          <t>MNT</t>
        </is>
      </c>
      <c r="G27" s="87">
        <f>Compare!$B$6</f>
        <v/>
      </c>
      <c r="H27" s="88">
        <f>E27*G27*IF(F27="USD",Compare!$B$8,IF(F27="CNY",Compare!$B$9,IF(F27="HKD",Compare!$B$10,1)))</f>
        <v/>
      </c>
      <c r="I27" s="114">
        <f>E27</f>
        <v/>
      </c>
      <c r="J27" s="87">
        <f>Compare!$B$7</f>
        <v/>
      </c>
      <c r="K27" s="88">
        <f>I27*J27*IF(F27="USD",Compare!$B$8,IF(F27="CNY",Compare!$B$9,IF(F27="HKD",Compare!$B$10,1)))</f>
        <v/>
      </c>
      <c r="L27" s="112" t="inlineStr">
        <is>
          <t>ASSUMPTION ~30k MNT per person, Mongolian insurer</t>
        </is>
      </c>
    </row>
    <row r="28" ht="30" customHeight="1" s="56">
      <c r="B28" s="111" t="inlineStr">
        <is>
          <t>Mobile data eSIM</t>
        </is>
      </c>
      <c r="C28" s="83" t="n"/>
      <c r="D28" s="84" t="n"/>
      <c r="E28" s="113" t="n">
        <v>10</v>
      </c>
      <c r="F28" s="86" t="inlineStr">
        <is>
          <t>USD</t>
        </is>
      </c>
      <c r="G28" s="87">
        <f>Compare!$B$6</f>
        <v/>
      </c>
      <c r="H28" s="88">
        <f>E28*G28*IF(F28="USD",Compare!$B$8,IF(F28="CNY",Compare!$B$9,IF(F28="HKD",Compare!$B$10,1)))</f>
        <v/>
      </c>
      <c r="I28" s="114">
        <f>E28</f>
        <v/>
      </c>
      <c r="J28" s="87">
        <f>Compare!$B$7</f>
        <v/>
      </c>
      <c r="K28" s="88">
        <f>I28*J28*IF(F28="USD",Compare!$B$8,IF(F28="CNY",Compare!$B$9,IF(F28="HKD",Compare!$B$10,1)))</f>
        <v/>
      </c>
      <c r="L28" s="112" t="inlineStr">
        <is>
          <t>ASSUMPTION ~$10 pp</t>
        </is>
      </c>
    </row>
    <row r="29" ht="30" customHeight="1" s="56">
      <c r="B29" s="111" t="inlineStr">
        <is>
          <t>Visa</t>
        </is>
      </c>
      <c r="C29" s="83" t="n"/>
      <c r="D29" s="84" t="n"/>
      <c r="E29" s="85" t="n">
        <v>0</v>
      </c>
      <c r="F29" s="86" t="inlineStr">
        <is>
          <t>MNT</t>
        </is>
      </c>
      <c r="G29" s="87">
        <f>Compare!$B$6</f>
        <v/>
      </c>
      <c r="H29" s="88">
        <f>E29*G29*IF(F29="USD",Compare!$B$8,IF(F29="CNY",Compare!$B$9,IF(F29="HKD",Compare!$B$10,1)))</f>
        <v/>
      </c>
      <c r="I29" s="89">
        <f>E29</f>
        <v/>
      </c>
      <c r="J29" s="87">
        <f>Compare!$B$7</f>
        <v/>
      </c>
      <c r="K29" s="88">
        <f>I29*J29*IF(F29="USD",Compare!$B$8,IF(F29="CNY",Compare!$B$9,IF(F29="HKD",Compare!$B$10,1)))</f>
        <v/>
      </c>
      <c r="L29" s="112" t="inlineStr">
        <is>
          <t>Mongolian passports: visa-free (mainland China up to 30 days; Hong Kong up to 14 days)</t>
        </is>
      </c>
    </row>
    <row r="30" s="56"/>
    <row r="31" s="56">
      <c r="G31" s="60" t="n"/>
      <c r="H31" s="96" t="inlineStr">
        <is>
          <t>3 people – UNFUNDED</t>
        </is>
      </c>
      <c r="K31" s="96" t="inlineStr">
        <is>
          <t>4 people – FUNDED ₮12M</t>
        </is>
      </c>
    </row>
    <row r="32" s="56">
      <c r="G32" s="97" t="inlineStr">
        <is>
          <t>University-paid subtotal</t>
        </is>
      </c>
      <c r="H32" s="98">
        <f>SUM(H9:H21)</f>
        <v/>
      </c>
      <c r="K32" s="98">
        <f>SUM(K9:K21)</f>
        <v/>
      </c>
    </row>
    <row r="33" s="56">
      <c r="G33" s="99" t="inlineStr">
        <is>
          <t>Contingency</t>
        </is>
      </c>
      <c r="H33" s="100">
        <f>H32*Compare!$B$11</f>
        <v/>
      </c>
      <c r="K33" s="100">
        <f>K32*Compare!$B$11</f>
        <v/>
      </c>
    </row>
    <row r="34" s="56">
      <c r="G34" s="97" t="inlineStr">
        <is>
          <t>University-paid total incl. contingency</t>
        </is>
      </c>
      <c r="H34" s="98">
        <f>H32+H33</f>
        <v/>
      </c>
      <c r="K34" s="98">
        <f>K32+K33</f>
        <v/>
      </c>
    </row>
    <row r="35" s="56">
      <c r="G35" s="97" t="inlineStr">
        <is>
          <t>Funding left (negative = over)</t>
        </is>
      </c>
      <c r="H35" s="101">
        <f>Compare!$B$12-H34</f>
        <v/>
      </c>
      <c r="K35" s="101">
        <f>Compare!$B$5-K34</f>
        <v/>
      </c>
    </row>
    <row r="36" s="56">
      <c r="G36" s="97" t="inlineStr">
        <is>
          <t>Personal costs – team</t>
        </is>
      </c>
      <c r="H36" s="102">
        <f>SUM(H23:H29)</f>
        <v/>
      </c>
      <c r="K36" s="102">
        <f>SUM(K23:K29)</f>
        <v/>
      </c>
    </row>
    <row r="37" s="56">
      <c r="G37" s="97" t="inlineStr">
        <is>
          <t>Out-of-pocket per person (personal + any overrun)</t>
        </is>
      </c>
      <c r="H37" s="102">
        <f>(H36+MAX(0,-H35))/Compare!$B$6</f>
        <v/>
      </c>
      <c r="K37" s="102">
        <f>(K36+MAX(0,-K35))/Compare!$B$7</f>
        <v/>
      </c>
    </row>
    <row r="38" s="56">
      <c r="G38" s="97" t="inlineStr">
        <is>
          <t>Whole trip cost (university + personal)</t>
        </is>
      </c>
      <c r="H38" s="103">
        <f>H34+H36</f>
        <v/>
      </c>
      <c r="K38" s="103">
        <f>K34+K36</f>
        <v/>
      </c>
    </row>
    <row r="39" s="56">
      <c r="G39" s="99" t="inlineStr">
        <is>
          <t>Time in planes &amp; trains</t>
        </is>
      </c>
      <c r="H39" s="104">
        <f>SUM(D10:D11)+SUM(D13:D14)</f>
        <v/>
      </c>
      <c r="K39" s="104">
        <f>SUM(D10:D11)+SUM(D13:D14)</f>
        <v/>
      </c>
    </row>
    <row r="40" s="56"/>
    <row r="41" s="56">
      <c r="A41" s="72" t="inlineStr">
        <is>
          <t>Key facts</t>
        </is>
      </c>
    </row>
    <row r="42" ht="30" customHeight="1" s="56">
      <c r="A42" s="75" t="inlineStr">
        <is>
          <t>Contest</t>
        </is>
      </c>
      <c r="B42" s="74" t="inlineStr">
        <is>
          <t>Asia Shenyang Regional, 14–15 Nov 2026 (provisional; the 2026 invitation was not found on 22 Oct), Northeastern University Nanhu campus (2024 and 2025 venue). Assumed: day 1 registration + practice, contest 15 Nov 09:00–14:00, awards ~17:00.</t>
        </is>
      </c>
    </row>
    <row r="43" ht="45" customHeight="1" s="56">
      <c r="A43" s="75" t="inlineStr">
        <is>
          <t>Why this plan</t>
        </is>
      </c>
      <c r="B43" s="74" t="inlineStr">
        <is>
          <t>Sleep quantity: nobody wakes before ~08:00 on any day before the contest (Air China 11:50 instead of MIAT 07:30), and there are three hotel nights before the contest with a free rest day on 13 Nov. Sleep quality: the same room all three nights, two twin rooms so everyone has their own bed, the best-rated hotel next to the campus (9.7), and a 7-minute walk on contest morning.</t>
        </is>
      </c>
    </row>
    <row r="44" ht="30" customHeight="1" s="56">
      <c r="A44" s="75" t="inlineStr">
        <is>
          <t>Trade-off</t>
        </is>
      </c>
      <c r="B44" s="74" t="inlineStr">
        <is>
          <t>After the contest it is the cheapest way home: a night sitting up on the K28 (hard sleeper K54 is +¥59 pp) and the cheapest flight. Hotel luggage storage on 15 Nov (check-out before the contest). 'Shenyang – Sleep value' is the same plan with a cheaper twin-room hotel 15 min away.</t>
        </is>
      </c>
    </row>
    <row r="45" ht="15" customHeight="1" s="56">
      <c r="A45" s="75" t="inlineStr">
        <is>
          <t>Book</t>
        </is>
      </c>
      <c r="B45" s="74" t="inlineStr">
        <is>
          <t>Air China CA902 on Ctrip now (¥1,291; Trip.com $203 as fallback); hotel now (free cancellation); G153 on 12306 at 10:00 on 29 Oct; K28 at 09:30 on 1 Nov.</t>
        </is>
      </c>
    </row>
    <row r="46" s="56"/>
    <row r="47" s="56">
      <c r="A47" s="72" t="inlineStr">
        <is>
          <t>Day-by-day plan</t>
        </is>
      </c>
    </row>
    <row r="48" s="56">
      <c r="A48" s="96" t="inlineStr">
        <is>
          <t>Date</t>
        </is>
      </c>
      <c r="B48" s="96" t="inlineStr">
        <is>
          <t>Sleep in</t>
        </is>
      </c>
      <c r="C48" s="96" t="inlineStr">
        <is>
          <t>What happens</t>
        </is>
      </c>
    </row>
    <row r="49" ht="30" customHeight="1" s="56">
      <c r="A49" s="74" t="inlineStr">
        <is>
          <t>Thu 12 Nov</t>
        </is>
      </c>
      <c r="B49" s="74" t="inlineStr">
        <is>
          <t>Shenyang</t>
        </is>
      </c>
      <c r="C49" s="74" t="inlineStr">
        <is>
          <t>Wake ~08:00. Air China CA902 UB 11:50 → Beijing Capital 13:55; taxi to Beijing Chaoyang; G153 17:27 → Shenyang 20:04 (G141 16:00 if early); taxi to NEU International Hotel. Bed by ~23:00.</t>
        </is>
      </c>
    </row>
    <row r="50" ht="15" customHeight="1" s="56">
      <c r="A50" s="74" t="inlineStr">
        <is>
          <t>Fri 13 Nov</t>
        </is>
      </c>
      <c r="B50" s="74" t="inlineStr">
        <is>
          <t>Shenyang</t>
        </is>
      </c>
      <c r="C50" s="74" t="inlineStr">
        <is>
          <t>Free rest day: no alarm, light practice, walk the 7-minute route to the venue.</t>
        </is>
      </c>
    </row>
    <row r="51" ht="15" customHeight="1" s="56">
      <c r="A51" s="74" t="inlineStr">
        <is>
          <t>Sat 14 Nov</t>
        </is>
      </c>
      <c r="B51" s="74" t="inlineStr">
        <is>
          <t>Shenyang</t>
        </is>
      </c>
      <c r="C51" s="74" t="inlineStr">
        <is>
          <t>Registration, opening and practice at NEU Nanhu. Lights out ~22:30.</t>
        </is>
      </c>
    </row>
    <row r="52" ht="30" customHeight="1" s="56">
      <c r="A52" s="74" t="inlineStr">
        <is>
          <t>Sun 15 Nov</t>
        </is>
      </c>
      <c r="B52" s="74" t="inlineStr">
        <is>
          <t>Train (seat)</t>
        </is>
      </c>
      <c r="C52" s="74" t="inlineStr">
        <is>
          <t>CONTEST. Wake ~07:00, walk 7 min. Check out before leaving, luggage stored at the hotel. Awards ~17:00; taxi to Shenyang station; K28 22:24 hard seat → Beijing 08:40.</t>
        </is>
      </c>
    </row>
    <row r="53" ht="15" customHeight="1" s="56">
      <c r="A53" s="74" t="inlineStr">
        <is>
          <t>Mon 16 Nov</t>
        </is>
      </c>
      <c r="B53" s="74" t="inlineStr">
        <is>
          <t>Home</t>
        </is>
      </c>
      <c r="C53" s="74" t="inlineStr">
        <is>
          <t>Metro line 2 + Airport Express to PEK T3 (~1 h). Air China 12:55 → UB 15:05.</t>
        </is>
      </c>
    </row>
    <row r="54" s="56"/>
    <row r="55" s="56">
      <c r="A55" s="72" t="inlineStr">
        <is>
          <t>Door-to-door travel times</t>
        </is>
      </c>
    </row>
    <row r="56" s="56">
      <c r="A56" s="96" t="inlineStr">
        <is>
          <t>Date</t>
        </is>
      </c>
      <c r="B56" s="96" t="inlineStr">
        <is>
          <t>Leg</t>
        </is>
      </c>
      <c r="C56" s="96" t="inlineStr">
        <is>
          <t>Mode</t>
        </is>
      </c>
      <c r="D56" s="96" t="inlineStr">
        <is>
          <t>Expected time</t>
        </is>
      </c>
      <c r="E56" s="96" t="inlineStr">
        <is>
          <t>Notes</t>
        </is>
      </c>
    </row>
    <row r="57" s="56">
      <c r="A57" s="105" t="inlineStr">
        <is>
          <t>12 Nov</t>
        </is>
      </c>
      <c r="B57" s="105" t="inlineStr">
        <is>
          <t>Home → Chinggis Khaan airport</t>
        </is>
      </c>
      <c r="C57" s="82" t="inlineStr">
        <is>
          <t>Taxi (~50 km)</t>
        </is>
      </c>
      <c r="D57" s="104" t="n">
        <v>0.04166666666666666</v>
      </c>
      <c r="E57" s="106" t="inlineStr">
        <is>
          <t>Leave ~09:15 for the 11:50 flight; wake ~08:00</t>
        </is>
      </c>
      <c r="F57" s="107" t="n"/>
      <c r="G57" s="107" t="n"/>
      <c r="H57" s="107" t="n"/>
      <c r="I57" s="107" t="n"/>
      <c r="J57" s="107" t="n"/>
      <c r="K57" s="107" t="n"/>
      <c r="L57" s="107" t="n"/>
    </row>
    <row r="58" s="56">
      <c r="A58" s="105" t="inlineStr">
        <is>
          <t>12 Nov</t>
        </is>
      </c>
      <c r="B58" s="105" t="inlineStr">
        <is>
          <t>Ulaanbaatar → Beijing (PEK)</t>
        </is>
      </c>
      <c r="C58" s="82" t="inlineStr">
        <is>
          <t>Air China CA902 11:50–13:55</t>
        </is>
      </c>
      <c r="D58" s="104" t="n">
        <v>0.08680555555555555</v>
      </c>
      <c r="E58" s="106" t="n"/>
      <c r="F58" s="107" t="n"/>
      <c r="G58" s="107" t="n"/>
      <c r="H58" s="107" t="n"/>
      <c r="I58" s="107" t="n"/>
      <c r="J58" s="107" t="n"/>
      <c r="K58" s="107" t="n"/>
      <c r="L58" s="107" t="n"/>
    </row>
    <row r="59" s="56">
      <c r="A59" s="105" t="inlineStr">
        <is>
          <t>12 Nov</t>
        </is>
      </c>
      <c r="B59" s="105" t="inlineStr">
        <is>
          <t>PEK arrival: immigration, bags</t>
        </is>
      </c>
      <c r="C59" s="82" t="inlineStr">
        <is>
          <t>—</t>
        </is>
      </c>
      <c r="D59" s="104" t="n">
        <v>0.03125</v>
      </c>
      <c r="E59" s="106" t="inlineStr">
        <is>
          <t>Estimate</t>
        </is>
      </c>
      <c r="F59" s="107" t="n"/>
      <c r="G59" s="107" t="n"/>
      <c r="H59" s="107" t="n"/>
      <c r="I59" s="107" t="n"/>
      <c r="J59" s="107" t="n"/>
      <c r="K59" s="107" t="n"/>
      <c r="L59" s="107" t="n"/>
    </row>
    <row r="60" s="56">
      <c r="A60" s="105" t="inlineStr">
        <is>
          <t>12 Nov</t>
        </is>
      </c>
      <c r="B60" s="105" t="inlineStr">
        <is>
          <t>PEK → Beijing Chaoyang station</t>
        </is>
      </c>
      <c r="C60" s="82" t="inlineStr">
        <is>
          <t>Taxi (~40 km)</t>
        </is>
      </c>
      <c r="D60" s="104" t="n">
        <v>0.03472222222222222</v>
      </c>
      <c r="E60" s="106" t="inlineStr">
        <is>
          <t>Estimate; at the station ~15:30, G153 at 17:27 (or G141 16:00)</t>
        </is>
      </c>
      <c r="F60" s="107" t="n"/>
      <c r="G60" s="107" t="n"/>
      <c r="H60" s="107" t="n"/>
      <c r="I60" s="107" t="n"/>
      <c r="J60" s="107" t="n"/>
      <c r="K60" s="107" t="n"/>
      <c r="L60" s="107" t="n"/>
    </row>
    <row r="61" s="56">
      <c r="A61" s="105" t="inlineStr">
        <is>
          <t>12 Nov</t>
        </is>
      </c>
      <c r="B61" s="105" t="inlineStr">
        <is>
          <t>Beijing Chaoyang → Shenyang</t>
        </is>
      </c>
      <c r="C61" s="82" t="inlineStr">
        <is>
          <t>G153 2nd class 17:27–20:04</t>
        </is>
      </c>
      <c r="D61" s="104" t="n">
        <v>0.1090277777777778</v>
      </c>
      <c r="E61" s="106" t="n"/>
      <c r="F61" s="107" t="n"/>
      <c r="G61" s="107" t="n"/>
      <c r="H61" s="107" t="n"/>
      <c r="I61" s="107" t="n"/>
      <c r="J61" s="107" t="n"/>
      <c r="K61" s="107" t="n"/>
      <c r="L61" s="107" t="n"/>
    </row>
    <row r="62" s="56">
      <c r="A62" s="105" t="inlineStr">
        <is>
          <t>12 Nov</t>
        </is>
      </c>
      <c r="B62" s="105" t="inlineStr">
        <is>
          <t>Shenyang station → hotel</t>
        </is>
      </c>
      <c r="C62" s="82" t="inlineStr">
        <is>
          <t>Taxi (~4 km)</t>
        </is>
      </c>
      <c r="D62" s="104" t="n">
        <v>0.01388888888888889</v>
      </c>
      <c r="E62" s="106" t="inlineStr">
        <is>
          <t>Check in ~20:30</t>
        </is>
      </c>
      <c r="F62" s="107" t="n"/>
      <c r="G62" s="107" t="n"/>
      <c r="H62" s="107" t="n"/>
      <c r="I62" s="107" t="n"/>
      <c r="J62" s="107" t="n"/>
      <c r="K62" s="107" t="n"/>
      <c r="L62" s="107" t="n"/>
    </row>
    <row r="63" s="56">
      <c r="A63" s="105" t="inlineStr">
        <is>
          <t>13–15 Nov</t>
        </is>
      </c>
      <c r="B63" s="105" t="inlineStr">
        <is>
          <t>Hotel ↔ NEU Nanhu (each way)</t>
        </is>
      </c>
      <c r="C63" s="82" t="inlineStr">
        <is>
          <t>Walk</t>
        </is>
      </c>
      <c r="D63" s="104" t="inlineStr">
        <is>
          <t>daily</t>
        </is>
      </c>
      <c r="E63" s="106" t="inlineStr">
        <is>
          <t>~7 min walk (NEU International Hotel, 580 m)</t>
        </is>
      </c>
      <c r="F63" s="107" t="n"/>
      <c r="G63" s="107" t="n"/>
      <c r="H63" s="107" t="n"/>
      <c r="I63" s="107" t="n"/>
      <c r="J63" s="107" t="n"/>
      <c r="K63" s="107" t="n"/>
      <c r="L63" s="107" t="n"/>
    </row>
    <row r="64" s="56">
      <c r="A64" s="105" t="inlineStr">
        <is>
          <t>15 Nov</t>
        </is>
      </c>
      <c r="B64" s="105" t="inlineStr">
        <is>
          <t>NEU Nanhu → Shenyang station</t>
        </is>
      </c>
      <c r="C64" s="82" t="inlineStr">
        <is>
          <t>Taxi</t>
        </is>
      </c>
      <c r="D64" s="104" t="n">
        <v>0.01388888888888889</v>
      </c>
      <c r="E64" s="106" t="n"/>
      <c r="F64" s="107" t="n"/>
      <c r="G64" s="107" t="n"/>
      <c r="H64" s="107" t="n"/>
      <c r="I64" s="107" t="n"/>
      <c r="J64" s="107" t="n"/>
      <c r="K64" s="107" t="n"/>
      <c r="L64" s="107" t="n"/>
    </row>
    <row r="65" s="56">
      <c r="A65" s="105" t="inlineStr">
        <is>
          <t>15–16 Nov</t>
        </is>
      </c>
      <c r="B65" s="105" t="inlineStr">
        <is>
          <t>Shenyang → Beijing</t>
        </is>
      </c>
      <c r="C65" s="82" t="inlineStr">
        <is>
          <t>K28 hard seat 22:24–08:40</t>
        </is>
      </c>
      <c r="D65" s="104" t="n">
        <v>0.4277777777777778</v>
      </c>
      <c r="E65" s="106" t="inlineStr">
        <is>
          <t>Overnight, after the contest</t>
        </is>
      </c>
      <c r="F65" s="107" t="n"/>
      <c r="G65" s="107" t="n"/>
      <c r="H65" s="107" t="n"/>
      <c r="I65" s="107" t="n"/>
      <c r="J65" s="107" t="n"/>
      <c r="K65" s="107" t="n"/>
      <c r="L65" s="107" t="n"/>
    </row>
    <row r="66" s="56">
      <c r="A66" s="105" t="inlineStr">
        <is>
          <t>16 Nov</t>
        </is>
      </c>
      <c r="B66" s="105" t="inlineStr">
        <is>
          <t>Beijing station → PEK</t>
        </is>
      </c>
      <c r="C66" s="82" t="inlineStr">
        <is>
          <t>Metro line 2 + Airport Express</t>
        </is>
      </c>
      <c r="D66" s="104" t="n">
        <v>0.04166666666666666</v>
      </c>
      <c r="E66" s="106" t="inlineStr">
        <is>
          <t>Be at PEK by ~10:55</t>
        </is>
      </c>
      <c r="F66" s="107" t="n"/>
      <c r="G66" s="107" t="n"/>
      <c r="H66" s="107" t="n"/>
      <c r="I66" s="107" t="n"/>
      <c r="J66" s="107" t="n"/>
      <c r="K66" s="107" t="n"/>
      <c r="L66" s="107" t="n"/>
    </row>
    <row r="67" s="56">
      <c r="A67" s="105" t="inlineStr">
        <is>
          <t>16 Nov</t>
        </is>
      </c>
      <c r="B67" s="105" t="inlineStr">
        <is>
          <t>Beijing (PEK) → Ulaanbaatar</t>
        </is>
      </c>
      <c r="C67" s="82" t="inlineStr">
        <is>
          <t>Air China 12:55–15:05</t>
        </is>
      </c>
      <c r="D67" s="104" t="n">
        <v>0.09027777777777778</v>
      </c>
      <c r="E67" s="106" t="n"/>
      <c r="F67" s="107" t="n"/>
      <c r="G67" s="107" t="n"/>
      <c r="H67" s="107" t="n"/>
      <c r="I67" s="107" t="n"/>
      <c r="J67" s="107" t="n"/>
      <c r="K67" s="107" t="n"/>
      <c r="L67" s="107" t="n"/>
    </row>
    <row r="68" s="56">
      <c r="A68" s="105" t="inlineStr">
        <is>
          <t>16 Nov</t>
        </is>
      </c>
      <c r="B68" s="105" t="inlineStr">
        <is>
          <t>Chinggis Khaan airport → home</t>
        </is>
      </c>
      <c r="C68" s="82" t="inlineStr">
        <is>
          <t>Taxi</t>
        </is>
      </c>
      <c r="D68" s="104" t="n">
        <v>0.04166666666666666</v>
      </c>
      <c r="E68" s="106" t="n"/>
      <c r="F68" s="107" t="n"/>
      <c r="G68" s="107" t="n"/>
      <c r="H68" s="107" t="n"/>
      <c r="I68" s="107" t="n"/>
      <c r="J68" s="107" t="n"/>
      <c r="K68" s="107" t="n"/>
      <c r="L68" s="107" t="n"/>
    </row>
    <row r="69" s="56"/>
    <row r="70" s="56">
      <c r="C70" s="59" t="inlineStr">
        <is>
          <t>Total door-to-door</t>
        </is>
      </c>
      <c r="D70" s="109">
        <f>SUM(D57:D68)</f>
        <v/>
      </c>
    </row>
    <row r="71" s="56"/>
  </sheetData>
  <mergeCells count="21">
    <mergeCell ref="E58:L58"/>
    <mergeCell ref="C52:L52"/>
    <mergeCell ref="E68:L68"/>
    <mergeCell ref="E62:L62"/>
    <mergeCell ref="E67:L67"/>
    <mergeCell ref="B43:L43"/>
    <mergeCell ref="C53:L53"/>
    <mergeCell ref="E64:L64"/>
    <mergeCell ref="C49:L49"/>
    <mergeCell ref="E63:L63"/>
    <mergeCell ref="B42:L42"/>
    <mergeCell ref="E60:L60"/>
    <mergeCell ref="E65:L65"/>
    <mergeCell ref="B44:L44"/>
    <mergeCell ref="E59:L59"/>
    <mergeCell ref="C50:L50"/>
    <mergeCell ref="E61:L61"/>
    <mergeCell ref="E57:L57"/>
    <mergeCell ref="E66:L66"/>
    <mergeCell ref="C51:L51"/>
    <mergeCell ref="B45:L4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70"/>
  <sheetViews>
    <sheetView workbookViewId="0">
      <selection activeCell="A1" sqref="A1"/>
    </sheetView>
  </sheetViews>
  <sheetFormatPr baseColWidth="8" defaultRowHeight="15"/>
  <cols>
    <col width="26" customWidth="1" style="56" min="1" max="1"/>
    <col width="52" customWidth="1" style="56" min="2" max="2"/>
    <col width="20" customWidth="1" style="56" min="3" max="3"/>
    <col width="15" customWidth="1" style="56" min="4" max="4"/>
    <col width="13" customWidth="1" style="56" min="5" max="5"/>
    <col width="9" customWidth="1" style="56" min="6" max="6"/>
    <col width="17" customWidth="1" style="56" min="8" max="8"/>
    <col width="13" customWidth="1" style="56" min="9" max="9"/>
    <col width="9" customWidth="1" style="56" min="10" max="10"/>
    <col width="17" customWidth="1" style="56" min="11" max="11"/>
    <col width="58" customWidth="1" style="56" min="12" max="12"/>
  </cols>
  <sheetData>
    <row r="1" ht="17.35" customHeight="1" s="56">
      <c r="A1" s="57" t="inlineStr">
        <is>
          <t>Shenyang – Sleep value</t>
        </is>
      </c>
    </row>
    <row r="2" ht="15" customHeight="1" s="56">
      <c r="A2" s="62" t="inlineStr">
        <is>
          <t>Same sleep-first timing as 'Sleep first' (Air China 11:50, three nights before the contest, a bed each) in a cheaper twin-room hotel ~15 min walk from the venue; hard-seat night train + cheapest flight home.</t>
        </is>
      </c>
    </row>
    <row r="4" ht="15" customHeight="1" s="56">
      <c r="A4" s="60" t="inlineStr">
        <is>
          <t>Days in destination (meals &amp; local transport)</t>
        </is>
      </c>
      <c r="B4" s="76" t="n">
        <v>4</v>
      </c>
      <c r="C4" s="62" t="inlineStr">
        <is>
          <t>12 Nov afternoon → 16 Nov midday</t>
        </is>
      </c>
    </row>
    <row r="5" ht="15" customHeight="1" s="56">
      <c r="A5" s="62" t="inlineStr">
        <is>
          <t>Shared inputs are on the Compare sheet. Scroll down for the day-by-day plan and door-to-door travel times.</t>
        </is>
      </c>
    </row>
    <row r="7" ht="31.5" customHeight="1" s="56">
      <c r="A7" s="66" t="inlineStr">
        <is>
          <t>Category</t>
        </is>
      </c>
      <c r="B7" s="66" t="inlineStr">
        <is>
          <t>Item</t>
        </is>
      </c>
      <c r="C7" s="66" t="inlineStr">
        <is>
          <t>Date</t>
        </is>
      </c>
      <c r="D7" s="66" t="inlineStr">
        <is>
          <t>Travel time</t>
        </is>
      </c>
      <c r="E7" s="66" t="inlineStr">
        <is>
          <t>Unit cost (3 ppl)</t>
        </is>
      </c>
      <c r="F7" s="66" t="inlineStr">
        <is>
          <t>Currency</t>
        </is>
      </c>
      <c r="G7" s="66" t="inlineStr">
        <is>
          <t>Qty (3 ppl)</t>
        </is>
      </c>
      <c r="H7" s="66" t="inlineStr">
        <is>
          <t>Total MNT – 3 people</t>
        </is>
      </c>
      <c r="I7" s="66" t="inlineStr">
        <is>
          <t>Unit cost (4 ppl)</t>
        </is>
      </c>
      <c r="J7" s="66" t="inlineStr">
        <is>
          <t>Qty (4 ppl)</t>
        </is>
      </c>
      <c r="K7" s="66" t="inlineStr">
        <is>
          <t>Total MNT – 4 people</t>
        </is>
      </c>
      <c r="L7" s="66" t="inlineStr">
        <is>
          <t>Source / notes</t>
        </is>
      </c>
    </row>
    <row r="8" s="56">
      <c r="A8" s="77" t="inlineStr">
        <is>
          <t>PAID BY UNIVERSITY</t>
        </is>
      </c>
      <c r="B8" s="78" t="n"/>
      <c r="C8" s="78" t="n"/>
      <c r="D8" s="78" t="n"/>
      <c r="E8" s="78" t="n"/>
      <c r="F8" s="78" t="n"/>
      <c r="G8" s="78" t="n"/>
      <c r="H8" s="78" t="n"/>
      <c r="I8" s="78" t="n"/>
      <c r="J8" s="78" t="n"/>
      <c r="K8" s="78" t="n"/>
      <c r="L8" s="78" t="n"/>
    </row>
    <row r="9" s="56">
      <c r="A9" s="79" t="inlineStr">
        <is>
          <t>Flights</t>
        </is>
      </c>
      <c r="B9" s="80" t="n"/>
      <c r="C9" s="80" t="n"/>
      <c r="D9" s="80" t="n"/>
      <c r="E9" s="80" t="n"/>
      <c r="F9" s="80" t="n"/>
      <c r="G9" s="80" t="n"/>
      <c r="H9" s="80" t="n"/>
      <c r="I9" s="80" t="n"/>
      <c r="J9" s="80" t="n"/>
      <c r="K9" s="80" t="n"/>
      <c r="L9" s="80" t="n"/>
    </row>
    <row r="10" ht="60" customHeight="1" s="56">
      <c r="B10" s="111" t="inlineStr">
        <is>
          <t>Air China CA902 Ulaanbaatar 11:50 → Beijing Capital (PEK) 13:55, nonstop, checked bag included</t>
        </is>
      </c>
      <c r="C10" s="83" t="inlineStr">
        <is>
          <t>12 Nov</t>
        </is>
      </c>
      <c r="D10" s="84" t="n">
        <v>0.08680555555555555</v>
      </c>
      <c r="E10" s="85" t="n">
        <v>1291</v>
      </c>
      <c r="F10" s="86" t="inlineStr">
        <is>
          <t>CNY</t>
        </is>
      </c>
      <c r="G10" s="87">
        <f>Compare!$B$6</f>
        <v/>
      </c>
      <c r="H10" s="88">
        <f>E10*G10*IF(F10="USD",Compare!$B$8,IF(F10="CNY",Compare!$B$9,IF(F10="HKD",Compare!$B$10,1)))</f>
        <v/>
      </c>
      <c r="I10" s="89">
        <f>E10</f>
        <v/>
      </c>
      <c r="J10" s="87">
        <f>Compare!$B$7</f>
        <v/>
      </c>
      <c r="K10" s="88">
        <f>I10*J10*IF(F10="USD",Compare!$B$8,IF(F10="CNY",Compare!$B$9,IF(F10="HKD",Compare!$B$10,1)))</f>
        <v/>
      </c>
      <c r="L10" s="112" t="inlineStr">
        <is>
          <t>Ctrip 22 Oct: ¥1,291 pp incl. tax – cheapest of 5 sources (Kiwi $200, Trip.com $203, SlickTrip $316 on 13 Nov, Google Flights unpriced). MIAT OM223 07:30 is ¥1,096 on Ctrip / $167 Kiwi / $172 Google / $154 SlickTrip but means a ~04:00 wake-up. Ctrip needs a Ctrip account (Alipay or a foreign card); Trip.com $203 is the fallback.</t>
        </is>
      </c>
    </row>
    <row r="11" ht="39" customHeight="1" s="56">
      <c r="B11" s="111" t="inlineStr">
        <is>
          <t>Air China CA955 Beijing Capital (PEK) 12:55 → Ulaanbaatar 15:05, nonstop</t>
        </is>
      </c>
      <c r="C11" s="83" t="inlineStr">
        <is>
          <t>16 Nov</t>
        </is>
      </c>
      <c r="D11" s="84" t="n">
        <v>0.09027777777777778</v>
      </c>
      <c r="E11" s="85" t="n">
        <v>171</v>
      </c>
      <c r="F11" s="86" t="inlineStr">
        <is>
          <t>USD</t>
        </is>
      </c>
      <c r="G11" s="87">
        <f>Compare!$B$6</f>
        <v/>
      </c>
      <c r="H11" s="88">
        <f>E11*G11*IF(F11="USD",Compare!$B$8,IF(F11="CNY",Compare!$B$9,IF(F11="HKD",Compare!$B$10,1)))</f>
        <v/>
      </c>
      <c r="I11" s="89">
        <f>E11</f>
        <v/>
      </c>
      <c r="J11" s="87">
        <f>Compare!$B$7</f>
        <v/>
      </c>
      <c r="K11" s="88">
        <f>I11*J11*IF(F11="USD",Compare!$B$8,IF(F11="CNY",Compare!$B$9,IF(F11="HKD",Compare!$B$10,1)))</f>
        <v/>
      </c>
      <c r="L11" s="112" t="inlineStr">
        <is>
          <t>Trip.com 22 Oct: US$171 pp, cheapest that day (MIAT OM224 11:30 US$193 on Trip.com / $176 on SlickTrip; Air China 08:25 $215; Capital + Hunnu via Erenhot $196)</t>
        </is>
      </c>
    </row>
    <row r="12" s="56">
      <c r="A12" s="79" t="inlineStr">
        <is>
          <t>Trains</t>
        </is>
      </c>
      <c r="B12" s="80" t="n"/>
      <c r="C12" s="80" t="n"/>
      <c r="D12" s="80" t="n"/>
      <c r="E12" s="80" t="n"/>
      <c r="F12" s="80" t="n"/>
      <c r="G12" s="80" t="n"/>
      <c r="H12" s="80" t="n"/>
      <c r="I12" s="80" t="n"/>
      <c r="J12" s="80" t="n"/>
      <c r="K12" s="80" t="n"/>
      <c r="L12" s="80" t="n"/>
    </row>
    <row r="13" ht="75" customHeight="1" s="56">
      <c r="B13" s="111" t="inlineStr">
        <is>
          <t>High-speed rail G153 Beijing Chaoyang 17:27 → Shenyang 20:04, 2nd class</t>
        </is>
      </c>
      <c r="C13" s="83" t="inlineStr">
        <is>
          <t>12 Nov (evening)</t>
        </is>
      </c>
      <c r="D13" s="84" t="n">
        <v>0.1090277777777778</v>
      </c>
      <c r="E13" s="85" t="n">
        <v>369</v>
      </c>
      <c r="F13" s="86" t="inlineStr">
        <is>
          <t>CNY</t>
        </is>
      </c>
      <c r="G13" s="87">
        <f>Compare!$B$6</f>
        <v/>
      </c>
      <c r="H13" s="88">
        <f>E13*G13*IF(F13="USD",Compare!$B$8,IF(F13="CNY",Compare!$B$9,IF(F13="HKD",Compare!$B$10,1)))</f>
        <v/>
      </c>
      <c r="I13" s="89">
        <f>E13</f>
        <v/>
      </c>
      <c r="J13" s="87">
        <f>Compare!$B$7</f>
        <v/>
      </c>
      <c r="K13" s="88">
        <f>I13*J13*IF(F13="USD",Compare!$B$8,IF(F13="CNY",Compare!$B$9,IF(F13="HKD",Compare!$B$10,1)))</f>
        <v/>
      </c>
      <c r="L13" s="112" t="inlineStr">
        <is>
          <t>12306 (queried 22 Oct for 5 Nov; fares fixed): ¥369. ChinaTicketOnline confirms G153 on 12 Nov, on sale 29 Oct 10:00. Leaves 3 h 30 min after landing; if the flight is on time, change at the station to G141 16:00 → Shenyang North 18:29 (¥369). Later trains: G155 18:35 / G143 18:48 (¥369–383). Ctrip train list (22 Oct, for 12 Nov) shows the same fares; 12go.asia resells at ~$90 for 1st class.</t>
        </is>
      </c>
    </row>
    <row r="14" ht="51" customHeight="1" s="56">
      <c r="B14" s="111" t="inlineStr">
        <is>
          <t>Overnight train K28 Shenyang 22:24 → Beijing 08:40, hard seat (after the contest)</t>
        </is>
      </c>
      <c r="C14" s="83" t="inlineStr">
        <is>
          <t>15 Nov (night)</t>
        </is>
      </c>
      <c r="D14" s="84" t="n">
        <v>0.4277777777777778</v>
      </c>
      <c r="E14" s="85" t="n">
        <v>112</v>
      </c>
      <c r="F14" s="86" t="inlineStr">
        <is>
          <t>CNY</t>
        </is>
      </c>
      <c r="G14" s="87">
        <f>Compare!$B$6</f>
        <v/>
      </c>
      <c r="H14" s="88">
        <f>E14*G14*IF(F14="USD",Compare!$B$8,IF(F14="CNY",Compare!$B$9,IF(F14="HKD",Compare!$B$10,1)))</f>
        <v/>
      </c>
      <c r="I14" s="89">
        <f>E14</f>
        <v/>
      </c>
      <c r="J14" s="87">
        <f>Compare!$B$7</f>
        <v/>
      </c>
      <c r="K14" s="88">
        <f>I14*J14*IF(F14="USD",Compare!$B$8,IF(F14="CNY",Compare!$B$9,IF(F14="HKD",Compare!$B$10,1)))</f>
        <v/>
      </c>
      <c r="L14" s="112" t="inlineStr">
        <is>
          <t>12306 (5 Nov query): hard seat ¥112 (hard sleeper ¥194). Cheapest train that still makes the 12:55 flight (K96 23:39 ¥102 arrives 11:19 – too late). Lie-flat upgrade: K54 Shenyang North 22:00 → 06:58 hard sleeper ¥171 (+¥59 pp). On sale 1 Nov 09:30 (ChinaTicketOnline confirms 15 Nov).</t>
        </is>
      </c>
    </row>
    <row r="15" s="56">
      <c r="A15" s="79" t="inlineStr">
        <is>
          <t>Accommodation</t>
        </is>
      </c>
      <c r="B15" s="80" t="n"/>
      <c r="C15" s="80" t="n"/>
      <c r="D15" s="80" t="n"/>
      <c r="E15" s="80" t="n"/>
      <c r="F15" s="80" t="n"/>
      <c r="G15" s="80" t="n"/>
      <c r="H15" s="80" t="n"/>
      <c r="I15" s="80" t="n"/>
      <c r="J15" s="80" t="n"/>
      <c r="K15" s="80" t="n"/>
      <c r="L15" s="80" t="n"/>
    </row>
    <row r="16" ht="60" customHeight="1" s="56">
      <c r="B16" s="111" t="inlineStr">
        <is>
          <t>Ji Hotel Sanhao Street, 55 Sanhao St (~940 m to NEU Nanhu, ~15 min walk): 2 Budget Twin rooms, King Koil mattresses, windows, floors 4–16 – a bed each</t>
        </is>
      </c>
      <c r="C16" s="83" t="inlineStr">
        <is>
          <t>12–15 Nov (3 nights)</t>
        </is>
      </c>
      <c r="D16" s="84" t="n"/>
      <c r="E16" s="85" t="n">
        <v>457</v>
      </c>
      <c r="F16" s="86" t="inlineStr">
        <is>
          <t>CNY</t>
        </is>
      </c>
      <c r="G16" s="91" t="n">
        <v>3</v>
      </c>
      <c r="H16" s="88">
        <f>E16*G16*IF(F16="USD",Compare!$B$8,IF(F16="CNY",Compare!$B$9,IF(F16="HKD",Compare!$B$10,1)))</f>
        <v/>
      </c>
      <c r="I16" s="85" t="n">
        <v>457</v>
      </c>
      <c r="J16" s="91" t="n">
        <v>3</v>
      </c>
      <c r="K16" s="88">
        <f>I16*J16*IF(F16="USD",Compare!$B$8,IF(F16="CNY",Compare!$B$9,IF(F16="HKD",Compare!$B$10,1)))</f>
        <v/>
      </c>
      <c r="L16" s="112" t="inlineStr">
        <is>
          <t>Trip.com 22 Oct: ¥1,371 for 2 rooms × 3 nights incl. taxes, free cancellation until 18:00 on 11 Nov (prepay); same price for 3 or 4 adults. 9.0 from 1,433 reviews; 16 m² rooms high in an office tower, above the street. Breakfast ¥40 optional.</t>
        </is>
      </c>
    </row>
    <row r="17" s="56">
      <c r="A17" s="79" t="inlineStr">
        <is>
          <t>Meals &amp; local transport</t>
        </is>
      </c>
      <c r="B17" s="80" t="n"/>
      <c r="C17" s="80" t="n"/>
      <c r="D17" s="80" t="n"/>
      <c r="E17" s="80" t="n"/>
      <c r="F17" s="80" t="n"/>
      <c r="G17" s="80" t="n"/>
      <c r="H17" s="80" t="n"/>
      <c r="I17" s="80" t="n"/>
      <c r="J17" s="80" t="n"/>
      <c r="K17" s="80" t="n"/>
      <c r="L17" s="80" t="n"/>
    </row>
    <row r="18" ht="30" customHeight="1" s="56">
      <c r="B18" s="111" t="inlineStr">
        <is>
          <t>Meals</t>
        </is>
      </c>
      <c r="C18" s="83" t="inlineStr">
        <is>
          <t>in destination</t>
        </is>
      </c>
      <c r="D18" s="84" t="n"/>
      <c r="E18" s="113" t="n">
        <v>80</v>
      </c>
      <c r="F18" s="86" t="inlineStr">
        <is>
          <t>CNY</t>
        </is>
      </c>
      <c r="G18" s="87">
        <f>Compare!$B$6*$B$4</f>
        <v/>
      </c>
      <c r="H18" s="88">
        <f>E18*G18*IF(F18="USD",Compare!$B$8,IF(F18="CNY",Compare!$B$9,IF(F18="HKD",Compare!$B$10,1)))</f>
        <v/>
      </c>
      <c r="I18" s="114">
        <f>E18</f>
        <v/>
      </c>
      <c r="J18" s="87">
        <f>Compare!$B$7*$B$4</f>
        <v/>
      </c>
      <c r="K18" s="88">
        <f>I18*J18*IF(F18="USD",Compare!$B$8,IF(F18="CNY",Compare!$B$9,IF(F18="HKD",Compare!$B$10,1)))</f>
        <v/>
      </c>
      <c r="L18" s="112" t="inlineStr">
        <is>
          <t>ASSUMPTION 80 CNY/person/day; hosts usually provide some meals on contest days</t>
        </is>
      </c>
    </row>
    <row r="19" ht="30" customHeight="1" s="56">
      <c r="B19" s="111" t="inlineStr">
        <is>
          <t>Local transport (metro, taxis)</t>
        </is>
      </c>
      <c r="C19" s="83" t="inlineStr">
        <is>
          <t>in destination</t>
        </is>
      </c>
      <c r="D19" s="84" t="n"/>
      <c r="E19" s="113" t="n">
        <v>30</v>
      </c>
      <c r="F19" s="86" t="inlineStr">
        <is>
          <t>CNY</t>
        </is>
      </c>
      <c r="G19" s="87">
        <f>Compare!$B$6*$B$4</f>
        <v/>
      </c>
      <c r="H19" s="88">
        <f>E19*G19*IF(F19="USD",Compare!$B$8,IF(F19="CNY",Compare!$B$9,IF(F19="HKD",Compare!$B$10,1)))</f>
        <v/>
      </c>
      <c r="I19" s="114">
        <f>E19</f>
        <v/>
      </c>
      <c r="J19" s="87">
        <f>Compare!$B$7*$B$4</f>
        <v/>
      </c>
      <c r="K19" s="88">
        <f>I19*J19*IF(F19="USD",Compare!$B$8,IF(F19="CNY",Compare!$B$9,IF(F19="HKD",Compare!$B$10,1)))</f>
        <v/>
      </c>
      <c r="L19" s="112" t="inlineStr">
        <is>
          <t>ASSUMPTION 30 CNY/person/day</t>
        </is>
      </c>
    </row>
    <row r="20" ht="30" customHeight="1" s="56">
      <c r="B20" s="111" t="inlineStr">
        <is>
          <t>Taxi PEK → Beijing Chaoyang station</t>
        </is>
      </c>
      <c r="C20" s="83" t="inlineStr">
        <is>
          <t>12 Nov</t>
        </is>
      </c>
      <c r="D20" s="84" t="n"/>
      <c r="E20" s="113" t="n">
        <v>120</v>
      </c>
      <c r="F20" s="86" t="inlineStr">
        <is>
          <t>CNY</t>
        </is>
      </c>
      <c r="G20" s="91" t="n">
        <v>1</v>
      </c>
      <c r="H20" s="88">
        <f>E20*G20*IF(F20="USD",Compare!$B$8,IF(F20="CNY",Compare!$B$9,IF(F20="HKD",Compare!$B$10,1)))</f>
        <v/>
      </c>
      <c r="I20" s="114">
        <f>E20</f>
        <v/>
      </c>
      <c r="J20" s="91" t="n">
        <v>1</v>
      </c>
      <c r="K20" s="88">
        <f>I20*J20*IF(F20="USD",Compare!$B$8,IF(F20="CNY",Compare!$B$9,IF(F20="HKD",Compare!$B$10,1)))</f>
        <v/>
      </c>
      <c r="L20" s="112" t="inlineStr">
        <is>
          <t>ASSUMPTION ~120 CNY per car, ~40 km (4 ppl may need an XL car)</t>
        </is>
      </c>
    </row>
    <row r="21" ht="30" customHeight="1" s="56">
      <c r="B21" s="111" t="inlineStr">
        <is>
          <t>Metro line 2 + Airport Express, Beijing station → PEK T3</t>
        </is>
      </c>
      <c r="C21" s="83" t="inlineStr">
        <is>
          <t>16 Nov</t>
        </is>
      </c>
      <c r="D21" s="84" t="n"/>
      <c r="E21" s="113" t="n">
        <v>30</v>
      </c>
      <c r="F21" s="86" t="inlineStr">
        <is>
          <t>CNY</t>
        </is>
      </c>
      <c r="G21" s="87">
        <f>Compare!$B$6</f>
        <v/>
      </c>
      <c r="H21" s="88">
        <f>E21*G21*IF(F21="USD",Compare!$B$8,IF(F21="CNY",Compare!$B$9,IF(F21="HKD",Compare!$B$10,1)))</f>
        <v/>
      </c>
      <c r="I21" s="114">
        <f>E21</f>
        <v/>
      </c>
      <c r="J21" s="87">
        <f>Compare!$B$7</f>
        <v/>
      </c>
      <c r="K21" s="88">
        <f>I21*J21*IF(F21="USD",Compare!$B$8,IF(F21="CNY",Compare!$B$9,IF(F21="HKD",Compare!$B$10,1)))</f>
        <v/>
      </c>
      <c r="L21" s="112" t="inlineStr">
        <is>
          <t>ASSUMPTION Airport Express ¥25 + metro ¥4–5 pp</t>
        </is>
      </c>
    </row>
    <row r="22" s="56">
      <c r="A22" s="94" t="inlineStr">
        <is>
          <t>PAID PERSONALLY (university won't cover)</t>
        </is>
      </c>
      <c r="B22" s="95" t="n"/>
      <c r="C22" s="95" t="n"/>
      <c r="D22" s="95" t="n"/>
      <c r="E22" s="95" t="n"/>
      <c r="F22" s="95" t="n"/>
      <c r="G22" s="95" t="n"/>
      <c r="H22" s="95" t="n"/>
      <c r="I22" s="95" t="n"/>
      <c r="J22" s="95" t="n"/>
      <c r="K22" s="95" t="n"/>
      <c r="L22" s="95" t="n"/>
    </row>
    <row r="23" s="56">
      <c r="A23" s="79" t="inlineStr">
        <is>
          <t>Contest fee</t>
        </is>
      </c>
      <c r="B23" s="80" t="n"/>
      <c r="C23" s="80" t="n"/>
      <c r="D23" s="80" t="n"/>
      <c r="E23" s="80" t="n"/>
      <c r="F23" s="80" t="n"/>
      <c r="G23" s="80" t="n"/>
      <c r="H23" s="80" t="n"/>
      <c r="I23" s="80" t="n"/>
      <c r="J23" s="80" t="n"/>
      <c r="K23" s="80" t="n"/>
      <c r="L23" s="80" t="n"/>
    </row>
    <row r="24" ht="30" customHeight="1" s="56">
      <c r="B24" s="111" t="inlineStr">
        <is>
          <t>Shenyang regional registration fee (per team)</t>
        </is>
      </c>
      <c r="C24" s="83" t="inlineStr">
        <is>
          <t>pay when invited</t>
        </is>
      </c>
      <c r="D24" s="84" t="n"/>
      <c r="E24" s="113" t="n">
        <v>1500</v>
      </c>
      <c r="F24" s="86" t="inlineStr">
        <is>
          <t>CNY</t>
        </is>
      </c>
      <c r="G24" s="91" t="n">
        <v>1</v>
      </c>
      <c r="H24" s="88">
        <f>E24*G24*IF(F24="USD",Compare!$B$8,IF(F24="CNY",Compare!$B$9,IF(F24="HKD",Compare!$B$10,1)))</f>
        <v/>
      </c>
      <c r="I24" s="114">
        <f>E24</f>
        <v/>
      </c>
      <c r="J24" s="91" t="n">
        <v>1</v>
      </c>
      <c r="K24" s="88">
        <f>I24*J24*IF(F24="USD",Compare!$B$8,IF(F24="CNY",Compare!$B$9,IF(F24="HKD",Compare!$B$10,1)))</f>
        <v/>
      </c>
      <c r="L24" s="112" t="inlineStr">
        <is>
          <t>ASSUMPTION: 1,500 CNY/team like recent EC regionals; the 2026 Shenyang invitation was not found on 22 Oct</t>
        </is>
      </c>
    </row>
    <row r="25" s="56">
      <c r="A25" s="79" t="inlineStr">
        <is>
          <t>Other</t>
        </is>
      </c>
      <c r="B25" s="80" t="n"/>
      <c r="C25" s="80" t="n"/>
      <c r="D25" s="80" t="n"/>
      <c r="E25" s="80" t="n"/>
      <c r="F25" s="80" t="n"/>
      <c r="G25" s="80" t="n"/>
      <c r="H25" s="80" t="n"/>
      <c r="I25" s="80" t="n"/>
      <c r="J25" s="80" t="n"/>
      <c r="K25" s="80" t="n"/>
      <c r="L25" s="80" t="n"/>
    </row>
    <row r="26" ht="30" customHeight="1" s="56">
      <c r="B26" s="111" t="inlineStr">
        <is>
          <t>Taxi to/from Chinggis Khaan airport (UB), per trip</t>
        </is>
      </c>
      <c r="C26" s="83" t="inlineStr">
        <is>
          <t>out &amp; back</t>
        </is>
      </c>
      <c r="D26" s="84" t="n">
        <v>0.04166666666666666</v>
      </c>
      <c r="E26" s="113" t="n">
        <v>100000</v>
      </c>
      <c r="F26" s="86" t="inlineStr">
        <is>
          <t>MNT</t>
        </is>
      </c>
      <c r="G26" s="91" t="n">
        <v>2</v>
      </c>
      <c r="H26" s="88">
        <f>E26*G26*IF(F26="USD",Compare!$B$8,IF(F26="CNY",Compare!$B$9,IF(F26="HKD",Compare!$B$10,1)))</f>
        <v/>
      </c>
      <c r="I26" s="114">
        <f>E26</f>
        <v/>
      </c>
      <c r="J26" s="91" t="n">
        <v>2</v>
      </c>
      <c r="K26" s="88">
        <f>I26*J26*IF(F26="USD",Compare!$B$8,IF(F26="CNY",Compare!$B$9,IF(F26="HKD",Compare!$B$10,1)))</f>
        <v/>
      </c>
      <c r="L26" s="112" t="inlineStr">
        <is>
          <t>ASSUMPTION 100k MNT per trip for the group</t>
        </is>
      </c>
    </row>
    <row r="27" ht="30" customHeight="1" s="56">
      <c r="B27" s="111" t="inlineStr">
        <is>
          <t>Travel medical insurance</t>
        </is>
      </c>
      <c r="C27" s="83" t="n"/>
      <c r="D27" s="84" t="n"/>
      <c r="E27" s="113" t="n">
        <v>30000</v>
      </c>
      <c r="F27" s="86" t="inlineStr">
        <is>
          <t>MNT</t>
        </is>
      </c>
      <c r="G27" s="87">
        <f>Compare!$B$6</f>
        <v/>
      </c>
      <c r="H27" s="88">
        <f>E27*G27*IF(F27="USD",Compare!$B$8,IF(F27="CNY",Compare!$B$9,IF(F27="HKD",Compare!$B$10,1)))</f>
        <v/>
      </c>
      <c r="I27" s="114">
        <f>E27</f>
        <v/>
      </c>
      <c r="J27" s="87">
        <f>Compare!$B$7</f>
        <v/>
      </c>
      <c r="K27" s="88">
        <f>I27*J27*IF(F27="USD",Compare!$B$8,IF(F27="CNY",Compare!$B$9,IF(F27="HKD",Compare!$B$10,1)))</f>
        <v/>
      </c>
      <c r="L27" s="112" t="inlineStr">
        <is>
          <t>ASSUMPTION ~30k MNT per person, Mongolian insurer</t>
        </is>
      </c>
    </row>
    <row r="28" ht="30" customHeight="1" s="56">
      <c r="B28" s="111" t="inlineStr">
        <is>
          <t>Mobile data eSIM</t>
        </is>
      </c>
      <c r="C28" s="83" t="n"/>
      <c r="D28" s="84" t="n"/>
      <c r="E28" s="113" t="n">
        <v>10</v>
      </c>
      <c r="F28" s="86" t="inlineStr">
        <is>
          <t>USD</t>
        </is>
      </c>
      <c r="G28" s="87">
        <f>Compare!$B$6</f>
        <v/>
      </c>
      <c r="H28" s="88">
        <f>E28*G28*IF(F28="USD",Compare!$B$8,IF(F28="CNY",Compare!$B$9,IF(F28="HKD",Compare!$B$10,1)))</f>
        <v/>
      </c>
      <c r="I28" s="114">
        <f>E28</f>
        <v/>
      </c>
      <c r="J28" s="87">
        <f>Compare!$B$7</f>
        <v/>
      </c>
      <c r="K28" s="88">
        <f>I28*J28*IF(F28="USD",Compare!$B$8,IF(F28="CNY",Compare!$B$9,IF(F28="HKD",Compare!$B$10,1)))</f>
        <v/>
      </c>
      <c r="L28" s="112" t="inlineStr">
        <is>
          <t>ASSUMPTION ~$10 pp</t>
        </is>
      </c>
    </row>
    <row r="29" ht="30" customHeight="1" s="56">
      <c r="B29" s="111" t="inlineStr">
        <is>
          <t>Visa</t>
        </is>
      </c>
      <c r="C29" s="83" t="n"/>
      <c r="D29" s="84" t="n"/>
      <c r="E29" s="85" t="n">
        <v>0</v>
      </c>
      <c r="F29" s="86" t="inlineStr">
        <is>
          <t>MNT</t>
        </is>
      </c>
      <c r="G29" s="87">
        <f>Compare!$B$6</f>
        <v/>
      </c>
      <c r="H29" s="88">
        <f>E29*G29*IF(F29="USD",Compare!$B$8,IF(F29="CNY",Compare!$B$9,IF(F29="HKD",Compare!$B$10,1)))</f>
        <v/>
      </c>
      <c r="I29" s="89">
        <f>E29</f>
        <v/>
      </c>
      <c r="J29" s="87">
        <f>Compare!$B$7</f>
        <v/>
      </c>
      <c r="K29" s="88">
        <f>I29*J29*IF(F29="USD",Compare!$B$8,IF(F29="CNY",Compare!$B$9,IF(F29="HKD",Compare!$B$10,1)))</f>
        <v/>
      </c>
      <c r="L29" s="112" t="inlineStr">
        <is>
          <t>Mongolian passports: visa-free (mainland China up to 30 days; Hong Kong up to 14 days)</t>
        </is>
      </c>
    </row>
    <row r="30" s="56"/>
    <row r="31" s="56">
      <c r="G31" s="60" t="n"/>
      <c r="H31" s="96" t="inlineStr">
        <is>
          <t>3 people – UNFUNDED</t>
        </is>
      </c>
      <c r="K31" s="96" t="inlineStr">
        <is>
          <t>4 people – FUNDED ₮12M</t>
        </is>
      </c>
    </row>
    <row r="32" s="56">
      <c r="G32" s="97" t="inlineStr">
        <is>
          <t>University-paid subtotal</t>
        </is>
      </c>
      <c r="H32" s="98">
        <f>SUM(H9:H21)</f>
        <v/>
      </c>
      <c r="K32" s="98">
        <f>SUM(K9:K21)</f>
        <v/>
      </c>
    </row>
    <row r="33" s="56">
      <c r="G33" s="99" t="inlineStr">
        <is>
          <t>Contingency</t>
        </is>
      </c>
      <c r="H33" s="100">
        <f>H32*Compare!$B$11</f>
        <v/>
      </c>
      <c r="K33" s="100">
        <f>K32*Compare!$B$11</f>
        <v/>
      </c>
    </row>
    <row r="34" s="56">
      <c r="G34" s="97" t="inlineStr">
        <is>
          <t>University-paid total incl. contingency</t>
        </is>
      </c>
      <c r="H34" s="98">
        <f>H32+H33</f>
        <v/>
      </c>
      <c r="K34" s="98">
        <f>K32+K33</f>
        <v/>
      </c>
    </row>
    <row r="35" s="56">
      <c r="G35" s="97" t="inlineStr">
        <is>
          <t>Funding left (negative = over)</t>
        </is>
      </c>
      <c r="H35" s="101">
        <f>Compare!$B$12-H34</f>
        <v/>
      </c>
      <c r="K35" s="101">
        <f>Compare!$B$5-K34</f>
        <v/>
      </c>
    </row>
    <row r="36" s="56">
      <c r="G36" s="97" t="inlineStr">
        <is>
          <t>Personal costs – team</t>
        </is>
      </c>
      <c r="H36" s="102">
        <f>SUM(H23:H29)</f>
        <v/>
      </c>
      <c r="K36" s="102">
        <f>SUM(K23:K29)</f>
        <v/>
      </c>
    </row>
    <row r="37" s="56">
      <c r="G37" s="97" t="inlineStr">
        <is>
          <t>Out-of-pocket per person (personal + any overrun)</t>
        </is>
      </c>
      <c r="H37" s="102">
        <f>(H36+MAX(0,-H35))/Compare!$B$6</f>
        <v/>
      </c>
      <c r="K37" s="102">
        <f>(K36+MAX(0,-K35))/Compare!$B$7</f>
        <v/>
      </c>
    </row>
    <row r="38" s="56">
      <c r="G38" s="97" t="inlineStr">
        <is>
          <t>Whole trip cost (university + personal)</t>
        </is>
      </c>
      <c r="H38" s="103">
        <f>H34+H36</f>
        <v/>
      </c>
      <c r="K38" s="103">
        <f>K34+K36</f>
        <v/>
      </c>
    </row>
    <row r="39" s="56">
      <c r="G39" s="99" t="inlineStr">
        <is>
          <t>Time in planes &amp; trains</t>
        </is>
      </c>
      <c r="H39" s="104">
        <f>SUM(D10:D11)+SUM(D13:D14)</f>
        <v/>
      </c>
      <c r="K39" s="104">
        <f>SUM(D10:D11)+SUM(D13:D14)</f>
        <v/>
      </c>
    </row>
    <row r="40" s="56"/>
    <row r="41" s="56">
      <c r="A41" s="72" t="inlineStr">
        <is>
          <t>Key facts</t>
        </is>
      </c>
    </row>
    <row r="42" ht="30" customHeight="1" s="56">
      <c r="A42" s="75" t="inlineStr">
        <is>
          <t>Contest</t>
        </is>
      </c>
      <c r="B42" s="74" t="inlineStr">
        <is>
          <t>Asia Shenyang Regional, 14–15 Nov 2026 (provisional; the 2026 invitation was not found on 22 Oct), Northeastern University Nanhu campus (2024 and 2025 venue). Assumed: day 1 registration + practice, contest 15 Nov 09:00–14:00, awards ~17:00.</t>
        </is>
      </c>
    </row>
    <row r="43" ht="30" customHeight="1" s="56">
      <c r="A43" s="75" t="inlineStr">
        <is>
          <t>Why this plan</t>
        </is>
      </c>
      <c r="B43" s="74" t="inlineStr">
        <is>
          <t>Same sleep quantity as 'Sleep first' (no alarm before ~08:00, three hotel nights, rest day on 13 Nov) and still a bed each: two twin rooms with King Koil mattresses (Huazhu's Ji Hotel, 9.0 from 1,433 reviews) high in an office tower, for ¥1,017 less than NEU International.</t>
        </is>
      </c>
    </row>
    <row r="44" ht="30" customHeight="1" s="56">
      <c r="A44" s="75" t="inlineStr">
        <is>
          <t>Trade-off</t>
        </is>
      </c>
      <c r="B44" s="74" t="inlineStr">
        <is>
          <t>Smaller rooms (16 m² vs 38 m²) and a ~15-minute walk (wake ~06:50 instead of 07:00). After the contest the same cheapest way home: K28 hard seat (K54 hard sleeper +¥59 pp) and Air China 12:55.</t>
        </is>
      </c>
    </row>
    <row r="45" ht="15" customHeight="1" s="56">
      <c r="A45" s="75" t="inlineStr">
        <is>
          <t>Book</t>
        </is>
      </c>
      <c r="B45" s="74" t="inlineStr">
        <is>
          <t>Air China CA902 on Ctrip now (¥1,291; Trip.com $203 as fallback); hotel now (free cancellation until 18:00 on 11 Nov, prepaid); G153 on 12306 at 10:00 on 29 Oct; K28 at 09:30 on 1 Nov.</t>
        </is>
      </c>
    </row>
    <row r="46" s="56"/>
    <row r="47" s="56">
      <c r="A47" s="72" t="inlineStr">
        <is>
          <t>Day-by-day plan</t>
        </is>
      </c>
    </row>
    <row r="48" s="56">
      <c r="A48" s="96" t="inlineStr">
        <is>
          <t>Date</t>
        </is>
      </c>
      <c r="B48" s="96" t="inlineStr">
        <is>
          <t>Sleep in</t>
        </is>
      </c>
      <c r="C48" s="96" t="inlineStr">
        <is>
          <t>What happens</t>
        </is>
      </c>
    </row>
    <row r="49" ht="30" customHeight="1" s="56">
      <c r="A49" s="74" t="inlineStr">
        <is>
          <t>Thu 12 Nov</t>
        </is>
      </c>
      <c r="B49" s="74" t="inlineStr">
        <is>
          <t>Shenyang</t>
        </is>
      </c>
      <c r="C49" s="74" t="inlineStr">
        <is>
          <t>Wake ~08:00. Air China CA902 UB 11:50 → Beijing Capital 13:55; taxi to Beijing Chaoyang; G153 17:27 → Shenyang 20:04 (G141 16:00 if early); taxi to Ji Hotel Sanhao Street. Bed by ~23:00.</t>
        </is>
      </c>
    </row>
    <row r="50" ht="15" customHeight="1" s="56">
      <c r="A50" s="74" t="inlineStr">
        <is>
          <t>Fri 13 Nov</t>
        </is>
      </c>
      <c r="B50" s="74" t="inlineStr">
        <is>
          <t>Shenyang</t>
        </is>
      </c>
      <c r="C50" s="74" t="inlineStr">
        <is>
          <t>Free rest day: no alarm, light practice, walk the ~15-minute route to the venue.</t>
        </is>
      </c>
    </row>
    <row r="51" ht="15" customHeight="1" s="56">
      <c r="A51" s="74" t="inlineStr">
        <is>
          <t>Sat 14 Nov</t>
        </is>
      </c>
      <c r="B51" s="74" t="inlineStr">
        <is>
          <t>Shenyang</t>
        </is>
      </c>
      <c r="C51" s="74" t="inlineStr">
        <is>
          <t>Registration, opening and practice at NEU Nanhu. Lights out ~22:30.</t>
        </is>
      </c>
    </row>
    <row r="52" ht="30" customHeight="1" s="56">
      <c r="A52" s="74" t="inlineStr">
        <is>
          <t>Sun 15 Nov</t>
        </is>
      </c>
      <c r="B52" s="74" t="inlineStr">
        <is>
          <t>Train (seat)</t>
        </is>
      </c>
      <c r="C52" s="74" t="inlineStr">
        <is>
          <t>CONTEST. Wake ~06:50, walk ~15 min. Check out before leaving, luggage stored at the hotel. Awards ~17:00; taxi to Shenyang station; K28 22:24 hard seat → Beijing 08:40.</t>
        </is>
      </c>
    </row>
    <row r="53" ht="15" customHeight="1" s="56">
      <c r="A53" s="74" t="inlineStr">
        <is>
          <t>Mon 16 Nov</t>
        </is>
      </c>
      <c r="B53" s="74" t="inlineStr">
        <is>
          <t>Home</t>
        </is>
      </c>
      <c r="C53" s="74" t="inlineStr">
        <is>
          <t>Metro line 2 + Airport Express to PEK T3 (~1 h). Air China 12:55 → UB 15:05.</t>
        </is>
      </c>
    </row>
    <row r="54" s="56"/>
    <row r="55" s="56">
      <c r="A55" s="72" t="inlineStr">
        <is>
          <t>Door-to-door travel times</t>
        </is>
      </c>
    </row>
    <row r="56" s="56">
      <c r="A56" s="96" t="inlineStr">
        <is>
          <t>Date</t>
        </is>
      </c>
      <c r="B56" s="96" t="inlineStr">
        <is>
          <t>Leg</t>
        </is>
      </c>
      <c r="C56" s="96" t="inlineStr">
        <is>
          <t>Mode</t>
        </is>
      </c>
      <c r="D56" s="96" t="inlineStr">
        <is>
          <t>Expected time</t>
        </is>
      </c>
      <c r="E56" s="96" t="inlineStr">
        <is>
          <t>Notes</t>
        </is>
      </c>
    </row>
    <row r="57" s="56">
      <c r="A57" s="105" t="inlineStr">
        <is>
          <t>12 Nov</t>
        </is>
      </c>
      <c r="B57" s="105" t="inlineStr">
        <is>
          <t>Home → Chinggis Khaan airport</t>
        </is>
      </c>
      <c r="C57" s="82" t="inlineStr">
        <is>
          <t>Taxi (~50 km)</t>
        </is>
      </c>
      <c r="D57" s="104" t="n">
        <v>0.04166666666666666</v>
      </c>
      <c r="E57" s="106" t="inlineStr">
        <is>
          <t>Leave ~09:15 for the 11:50 flight; wake ~08:00</t>
        </is>
      </c>
      <c r="F57" s="107" t="n"/>
      <c r="G57" s="107" t="n"/>
      <c r="H57" s="107" t="n"/>
      <c r="I57" s="107" t="n"/>
      <c r="J57" s="107" t="n"/>
      <c r="K57" s="107" t="n"/>
      <c r="L57" s="107" t="n"/>
    </row>
    <row r="58" s="56">
      <c r="A58" s="105" t="inlineStr">
        <is>
          <t>12 Nov</t>
        </is>
      </c>
      <c r="B58" s="105" t="inlineStr">
        <is>
          <t>Ulaanbaatar → Beijing (PEK)</t>
        </is>
      </c>
      <c r="C58" s="82" t="inlineStr">
        <is>
          <t>Air China CA902 11:50–13:55</t>
        </is>
      </c>
      <c r="D58" s="104" t="n">
        <v>0.08680555555555555</v>
      </c>
      <c r="E58" s="106" t="n"/>
      <c r="F58" s="107" t="n"/>
      <c r="G58" s="107" t="n"/>
      <c r="H58" s="107" t="n"/>
      <c r="I58" s="107" t="n"/>
      <c r="J58" s="107" t="n"/>
      <c r="K58" s="107" t="n"/>
      <c r="L58" s="107" t="n"/>
    </row>
    <row r="59" s="56">
      <c r="A59" s="105" t="inlineStr">
        <is>
          <t>12 Nov</t>
        </is>
      </c>
      <c r="B59" s="105" t="inlineStr">
        <is>
          <t>PEK arrival: immigration, bags</t>
        </is>
      </c>
      <c r="C59" s="82" t="inlineStr">
        <is>
          <t>—</t>
        </is>
      </c>
      <c r="D59" s="104" t="n">
        <v>0.03125</v>
      </c>
      <c r="E59" s="106" t="inlineStr">
        <is>
          <t>Estimate</t>
        </is>
      </c>
      <c r="F59" s="107" t="n"/>
      <c r="G59" s="107" t="n"/>
      <c r="H59" s="107" t="n"/>
      <c r="I59" s="107" t="n"/>
      <c r="J59" s="107" t="n"/>
      <c r="K59" s="107" t="n"/>
      <c r="L59" s="107" t="n"/>
    </row>
    <row r="60" s="56">
      <c r="A60" s="105" t="inlineStr">
        <is>
          <t>12 Nov</t>
        </is>
      </c>
      <c r="B60" s="105" t="inlineStr">
        <is>
          <t>PEK → Beijing Chaoyang station</t>
        </is>
      </c>
      <c r="C60" s="82" t="inlineStr">
        <is>
          <t>Taxi (~40 km)</t>
        </is>
      </c>
      <c r="D60" s="104" t="n">
        <v>0.03472222222222222</v>
      </c>
      <c r="E60" s="106" t="inlineStr">
        <is>
          <t>Estimate; at the station ~15:30, G153 at 17:27 (or G141 16:00)</t>
        </is>
      </c>
      <c r="F60" s="107" t="n"/>
      <c r="G60" s="107" t="n"/>
      <c r="H60" s="107" t="n"/>
      <c r="I60" s="107" t="n"/>
      <c r="J60" s="107" t="n"/>
      <c r="K60" s="107" t="n"/>
      <c r="L60" s="107" t="n"/>
    </row>
    <row r="61" s="56">
      <c r="A61" s="105" t="inlineStr">
        <is>
          <t>12 Nov</t>
        </is>
      </c>
      <c r="B61" s="105" t="inlineStr">
        <is>
          <t>Beijing Chaoyang → Shenyang</t>
        </is>
      </c>
      <c r="C61" s="82" t="inlineStr">
        <is>
          <t>G153 2nd class 17:27–20:04</t>
        </is>
      </c>
      <c r="D61" s="104" t="n">
        <v>0.1090277777777778</v>
      </c>
      <c r="E61" s="106" t="n"/>
      <c r="F61" s="107" t="n"/>
      <c r="G61" s="107" t="n"/>
      <c r="H61" s="107" t="n"/>
      <c r="I61" s="107" t="n"/>
      <c r="J61" s="107" t="n"/>
      <c r="K61" s="107" t="n"/>
      <c r="L61" s="107" t="n"/>
    </row>
    <row r="62" s="56">
      <c r="A62" s="105" t="inlineStr">
        <is>
          <t>12 Nov</t>
        </is>
      </c>
      <c r="B62" s="105" t="inlineStr">
        <is>
          <t>Shenyang station → hotel</t>
        </is>
      </c>
      <c r="C62" s="82" t="inlineStr">
        <is>
          <t>Taxi (~4 km)</t>
        </is>
      </c>
      <c r="D62" s="104" t="n">
        <v>0.01388888888888889</v>
      </c>
      <c r="E62" s="106" t="inlineStr">
        <is>
          <t>Check in ~20:30</t>
        </is>
      </c>
      <c r="F62" s="107" t="n"/>
      <c r="G62" s="107" t="n"/>
      <c r="H62" s="107" t="n"/>
      <c r="I62" s="107" t="n"/>
      <c r="J62" s="107" t="n"/>
      <c r="K62" s="107" t="n"/>
      <c r="L62" s="107" t="n"/>
    </row>
    <row r="63" s="56">
      <c r="A63" s="105" t="inlineStr">
        <is>
          <t>13–15 Nov</t>
        </is>
      </c>
      <c r="B63" s="105" t="inlineStr">
        <is>
          <t>Hotel ↔ NEU Nanhu (each way)</t>
        </is>
      </c>
      <c r="C63" s="82" t="inlineStr">
        <is>
          <t>Walk</t>
        </is>
      </c>
      <c r="D63" s="104" t="inlineStr">
        <is>
          <t>daily</t>
        </is>
      </c>
      <c r="E63" s="106" t="inlineStr">
        <is>
          <t>~15 min walk (Ji Hotel, 940 m straight line)</t>
        </is>
      </c>
      <c r="F63" s="107" t="n"/>
      <c r="G63" s="107" t="n"/>
      <c r="H63" s="107" t="n"/>
      <c r="I63" s="107" t="n"/>
      <c r="J63" s="107" t="n"/>
      <c r="K63" s="107" t="n"/>
      <c r="L63" s="107" t="n"/>
    </row>
    <row r="64" s="56">
      <c r="A64" s="105" t="inlineStr">
        <is>
          <t>15 Nov</t>
        </is>
      </c>
      <c r="B64" s="105" t="inlineStr">
        <is>
          <t>NEU Nanhu → Shenyang station</t>
        </is>
      </c>
      <c r="C64" s="82" t="inlineStr">
        <is>
          <t>Taxi</t>
        </is>
      </c>
      <c r="D64" s="104" t="n">
        <v>0.01388888888888889</v>
      </c>
      <c r="E64" s="106" t="n"/>
      <c r="F64" s="107" t="n"/>
      <c r="G64" s="107" t="n"/>
      <c r="H64" s="107" t="n"/>
      <c r="I64" s="107" t="n"/>
      <c r="J64" s="107" t="n"/>
      <c r="K64" s="107" t="n"/>
      <c r="L64" s="107" t="n"/>
    </row>
    <row r="65" s="56">
      <c r="A65" s="105" t="inlineStr">
        <is>
          <t>15–16 Nov</t>
        </is>
      </c>
      <c r="B65" s="105" t="inlineStr">
        <is>
          <t>Shenyang → Beijing</t>
        </is>
      </c>
      <c r="C65" s="82" t="inlineStr">
        <is>
          <t>K28 hard seat 22:24–08:40</t>
        </is>
      </c>
      <c r="D65" s="104" t="n">
        <v>0.4277777777777778</v>
      </c>
      <c r="E65" s="106" t="inlineStr">
        <is>
          <t>Overnight, after the contest</t>
        </is>
      </c>
      <c r="F65" s="107" t="n"/>
      <c r="G65" s="107" t="n"/>
      <c r="H65" s="107" t="n"/>
      <c r="I65" s="107" t="n"/>
      <c r="J65" s="107" t="n"/>
      <c r="K65" s="107" t="n"/>
      <c r="L65" s="107" t="n"/>
    </row>
    <row r="66" s="56">
      <c r="A66" s="105" t="inlineStr">
        <is>
          <t>16 Nov</t>
        </is>
      </c>
      <c r="B66" s="105" t="inlineStr">
        <is>
          <t>Beijing station → PEK</t>
        </is>
      </c>
      <c r="C66" s="82" t="inlineStr">
        <is>
          <t>Metro line 2 + Airport Express</t>
        </is>
      </c>
      <c r="D66" s="104" t="n">
        <v>0.04166666666666666</v>
      </c>
      <c r="E66" s="106" t="inlineStr">
        <is>
          <t>Be at PEK by ~10:55</t>
        </is>
      </c>
      <c r="F66" s="107" t="n"/>
      <c r="G66" s="107" t="n"/>
      <c r="H66" s="107" t="n"/>
      <c r="I66" s="107" t="n"/>
      <c r="J66" s="107" t="n"/>
      <c r="K66" s="107" t="n"/>
      <c r="L66" s="107" t="n"/>
    </row>
    <row r="67" s="56">
      <c r="A67" s="105" t="inlineStr">
        <is>
          <t>16 Nov</t>
        </is>
      </c>
      <c r="B67" s="105" t="inlineStr">
        <is>
          <t>Beijing (PEK) → Ulaanbaatar</t>
        </is>
      </c>
      <c r="C67" s="82" t="inlineStr">
        <is>
          <t>Air China 12:55–15:05</t>
        </is>
      </c>
      <c r="D67" s="104" t="n">
        <v>0.09027777777777778</v>
      </c>
      <c r="E67" s="106" t="n"/>
      <c r="F67" s="107" t="n"/>
      <c r="G67" s="107" t="n"/>
      <c r="H67" s="107" t="n"/>
      <c r="I67" s="107" t="n"/>
      <c r="J67" s="107" t="n"/>
      <c r="K67" s="107" t="n"/>
      <c r="L67" s="107" t="n"/>
    </row>
    <row r="68" s="56">
      <c r="A68" s="105" t="inlineStr">
        <is>
          <t>16 Nov</t>
        </is>
      </c>
      <c r="B68" s="105" t="inlineStr">
        <is>
          <t>Chinggis Khaan airport → home</t>
        </is>
      </c>
      <c r="C68" s="82" t="inlineStr">
        <is>
          <t>Taxi</t>
        </is>
      </c>
      <c r="D68" s="104" t="n">
        <v>0.04166666666666666</v>
      </c>
      <c r="E68" s="106" t="n"/>
      <c r="F68" s="107" t="n"/>
      <c r="G68" s="107" t="n"/>
      <c r="H68" s="107" t="n"/>
      <c r="I68" s="107" t="n"/>
      <c r="J68" s="107" t="n"/>
      <c r="K68" s="107" t="n"/>
      <c r="L68" s="107" t="n"/>
    </row>
    <row r="69" s="56"/>
    <row r="70" s="56">
      <c r="C70" s="59" t="inlineStr">
        <is>
          <t>Total door-to-door</t>
        </is>
      </c>
      <c r="D70" s="109">
        <f>SUM(D57:D68)</f>
        <v/>
      </c>
    </row>
    <row r="71" s="56"/>
  </sheetData>
  <mergeCells count="21">
    <mergeCell ref="E58:L58"/>
    <mergeCell ref="C52:L52"/>
    <mergeCell ref="E68:L68"/>
    <mergeCell ref="E62:L62"/>
    <mergeCell ref="E67:L67"/>
    <mergeCell ref="B43:L43"/>
    <mergeCell ref="C53:L53"/>
    <mergeCell ref="E64:L64"/>
    <mergeCell ref="C49:L49"/>
    <mergeCell ref="E63:L63"/>
    <mergeCell ref="B42:L42"/>
    <mergeCell ref="E60:L60"/>
    <mergeCell ref="E65:L65"/>
    <mergeCell ref="B44:L44"/>
    <mergeCell ref="E59:L59"/>
    <mergeCell ref="C50:L50"/>
    <mergeCell ref="E61:L61"/>
    <mergeCell ref="E57:L57"/>
    <mergeCell ref="E66:L66"/>
    <mergeCell ref="C51:L51"/>
    <mergeCell ref="B45:L4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75"/>
  <sheetViews>
    <sheetView workbookViewId="0">
      <selection activeCell="A1" sqref="A1"/>
    </sheetView>
  </sheetViews>
  <sheetFormatPr baseColWidth="8" defaultRowHeight="15"/>
  <cols>
    <col width="26" customWidth="1" style="56" min="1" max="1"/>
    <col width="52" customWidth="1" style="56" min="2" max="2"/>
    <col width="20" customWidth="1" style="56" min="3" max="3"/>
    <col width="15" customWidth="1" style="56" min="4" max="4"/>
    <col width="13" customWidth="1" style="56" min="5" max="5"/>
    <col width="9" customWidth="1" style="56" min="6" max="6"/>
    <col width="17" customWidth="1" style="56" min="8" max="8"/>
    <col width="13" customWidth="1" style="56" min="9" max="9"/>
    <col width="9" customWidth="1" style="56" min="10" max="10"/>
    <col width="17" customWidth="1" style="56" min="11" max="11"/>
    <col width="58" customWidth="1" style="56" min="12" max="12"/>
  </cols>
  <sheetData>
    <row r="1" ht="17.35" customHeight="1" s="56">
      <c r="A1" s="57" t="inlineStr">
        <is>
          <t>Shenyang – Overland home</t>
        </is>
      </c>
    </row>
    <row r="2" ht="15" customHeight="1" s="56">
      <c r="A2" s="62" t="inlineStr">
        <is>
          <t>'Sleep value' out (Air China 11:50, three nights before the contest, a bed each), then the cheapest way home overland: night trains via Hohhot to Erenhot, jeep across the border, UBTZ sleeper to Ulaanbaatar (home 18 Nov).</t>
        </is>
      </c>
    </row>
    <row r="4" ht="15" customHeight="1" s="56">
      <c r="A4" s="60" t="inlineStr">
        <is>
          <t>Days in destination (meals &amp; local transport)</t>
        </is>
      </c>
      <c r="B4" s="76" t="n">
        <v>5.5</v>
      </c>
      <c r="C4" s="62" t="inlineStr">
        <is>
          <t>12 Nov afternoon → 18 Nov morning</t>
        </is>
      </c>
    </row>
    <row r="5" ht="15" customHeight="1" s="56">
      <c r="A5" s="62" t="inlineStr">
        <is>
          <t>Shared inputs are on the Compare sheet. Scroll down for the day-by-day plan and door-to-door travel times.</t>
        </is>
      </c>
    </row>
    <row r="7" ht="31.5" customHeight="1" s="56">
      <c r="A7" s="66" t="inlineStr">
        <is>
          <t>Category</t>
        </is>
      </c>
      <c r="B7" s="66" t="inlineStr">
        <is>
          <t>Item</t>
        </is>
      </c>
      <c r="C7" s="66" t="inlineStr">
        <is>
          <t>Date</t>
        </is>
      </c>
      <c r="D7" s="66" t="inlineStr">
        <is>
          <t>Travel time</t>
        </is>
      </c>
      <c r="E7" s="66" t="inlineStr">
        <is>
          <t>Unit cost (3 ppl)</t>
        </is>
      </c>
      <c r="F7" s="66" t="inlineStr">
        <is>
          <t>Currency</t>
        </is>
      </c>
      <c r="G7" s="66" t="inlineStr">
        <is>
          <t>Qty (3 ppl)</t>
        </is>
      </c>
      <c r="H7" s="66" t="inlineStr">
        <is>
          <t>Total MNT – 3 people</t>
        </is>
      </c>
      <c r="I7" s="66" t="inlineStr">
        <is>
          <t>Unit cost (4 ppl)</t>
        </is>
      </c>
      <c r="J7" s="66" t="inlineStr">
        <is>
          <t>Qty (4 ppl)</t>
        </is>
      </c>
      <c r="K7" s="66" t="inlineStr">
        <is>
          <t>Total MNT – 4 people</t>
        </is>
      </c>
      <c r="L7" s="66" t="inlineStr">
        <is>
          <t>Source / notes</t>
        </is>
      </c>
    </row>
    <row r="8" s="56">
      <c r="A8" s="77" t="inlineStr">
        <is>
          <t>PAID BY UNIVERSITY</t>
        </is>
      </c>
      <c r="B8" s="78" t="n"/>
      <c r="C8" s="78" t="n"/>
      <c r="D8" s="78" t="n"/>
      <c r="E8" s="78" t="n"/>
      <c r="F8" s="78" t="n"/>
      <c r="G8" s="78" t="n"/>
      <c r="H8" s="78" t="n"/>
      <c r="I8" s="78" t="n"/>
      <c r="J8" s="78" t="n"/>
      <c r="K8" s="78" t="n"/>
      <c r="L8" s="78" t="n"/>
    </row>
    <row r="9" s="56">
      <c r="A9" s="79" t="inlineStr">
        <is>
          <t>Flights</t>
        </is>
      </c>
      <c r="B9" s="80" t="n"/>
      <c r="C9" s="80" t="n"/>
      <c r="D9" s="80" t="n"/>
      <c r="E9" s="80" t="n"/>
      <c r="F9" s="80" t="n"/>
      <c r="G9" s="80" t="n"/>
      <c r="H9" s="80" t="n"/>
      <c r="I9" s="80" t="n"/>
      <c r="J9" s="80" t="n"/>
      <c r="K9" s="80" t="n"/>
      <c r="L9" s="80" t="n"/>
    </row>
    <row r="10" ht="60" customHeight="1" s="56">
      <c r="B10" s="111" t="inlineStr">
        <is>
          <t>Air China CA902 Ulaanbaatar 11:50 → Beijing Capital (PEK) 13:55, nonstop, checked bag included</t>
        </is>
      </c>
      <c r="C10" s="83" t="inlineStr">
        <is>
          <t>12 Nov</t>
        </is>
      </c>
      <c r="D10" s="84" t="n">
        <v>0.08680555555555555</v>
      </c>
      <c r="E10" s="85" t="n">
        <v>1291</v>
      </c>
      <c r="F10" s="86" t="inlineStr">
        <is>
          <t>CNY</t>
        </is>
      </c>
      <c r="G10" s="87">
        <f>Compare!$B$6</f>
        <v/>
      </c>
      <c r="H10" s="88">
        <f>E10*G10*IF(F10="USD",Compare!$B$8,IF(F10="CNY",Compare!$B$9,IF(F10="HKD",Compare!$B$10,1)))</f>
        <v/>
      </c>
      <c r="I10" s="89">
        <f>E10</f>
        <v/>
      </c>
      <c r="J10" s="87">
        <f>Compare!$B$7</f>
        <v/>
      </c>
      <c r="K10" s="88">
        <f>I10*J10*IF(F10="USD",Compare!$B$8,IF(F10="CNY",Compare!$B$9,IF(F10="HKD",Compare!$B$10,1)))</f>
        <v/>
      </c>
      <c r="L10" s="112" t="inlineStr">
        <is>
          <t>Ctrip 22 Oct: ¥1,291 pp incl. tax – cheapest of 5 sources (Kiwi $200, Trip.com $203, SlickTrip $316 on 13 Nov, Google Flights unpriced). MIAT OM223 07:30 is ¥1,096 on Ctrip / $167 Kiwi / $172 Google / $154 SlickTrip but means a ~04:00 wake-up. Ctrip needs a Ctrip account (Alipay or a foreign card); Trip.com $203 is the fallback.</t>
        </is>
      </c>
    </row>
    <row r="11" s="56">
      <c r="A11" s="79" t="inlineStr">
        <is>
          <t>Trains &amp; border crossing</t>
        </is>
      </c>
      <c r="B11" s="80" t="n"/>
      <c r="C11" s="80" t="n"/>
      <c r="D11" s="80" t="n"/>
      <c r="E11" s="80" t="n"/>
      <c r="F11" s="80" t="n"/>
      <c r="G11" s="80" t="n"/>
      <c r="H11" s="80" t="n"/>
      <c r="I11" s="80" t="n"/>
      <c r="J11" s="80" t="n"/>
      <c r="K11" s="80" t="n"/>
      <c r="L11" s="80" t="n"/>
    </row>
    <row r="12" ht="75" customHeight="1" s="56">
      <c r="B12" s="111" t="inlineStr">
        <is>
          <t>High-speed rail G153 Beijing Chaoyang 17:27 → Shenyang 20:04, 2nd class</t>
        </is>
      </c>
      <c r="C12" s="83" t="inlineStr">
        <is>
          <t>12 Nov (evening)</t>
        </is>
      </c>
      <c r="D12" s="84" t="n">
        <v>0.1090277777777778</v>
      </c>
      <c r="E12" s="85" t="n">
        <v>369</v>
      </c>
      <c r="F12" s="86" t="inlineStr">
        <is>
          <t>CNY</t>
        </is>
      </c>
      <c r="G12" s="87">
        <f>Compare!$B$6</f>
        <v/>
      </c>
      <c r="H12" s="88">
        <f>E12*G12*IF(F12="USD",Compare!$B$8,IF(F12="CNY",Compare!$B$9,IF(F12="HKD",Compare!$B$10,1)))</f>
        <v/>
      </c>
      <c r="I12" s="89">
        <f>E12</f>
        <v/>
      </c>
      <c r="J12" s="87">
        <f>Compare!$B$7</f>
        <v/>
      </c>
      <c r="K12" s="88">
        <f>I12*J12*IF(F12="USD",Compare!$B$8,IF(F12="CNY",Compare!$B$9,IF(F12="HKD",Compare!$B$10,1)))</f>
        <v/>
      </c>
      <c r="L12" s="112" t="inlineStr">
        <is>
          <t>12306 (queried 22 Oct for 5 Nov; fares fixed): ¥369. ChinaTicketOnline confirms G153 on 12 Nov, on sale 29 Oct 10:00. Leaves 3 h 30 min after landing; if the flight is on time, change at the station to G141 16:00 → Shenyang North 18:29 (¥369). Later trains: G155 18:35 / G143 18:48 (¥369–383). Ctrip train list (22 Oct, for 12 Nov) shows the same fares; 12go.asia resells at ~$90 for 1st class.</t>
        </is>
      </c>
    </row>
    <row r="13" ht="39" customHeight="1" s="56">
      <c r="B13" s="111" t="inlineStr">
        <is>
          <t>Overnight train K1568 Shenyang 22:50 → Hohhot 17:02 (+1), hard sleeper (after the contest)</t>
        </is>
      </c>
      <c r="C13" s="83" t="inlineStr">
        <is>
          <t>15–16 Nov</t>
        </is>
      </c>
      <c r="D13" s="84" t="n">
        <v>0.7583333333333333</v>
      </c>
      <c r="E13" s="85" t="n">
        <v>304.5</v>
      </c>
      <c r="F13" s="86" t="inlineStr">
        <is>
          <t>CNY</t>
        </is>
      </c>
      <c r="G13" s="87">
        <f>Compare!$B$6</f>
        <v/>
      </c>
      <c r="H13" s="88">
        <f>E13*G13*IF(F13="USD",Compare!$B$8,IF(F13="CNY",Compare!$B$9,IF(F13="HKD",Compare!$B$10,1)))</f>
        <v/>
      </c>
      <c r="I13" s="89">
        <f>E13</f>
        <v/>
      </c>
      <c r="J13" s="87">
        <f>Compare!$B$7</f>
        <v/>
      </c>
      <c r="K13" s="88">
        <f>I13*J13*IF(F13="USD",Compare!$B$8,IF(F13="CNY",Compare!$B$9,IF(F13="HKD",Compare!$B$10,1)))</f>
        <v/>
      </c>
      <c r="L13" s="112" t="inlineStr">
        <is>
          <t>12306 (5 Nov query): hard sleeper ¥304.5, hard seat ¥177.5, soft ¥476.5 (to Hohhot East 16:27: ¥296.5). ChinaTicketOnline confirms 15 Nov, on sale 1 Nov 09:30.</t>
        </is>
      </c>
    </row>
    <row r="14" ht="39" customHeight="1" s="56">
      <c r="B14" s="111" t="inlineStr">
        <is>
          <t>Overnight train 4652 Hohhot 22:50 → Erenhot 06:50, hard sleeper</t>
        </is>
      </c>
      <c r="C14" s="83" t="inlineStr">
        <is>
          <t>16–17 Nov</t>
        </is>
      </c>
      <c r="D14" s="84" t="n">
        <v>0.3333333333333333</v>
      </c>
      <c r="E14" s="85" t="n">
        <v>115</v>
      </c>
      <c r="F14" s="86" t="inlineStr">
        <is>
          <t>CNY</t>
        </is>
      </c>
      <c r="G14" s="87">
        <f>Compare!$B$6</f>
        <v/>
      </c>
      <c r="H14" s="88">
        <f>E14*G14*IF(F14="USD",Compare!$B$8,IF(F14="CNY",Compare!$B$9,IF(F14="HKD",Compare!$B$10,1)))</f>
        <v/>
      </c>
      <c r="I14" s="89">
        <f>E14</f>
        <v/>
      </c>
      <c r="J14" s="87">
        <f>Compare!$B$7</f>
        <v/>
      </c>
      <c r="K14" s="88">
        <f>I14*J14*IF(F14="USD",Compare!$B$8,IF(F14="CNY",Compare!$B$9,IF(F14="HKD",Compare!$B$10,1)))</f>
        <v/>
      </c>
      <c r="L14" s="112" t="inlineStr">
        <is>
          <t>12306 (5 Nov query): hard sleeper ¥115, hard seat ¥61. Daily; ChinaTicketOnline confirms 16 Nov, on sale 2 Nov 14:00. ~6 h wait in Hohhot after K1568 (dinner).</t>
        </is>
      </c>
    </row>
    <row r="15" ht="39" customHeight="1" s="56">
      <c r="B15" s="111" t="inlineStr">
        <is>
          <t>Shared jeep Erenhot → Zamyn-Uud across the border</t>
        </is>
      </c>
      <c r="C15" s="83" t="inlineStr">
        <is>
          <t>17 Nov (morning)</t>
        </is>
      </c>
      <c r="D15" s="84" t="n">
        <v>0.125</v>
      </c>
      <c r="E15" s="113" t="n">
        <v>100</v>
      </c>
      <c r="F15" s="86" t="inlineStr">
        <is>
          <t>CNY</t>
        </is>
      </c>
      <c r="G15" s="87">
        <f>Compare!$B$6</f>
        <v/>
      </c>
      <c r="H15" s="88">
        <f>E15*G15*IF(F15="USD",Compare!$B$8,IF(F15="CNY",Compare!$B$9,IF(F15="HKD",Compare!$B$10,1)))</f>
        <v/>
      </c>
      <c r="I15" s="114">
        <f>E15</f>
        <v/>
      </c>
      <c r="J15" s="87">
        <f>Compare!$B$7</f>
        <v/>
      </c>
      <c r="K15" s="88">
        <f>I15*J15*IF(F15="USD",Compare!$B$8,IF(F15="CNY",Compare!$B$9,IF(F15="HKD",Compare!$B$10,1)))</f>
        <v/>
      </c>
      <c r="L15" s="112" t="inlineStr">
        <is>
          <t>ASSUMPTION ¥50–110 pp (Wikivoyage, travel blogs); jeeps wait near Erenhot station. ~3 h includes both border posts (no visa needed for Mongolian passports). Confirm the border hours.</t>
        </is>
      </c>
    </row>
    <row r="16" ht="30" customHeight="1" s="56">
      <c r="B16" s="111" t="inlineStr">
        <is>
          <t>UBTZ train 275 Zamyn-Uud 18:05 → Ulaanbaatar 09:20, platskart sleeper incl. bedding</t>
        </is>
      </c>
      <c r="C16" s="83" t="inlineStr">
        <is>
          <t>17–18 Nov</t>
        </is>
      </c>
      <c r="D16" s="84" t="n">
        <v>0.6354166666666666</v>
      </c>
      <c r="E16" s="85" t="n">
        <v>51400</v>
      </c>
      <c r="F16" s="86" t="inlineStr">
        <is>
          <t>MNT</t>
        </is>
      </c>
      <c r="G16" s="87">
        <f>Compare!$B$6</f>
        <v/>
      </c>
      <c r="H16" s="88">
        <f>E16*G16*IF(F16="USD",Compare!$B$8,IF(F16="CNY",Compare!$B$9,IF(F16="HKD",Compare!$B$10,1)))</f>
        <v/>
      </c>
      <c r="I16" s="89">
        <f>E16</f>
        <v/>
      </c>
      <c r="J16" s="87">
        <f>Compare!$B$7</f>
        <v/>
      </c>
      <c r="K16" s="88">
        <f>I16*J16*IF(F16="USD",Compare!$B$8,IF(F16="CNY",Compare!$B$9,IF(F16="HKD",Compare!$B$10,1)))</f>
        <v/>
      </c>
      <c r="L16" s="112" t="inlineStr">
        <is>
          <t>eticket.ubtz.mn 22 Oct: platskart ₮44,000 + bedding ₮7,400 (seat ₮26,000; kupe ₮73,400 + ₮7,400). Daily; 72 platskart berths free on 17 Nov.</t>
        </is>
      </c>
    </row>
    <row r="17" s="56">
      <c r="A17" s="79" t="inlineStr">
        <is>
          <t>Accommodation</t>
        </is>
      </c>
      <c r="B17" s="80" t="n"/>
      <c r="C17" s="80" t="n"/>
      <c r="D17" s="80" t="n"/>
      <c r="E17" s="80" t="n"/>
      <c r="F17" s="80" t="n"/>
      <c r="G17" s="80" t="n"/>
      <c r="H17" s="80" t="n"/>
      <c r="I17" s="80" t="n"/>
      <c r="J17" s="80" t="n"/>
      <c r="K17" s="80" t="n"/>
      <c r="L17" s="80" t="n"/>
    </row>
    <row r="18" ht="60" customHeight="1" s="56">
      <c r="B18" s="111" t="inlineStr">
        <is>
          <t>Ji Hotel Sanhao Street, 55 Sanhao St (~940 m to NEU Nanhu, ~15 min walk): 2 Budget Twin rooms, King Koil mattresses, windows, floors 4–16 – a bed each</t>
        </is>
      </c>
      <c r="C18" s="83" t="inlineStr">
        <is>
          <t>12–15 Nov (3 nights)</t>
        </is>
      </c>
      <c r="D18" s="84" t="n"/>
      <c r="E18" s="85" t="n">
        <v>457</v>
      </c>
      <c r="F18" s="86" t="inlineStr">
        <is>
          <t>CNY</t>
        </is>
      </c>
      <c r="G18" s="91" t="n">
        <v>3</v>
      </c>
      <c r="H18" s="88">
        <f>E18*G18*IF(F18="USD",Compare!$B$8,IF(F18="CNY",Compare!$B$9,IF(F18="HKD",Compare!$B$10,1)))</f>
        <v/>
      </c>
      <c r="I18" s="85" t="n">
        <v>457</v>
      </c>
      <c r="J18" s="91" t="n">
        <v>3</v>
      </c>
      <c r="K18" s="88">
        <f>I18*J18*IF(F18="USD",Compare!$B$8,IF(F18="CNY",Compare!$B$9,IF(F18="HKD",Compare!$B$10,1)))</f>
        <v/>
      </c>
      <c r="L18" s="112" t="inlineStr">
        <is>
          <t>Trip.com 22 Oct: ¥1,371 for 2 rooms × 3 nights incl. taxes, free cancellation until 18:00 on 11 Nov (prepay); same price for 3 or 4 adults. 9.0 from 1,433 reviews; 16 m² rooms high in an office tower, above the street. Breakfast ¥40 optional.</t>
        </is>
      </c>
    </row>
    <row r="19" s="56">
      <c r="A19" s="79" t="inlineStr">
        <is>
          <t>Meals &amp; local transport</t>
        </is>
      </c>
      <c r="B19" s="80" t="n"/>
      <c r="C19" s="80" t="n"/>
      <c r="D19" s="80" t="n"/>
      <c r="E19" s="80" t="n"/>
      <c r="F19" s="80" t="n"/>
      <c r="G19" s="80" t="n"/>
      <c r="H19" s="80" t="n"/>
      <c r="I19" s="80" t="n"/>
      <c r="J19" s="80" t="n"/>
      <c r="K19" s="80" t="n"/>
      <c r="L19" s="80" t="n"/>
    </row>
    <row r="20" ht="30" customHeight="1" s="56">
      <c r="B20" s="111" t="inlineStr">
        <is>
          <t>Meals</t>
        </is>
      </c>
      <c r="C20" s="83" t="inlineStr">
        <is>
          <t>in destination</t>
        </is>
      </c>
      <c r="D20" s="84" t="n"/>
      <c r="E20" s="113" t="n">
        <v>80</v>
      </c>
      <c r="F20" s="86" t="inlineStr">
        <is>
          <t>CNY</t>
        </is>
      </c>
      <c r="G20" s="87">
        <f>Compare!$B$6*$B$4</f>
        <v/>
      </c>
      <c r="H20" s="88">
        <f>E20*G20*IF(F20="USD",Compare!$B$8,IF(F20="CNY",Compare!$B$9,IF(F20="HKD",Compare!$B$10,1)))</f>
        <v/>
      </c>
      <c r="I20" s="114">
        <f>E20</f>
        <v/>
      </c>
      <c r="J20" s="87">
        <f>Compare!$B$7*$B$4</f>
        <v/>
      </c>
      <c r="K20" s="88">
        <f>I20*J20*IF(F20="USD",Compare!$B$8,IF(F20="CNY",Compare!$B$9,IF(F20="HKD",Compare!$B$10,1)))</f>
        <v/>
      </c>
      <c r="L20" s="112" t="inlineStr">
        <is>
          <t>ASSUMPTION 80 CNY/person/day; hosts usually provide some meals on contest days</t>
        </is>
      </c>
    </row>
    <row r="21" ht="30" customHeight="1" s="56">
      <c r="B21" s="111" t="inlineStr">
        <is>
          <t>Local transport (metro, taxis)</t>
        </is>
      </c>
      <c r="C21" s="83" t="inlineStr">
        <is>
          <t>in destination</t>
        </is>
      </c>
      <c r="D21" s="84" t="n"/>
      <c r="E21" s="113" t="n">
        <v>30</v>
      </c>
      <c r="F21" s="86" t="inlineStr">
        <is>
          <t>CNY</t>
        </is>
      </c>
      <c r="G21" s="87">
        <f>Compare!$B$6*$B$4</f>
        <v/>
      </c>
      <c r="H21" s="88">
        <f>E21*G21*IF(F21="USD",Compare!$B$8,IF(F21="CNY",Compare!$B$9,IF(F21="HKD",Compare!$B$10,1)))</f>
        <v/>
      </c>
      <c r="I21" s="114">
        <f>E21</f>
        <v/>
      </c>
      <c r="J21" s="87">
        <f>Compare!$B$7*$B$4</f>
        <v/>
      </c>
      <c r="K21" s="88">
        <f>I21*J21*IF(F21="USD",Compare!$B$8,IF(F21="CNY",Compare!$B$9,IF(F21="HKD",Compare!$B$10,1)))</f>
        <v/>
      </c>
      <c r="L21" s="112" t="inlineStr">
        <is>
          <t>ASSUMPTION 30 CNY/person/day</t>
        </is>
      </c>
    </row>
    <row r="22" ht="30" customHeight="1" s="56">
      <c r="B22" s="111" t="inlineStr">
        <is>
          <t>Taxi PEK → Beijing Chaoyang station</t>
        </is>
      </c>
      <c r="C22" s="83" t="inlineStr">
        <is>
          <t>12 Nov</t>
        </is>
      </c>
      <c r="D22" s="84" t="n"/>
      <c r="E22" s="113" t="n">
        <v>120</v>
      </c>
      <c r="F22" s="86" t="inlineStr">
        <is>
          <t>CNY</t>
        </is>
      </c>
      <c r="G22" s="91" t="n">
        <v>1</v>
      </c>
      <c r="H22" s="88">
        <f>E22*G22*IF(F22="USD",Compare!$B$8,IF(F22="CNY",Compare!$B$9,IF(F22="HKD",Compare!$B$10,1)))</f>
        <v/>
      </c>
      <c r="I22" s="114">
        <f>E22</f>
        <v/>
      </c>
      <c r="J22" s="91" t="n">
        <v>1</v>
      </c>
      <c r="K22" s="88">
        <f>I22*J22*IF(F22="USD",Compare!$B$8,IF(F22="CNY",Compare!$B$9,IF(F22="HKD",Compare!$B$10,1)))</f>
        <v/>
      </c>
      <c r="L22" s="112" t="inlineStr">
        <is>
          <t>ASSUMPTION ~120 CNY per car, ~40 km (4 ppl may need an XL car)</t>
        </is>
      </c>
    </row>
    <row r="23" s="56">
      <c r="A23" s="94" t="inlineStr">
        <is>
          <t>PAID PERSONALLY (university won't cover)</t>
        </is>
      </c>
      <c r="B23" s="95" t="n"/>
      <c r="C23" s="95" t="n"/>
      <c r="D23" s="95" t="n"/>
      <c r="E23" s="95" t="n"/>
      <c r="F23" s="95" t="n"/>
      <c r="G23" s="95" t="n"/>
      <c r="H23" s="95" t="n"/>
      <c r="I23" s="95" t="n"/>
      <c r="J23" s="95" t="n"/>
      <c r="K23" s="95" t="n"/>
      <c r="L23" s="95" t="n"/>
    </row>
    <row r="24" s="56">
      <c r="A24" s="79" t="inlineStr">
        <is>
          <t>Contest fee</t>
        </is>
      </c>
      <c r="B24" s="80" t="n"/>
      <c r="C24" s="80" t="n"/>
      <c r="D24" s="80" t="n"/>
      <c r="E24" s="80" t="n"/>
      <c r="F24" s="80" t="n"/>
      <c r="G24" s="80" t="n"/>
      <c r="H24" s="80" t="n"/>
      <c r="I24" s="80" t="n"/>
      <c r="J24" s="80" t="n"/>
      <c r="K24" s="80" t="n"/>
      <c r="L24" s="80" t="n"/>
    </row>
    <row r="25" ht="30" customHeight="1" s="56">
      <c r="B25" s="111" t="inlineStr">
        <is>
          <t>Shenyang regional registration fee (per team)</t>
        </is>
      </c>
      <c r="C25" s="83" t="inlineStr">
        <is>
          <t>pay when invited</t>
        </is>
      </c>
      <c r="D25" s="84" t="n"/>
      <c r="E25" s="113" t="n">
        <v>1500</v>
      </c>
      <c r="F25" s="86" t="inlineStr">
        <is>
          <t>CNY</t>
        </is>
      </c>
      <c r="G25" s="91" t="n">
        <v>1</v>
      </c>
      <c r="H25" s="88">
        <f>E25*G25*IF(F25="USD",Compare!$B$8,IF(F25="CNY",Compare!$B$9,IF(F25="HKD",Compare!$B$10,1)))</f>
        <v/>
      </c>
      <c r="I25" s="114">
        <f>E25</f>
        <v/>
      </c>
      <c r="J25" s="91" t="n">
        <v>1</v>
      </c>
      <c r="K25" s="88">
        <f>I25*J25*IF(F25="USD",Compare!$B$8,IF(F25="CNY",Compare!$B$9,IF(F25="HKD",Compare!$B$10,1)))</f>
        <v/>
      </c>
      <c r="L25" s="112" t="inlineStr">
        <is>
          <t>ASSUMPTION: 1,500 CNY/team like recent EC regionals; the 2026 Shenyang invitation was not found on 22 Oct</t>
        </is>
      </c>
    </row>
    <row r="26" s="56">
      <c r="A26" s="79" t="inlineStr">
        <is>
          <t>Other</t>
        </is>
      </c>
      <c r="B26" s="80" t="n"/>
      <c r="C26" s="80" t="n"/>
      <c r="D26" s="80" t="n"/>
      <c r="E26" s="80" t="n"/>
      <c r="F26" s="80" t="n"/>
      <c r="G26" s="80" t="n"/>
      <c r="H26" s="80" t="n"/>
      <c r="I26" s="80" t="n"/>
      <c r="J26" s="80" t="n"/>
      <c r="K26" s="80" t="n"/>
      <c r="L26" s="80" t="n"/>
    </row>
    <row r="27" ht="30" customHeight="1" s="56">
      <c r="B27" s="111" t="inlineStr">
        <is>
          <t>Taxi home → Chinggis Khaan airport (UB)</t>
        </is>
      </c>
      <c r="C27" s="83" t="inlineStr">
        <is>
          <t>12 Nov</t>
        </is>
      </c>
      <c r="D27" s="84" t="n">
        <v>0.04166666666666666</v>
      </c>
      <c r="E27" s="113" t="n">
        <v>100000</v>
      </c>
      <c r="F27" s="86" t="inlineStr">
        <is>
          <t>MNT</t>
        </is>
      </c>
      <c r="G27" s="91" t="n">
        <v>1</v>
      </c>
      <c r="H27" s="88">
        <f>E27*G27*IF(F27="USD",Compare!$B$8,IF(F27="CNY",Compare!$B$9,IF(F27="HKD",Compare!$B$10,1)))</f>
        <v/>
      </c>
      <c r="I27" s="114">
        <f>E27</f>
        <v/>
      </c>
      <c r="J27" s="91" t="n">
        <v>1</v>
      </c>
      <c r="K27" s="88">
        <f>I27*J27*IF(F27="USD",Compare!$B$8,IF(F27="CNY",Compare!$B$9,IF(F27="HKD",Compare!$B$10,1)))</f>
        <v/>
      </c>
      <c r="L27" s="112" t="inlineStr">
        <is>
          <t>ASSUMPTION 100k MNT per trip for the group</t>
        </is>
      </c>
    </row>
    <row r="28" ht="30" customHeight="1" s="56">
      <c r="B28" s="111" t="inlineStr">
        <is>
          <t>Taxi Ulaanbaatar railway station → home</t>
        </is>
      </c>
      <c r="C28" s="83" t="inlineStr">
        <is>
          <t>18 Nov</t>
        </is>
      </c>
      <c r="D28" s="84" t="n">
        <v>0.02083333333333333</v>
      </c>
      <c r="E28" s="113" t="n">
        <v>30000</v>
      </c>
      <c r="F28" s="86" t="inlineStr">
        <is>
          <t>MNT</t>
        </is>
      </c>
      <c r="G28" s="91" t="n">
        <v>1</v>
      </c>
      <c r="H28" s="88">
        <f>E28*G28*IF(F28="USD",Compare!$B$8,IF(F28="CNY",Compare!$B$9,IF(F28="HKD",Compare!$B$10,1)))</f>
        <v/>
      </c>
      <c r="I28" s="114">
        <f>E28</f>
        <v/>
      </c>
      <c r="J28" s="91" t="n">
        <v>1</v>
      </c>
      <c r="K28" s="88">
        <f>I28*J28*IF(F28="USD",Compare!$B$8,IF(F28="CNY",Compare!$B$9,IF(F28="HKD",Compare!$B$10,1)))</f>
        <v/>
      </c>
      <c r="L28" s="112" t="inlineStr">
        <is>
          <t>ASSUMPTION ~30k MNT for the group (city trip)</t>
        </is>
      </c>
    </row>
    <row r="29" ht="30" customHeight="1" s="56">
      <c r="B29" s="111" t="inlineStr">
        <is>
          <t>Travel medical insurance</t>
        </is>
      </c>
      <c r="C29" s="83" t="n"/>
      <c r="D29" s="84" t="n"/>
      <c r="E29" s="113" t="n">
        <v>30000</v>
      </c>
      <c r="F29" s="86" t="inlineStr">
        <is>
          <t>MNT</t>
        </is>
      </c>
      <c r="G29" s="87">
        <f>Compare!$B$6</f>
        <v/>
      </c>
      <c r="H29" s="88">
        <f>E29*G29*IF(F29="USD",Compare!$B$8,IF(F29="CNY",Compare!$B$9,IF(F29="HKD",Compare!$B$10,1)))</f>
        <v/>
      </c>
      <c r="I29" s="114">
        <f>E29</f>
        <v/>
      </c>
      <c r="J29" s="87">
        <f>Compare!$B$7</f>
        <v/>
      </c>
      <c r="K29" s="88">
        <f>I29*J29*IF(F29="USD",Compare!$B$8,IF(F29="CNY",Compare!$B$9,IF(F29="HKD",Compare!$B$10,1)))</f>
        <v/>
      </c>
      <c r="L29" s="112" t="inlineStr">
        <is>
          <t>ASSUMPTION ~30k MNT per person, Mongolian insurer</t>
        </is>
      </c>
    </row>
    <row r="30" ht="30" customHeight="1" s="56">
      <c r="B30" s="111" t="inlineStr">
        <is>
          <t>Mobile data eSIM</t>
        </is>
      </c>
      <c r="C30" s="83" t="n"/>
      <c r="D30" s="84" t="n"/>
      <c r="E30" s="113" t="n">
        <v>10</v>
      </c>
      <c r="F30" s="86" t="inlineStr">
        <is>
          <t>USD</t>
        </is>
      </c>
      <c r="G30" s="87">
        <f>Compare!$B$6</f>
        <v/>
      </c>
      <c r="H30" s="88">
        <f>E30*G30*IF(F30="USD",Compare!$B$8,IF(F30="CNY",Compare!$B$9,IF(F30="HKD",Compare!$B$10,1)))</f>
        <v/>
      </c>
      <c r="I30" s="114">
        <f>E30</f>
        <v/>
      </c>
      <c r="J30" s="87">
        <f>Compare!$B$7</f>
        <v/>
      </c>
      <c r="K30" s="88">
        <f>I30*J30*IF(F30="USD",Compare!$B$8,IF(F30="CNY",Compare!$B$9,IF(F30="HKD",Compare!$B$10,1)))</f>
        <v/>
      </c>
      <c r="L30" s="112" t="inlineStr">
        <is>
          <t>ASSUMPTION ~$10 pp</t>
        </is>
      </c>
    </row>
    <row r="31" ht="30" customHeight="1" s="56">
      <c r="B31" s="111" t="inlineStr">
        <is>
          <t>Visa</t>
        </is>
      </c>
      <c r="C31" s="83" t="n"/>
      <c r="D31" s="84" t="n"/>
      <c r="E31" s="85" t="n">
        <v>0</v>
      </c>
      <c r="F31" s="86" t="inlineStr">
        <is>
          <t>MNT</t>
        </is>
      </c>
      <c r="G31" s="87">
        <f>Compare!$B$6</f>
        <v/>
      </c>
      <c r="H31" s="88">
        <f>E31*G31*IF(F31="USD",Compare!$B$8,IF(F31="CNY",Compare!$B$9,IF(F31="HKD",Compare!$B$10,1)))</f>
        <v/>
      </c>
      <c r="I31" s="89">
        <f>E31</f>
        <v/>
      </c>
      <c r="J31" s="87">
        <f>Compare!$B$7</f>
        <v/>
      </c>
      <c r="K31" s="88">
        <f>I31*J31*IF(F31="USD",Compare!$B$8,IF(F31="CNY",Compare!$B$9,IF(F31="HKD",Compare!$B$10,1)))</f>
        <v/>
      </c>
      <c r="L31" s="112" t="inlineStr">
        <is>
          <t>Mongolian passports: visa-free (mainland China up to 30 days; Hong Kong up to 14 days)</t>
        </is>
      </c>
    </row>
    <row r="32" s="56"/>
    <row r="33" s="56">
      <c r="G33" s="60" t="n"/>
      <c r="H33" s="96" t="inlineStr">
        <is>
          <t>3 people – UNFUNDED</t>
        </is>
      </c>
      <c r="K33" s="96" t="inlineStr">
        <is>
          <t>4 people – FUNDED ₮12M</t>
        </is>
      </c>
    </row>
    <row r="34" s="56">
      <c r="G34" s="97" t="inlineStr">
        <is>
          <t>University-paid subtotal</t>
        </is>
      </c>
      <c r="H34" s="98">
        <f>SUM(H9:H22)</f>
        <v/>
      </c>
      <c r="K34" s="98">
        <f>SUM(K9:K22)</f>
        <v/>
      </c>
    </row>
    <row r="35" s="56">
      <c r="G35" s="99" t="inlineStr">
        <is>
          <t>Contingency</t>
        </is>
      </c>
      <c r="H35" s="100">
        <f>H34*Compare!$B$11</f>
        <v/>
      </c>
      <c r="K35" s="100">
        <f>K34*Compare!$B$11</f>
        <v/>
      </c>
    </row>
    <row r="36" s="56">
      <c r="G36" s="97" t="inlineStr">
        <is>
          <t>University-paid total incl. contingency</t>
        </is>
      </c>
      <c r="H36" s="98">
        <f>H34+H35</f>
        <v/>
      </c>
      <c r="K36" s="98">
        <f>K34+K35</f>
        <v/>
      </c>
    </row>
    <row r="37" s="56">
      <c r="G37" s="97" t="inlineStr">
        <is>
          <t>Funding left (negative = over)</t>
        </is>
      </c>
      <c r="H37" s="101">
        <f>Compare!$B$12-H36</f>
        <v/>
      </c>
      <c r="K37" s="101">
        <f>Compare!$B$5-K36</f>
        <v/>
      </c>
    </row>
    <row r="38" s="56">
      <c r="G38" s="97" t="inlineStr">
        <is>
          <t>Personal costs – team</t>
        </is>
      </c>
      <c r="H38" s="102">
        <f>SUM(H24:H31)</f>
        <v/>
      </c>
      <c r="K38" s="102">
        <f>SUM(K24:K31)</f>
        <v/>
      </c>
    </row>
    <row r="39" s="56">
      <c r="G39" s="97" t="inlineStr">
        <is>
          <t>Out-of-pocket per person (personal + any overrun)</t>
        </is>
      </c>
      <c r="H39" s="102">
        <f>(H38+MAX(0,-H37))/Compare!$B$6</f>
        <v/>
      </c>
      <c r="K39" s="102">
        <f>(K38+MAX(0,-K37))/Compare!$B$7</f>
        <v/>
      </c>
    </row>
    <row r="40" s="56">
      <c r="G40" s="97" t="inlineStr">
        <is>
          <t>Whole trip cost (university + personal)</t>
        </is>
      </c>
      <c r="H40" s="103">
        <f>H36+H38</f>
        <v/>
      </c>
      <c r="K40" s="103">
        <f>K36+K38</f>
        <v/>
      </c>
    </row>
    <row r="41" s="56">
      <c r="G41" s="99" t="inlineStr">
        <is>
          <t>Time in planes &amp; trains</t>
        </is>
      </c>
      <c r="H41" s="104">
        <f>SUM(D10:D10)+SUM(D12:D16)</f>
        <v/>
      </c>
      <c r="K41" s="104">
        <f>SUM(D10:D10)+SUM(D12:D16)</f>
        <v/>
      </c>
    </row>
    <row r="42" s="56"/>
    <row r="43" s="56">
      <c r="A43" s="72" t="inlineStr">
        <is>
          <t>Key facts</t>
        </is>
      </c>
    </row>
    <row r="44" ht="30" customHeight="1" s="56">
      <c r="A44" s="75" t="inlineStr">
        <is>
          <t>Contest</t>
        </is>
      </c>
      <c r="B44" s="74" t="inlineStr">
        <is>
          <t>Asia Shenyang Regional, 14–15 Nov 2026 (provisional; the 2026 invitation was not found on 22 Oct), Northeastern University Nanhu campus (2024 and 2025 venue). Assumed: day 1 registration + practice, contest 15 Nov 09:00–14:00, awards ~17:00.</t>
        </is>
      </c>
    </row>
    <row r="45" ht="30" customHeight="1" s="56">
      <c r="A45" s="75" t="inlineStr">
        <is>
          <t>Why this plan</t>
        </is>
      </c>
      <c r="B45" s="74" t="inlineStr">
        <is>
          <t>Before the contest it is identical to 'Sleep value' (no alarm before ~08:00, three nights in twin rooms). After the contest it skips the Beijing flight: three night trains (two Chinese hard sleepers + a UBTZ platskart berth) cost less than the flight alone, so it is the cheapest sleep-safe plan.</t>
        </is>
      </c>
    </row>
    <row r="46" ht="30" customHeight="1" s="56">
      <c r="A46" s="75" t="inlineStr">
        <is>
          <t>Trade-off</t>
        </is>
      </c>
      <c r="B46" s="74" t="inlineStr">
        <is>
          <t>Home on 18 Nov at 09:20 instead of 16 Nov 15:05 (2 more days, 2 more days of meals), ~6 h wait in Hohhot, a cold early-morning border crossing at Erenhot (dress for −15 °C). The jeep fare and border hours are not verified.</t>
        </is>
      </c>
    </row>
    <row r="47" ht="30" customHeight="1" s="56">
      <c r="A47" s="75" t="inlineStr">
        <is>
          <t>Book</t>
        </is>
      </c>
      <c r="B47" s="74" t="inlineStr">
        <is>
          <t>Air China CA902 on Ctrip now (¥1,291; Trip.com $203 as fallback); hotel now; G153 on 12306 at 10:00 on 29 Oct; K1568 at 09:30 on 1 Nov; 4652 at 14:00 on 2 Nov; UBTZ 275 on eticket.ubtz.mn (on sale now).</t>
        </is>
      </c>
    </row>
    <row r="48" s="56"/>
    <row r="49" s="56">
      <c r="A49" s="72" t="inlineStr">
        <is>
          <t>Day-by-day plan</t>
        </is>
      </c>
    </row>
    <row r="50" s="56">
      <c r="A50" s="96" t="inlineStr">
        <is>
          <t>Date</t>
        </is>
      </c>
      <c r="B50" s="96" t="inlineStr">
        <is>
          <t>Sleep in</t>
        </is>
      </c>
      <c r="C50" s="96" t="inlineStr">
        <is>
          <t>What happens</t>
        </is>
      </c>
    </row>
    <row r="51" ht="30" customHeight="1" s="56">
      <c r="A51" s="74" t="inlineStr">
        <is>
          <t>Thu 12 Nov</t>
        </is>
      </c>
      <c r="B51" s="74" t="inlineStr">
        <is>
          <t>Shenyang</t>
        </is>
      </c>
      <c r="C51" s="74" t="inlineStr">
        <is>
          <t>Wake ~08:00. Air China CA902 UB 11:50 → Beijing Capital 13:55; taxi to Beijing Chaoyang; G153 17:27 → Shenyang 20:04 (G141 16:00 if early); taxi to Ji Hotel Sanhao Street. Bed by ~23:00.</t>
        </is>
      </c>
    </row>
    <row r="52" ht="15" customHeight="1" s="56">
      <c r="A52" s="74" t="inlineStr">
        <is>
          <t>Fri 13 Nov</t>
        </is>
      </c>
      <c r="B52" s="74" t="inlineStr">
        <is>
          <t>Shenyang</t>
        </is>
      </c>
      <c r="C52" s="74" t="inlineStr">
        <is>
          <t>Free rest day: no alarm, light practice, walk the ~15-minute route to the venue.</t>
        </is>
      </c>
    </row>
    <row r="53" ht="15" customHeight="1" s="56">
      <c r="A53" s="74" t="inlineStr">
        <is>
          <t>Sat 14 Nov</t>
        </is>
      </c>
      <c r="B53" s="74" t="inlineStr">
        <is>
          <t>Shenyang</t>
        </is>
      </c>
      <c r="C53" s="74" t="inlineStr">
        <is>
          <t>Registration, opening and practice at NEU Nanhu. Lights out ~22:30.</t>
        </is>
      </c>
    </row>
    <row r="54" ht="30" customHeight="1" s="56">
      <c r="A54" s="74" t="inlineStr">
        <is>
          <t>Sun 15 Nov</t>
        </is>
      </c>
      <c r="B54" s="74" t="inlineStr">
        <is>
          <t>Train (hard sleeper)</t>
        </is>
      </c>
      <c r="C54" s="74" t="inlineStr">
        <is>
          <t>CONTEST. Wake ~06:50, walk ~15 min. Check out before leaving, luggage stored at the hotel. Awards ~17:00; taxi to Shenyang station; K1568 22:50 hard sleeper → Hohhot.</t>
        </is>
      </c>
    </row>
    <row r="55" ht="15" customHeight="1" s="56">
      <c r="A55" s="74" t="inlineStr">
        <is>
          <t>Mon 16 Nov</t>
        </is>
      </c>
      <c r="B55" s="74" t="inlineStr">
        <is>
          <t>Train (hard sleeper)</t>
        </is>
      </c>
      <c r="C55" s="74" t="inlineStr">
        <is>
          <t>Arrive Hohhot 17:02; dinner near the station; 4652 22:50 hard sleeper → Erenhot.</t>
        </is>
      </c>
    </row>
    <row r="56" ht="15" customHeight="1" s="56">
      <c r="A56" s="74" t="inlineStr">
        <is>
          <t>Tue 17 Nov</t>
        </is>
      </c>
      <c r="B56" s="74" t="inlineStr">
        <is>
          <t>Train (platskart)</t>
        </is>
      </c>
      <c r="C56" s="74" t="inlineStr">
        <is>
          <t>Arrive Erenhot 06:50; shared jeep across the border to Zamyn-Uud; UBTZ 275 18:05 → Ulaanbaatar.</t>
        </is>
      </c>
    </row>
    <row r="57" ht="15" customHeight="1" s="56">
      <c r="A57" s="74" t="inlineStr">
        <is>
          <t>Wed 18 Nov</t>
        </is>
      </c>
      <c r="B57" s="74" t="inlineStr">
        <is>
          <t>Home</t>
        </is>
      </c>
      <c r="C57" s="74" t="inlineStr">
        <is>
          <t>Arrive Ulaanbaatar 09:20; taxi home.</t>
        </is>
      </c>
    </row>
    <row r="58" s="56"/>
    <row r="59" s="56">
      <c r="A59" s="72" t="inlineStr">
        <is>
          <t>Door-to-door travel times</t>
        </is>
      </c>
    </row>
    <row r="60" s="56">
      <c r="A60" s="96" t="inlineStr">
        <is>
          <t>Date</t>
        </is>
      </c>
      <c r="B60" s="96" t="inlineStr">
        <is>
          <t>Leg</t>
        </is>
      </c>
      <c r="C60" s="96" t="inlineStr">
        <is>
          <t>Mode</t>
        </is>
      </c>
      <c r="D60" s="96" t="inlineStr">
        <is>
          <t>Expected time</t>
        </is>
      </c>
      <c r="E60" s="96" t="inlineStr">
        <is>
          <t>Notes</t>
        </is>
      </c>
    </row>
    <row r="61" s="56">
      <c r="A61" s="105" t="inlineStr">
        <is>
          <t>12 Nov</t>
        </is>
      </c>
      <c r="B61" s="105" t="inlineStr">
        <is>
          <t>Home → Chinggis Khaan airport</t>
        </is>
      </c>
      <c r="C61" s="82" t="inlineStr">
        <is>
          <t>Taxi (~50 km)</t>
        </is>
      </c>
      <c r="D61" s="104" t="n">
        <v>0.04166666666666666</v>
      </c>
      <c r="E61" s="106" t="inlineStr">
        <is>
          <t>Leave ~09:15 for the 11:50 flight; wake ~08:00</t>
        </is>
      </c>
      <c r="F61" s="107" t="n"/>
      <c r="G61" s="107" t="n"/>
      <c r="H61" s="107" t="n"/>
      <c r="I61" s="107" t="n"/>
      <c r="J61" s="107" t="n"/>
      <c r="K61" s="107" t="n"/>
      <c r="L61" s="107" t="n"/>
    </row>
    <row r="62" s="56">
      <c r="A62" s="105" t="inlineStr">
        <is>
          <t>12 Nov</t>
        </is>
      </c>
      <c r="B62" s="105" t="inlineStr">
        <is>
          <t>Ulaanbaatar → Beijing (PEK)</t>
        </is>
      </c>
      <c r="C62" s="82" t="inlineStr">
        <is>
          <t>Air China CA902 11:50–13:55</t>
        </is>
      </c>
      <c r="D62" s="104" t="n">
        <v>0.08680555555555555</v>
      </c>
      <c r="E62" s="106" t="n"/>
      <c r="F62" s="107" t="n"/>
      <c r="G62" s="107" t="n"/>
      <c r="H62" s="107" t="n"/>
      <c r="I62" s="107" t="n"/>
      <c r="J62" s="107" t="n"/>
      <c r="K62" s="107" t="n"/>
      <c r="L62" s="107" t="n"/>
    </row>
    <row r="63" s="56">
      <c r="A63" s="105" t="inlineStr">
        <is>
          <t>12 Nov</t>
        </is>
      </c>
      <c r="B63" s="105" t="inlineStr">
        <is>
          <t>PEK arrival: immigration, bags</t>
        </is>
      </c>
      <c r="C63" s="82" t="inlineStr">
        <is>
          <t>—</t>
        </is>
      </c>
      <c r="D63" s="104" t="n">
        <v>0.03125</v>
      </c>
      <c r="E63" s="106" t="inlineStr">
        <is>
          <t>Estimate</t>
        </is>
      </c>
      <c r="F63" s="107" t="n"/>
      <c r="G63" s="107" t="n"/>
      <c r="H63" s="107" t="n"/>
      <c r="I63" s="107" t="n"/>
      <c r="J63" s="107" t="n"/>
      <c r="K63" s="107" t="n"/>
      <c r="L63" s="107" t="n"/>
    </row>
    <row r="64" s="56">
      <c r="A64" s="105" t="inlineStr">
        <is>
          <t>12 Nov</t>
        </is>
      </c>
      <c r="B64" s="105" t="inlineStr">
        <is>
          <t>PEK → Beijing Chaoyang station</t>
        </is>
      </c>
      <c r="C64" s="82" t="inlineStr">
        <is>
          <t>Taxi (~40 km)</t>
        </is>
      </c>
      <c r="D64" s="104" t="n">
        <v>0.03472222222222222</v>
      </c>
      <c r="E64" s="106" t="inlineStr">
        <is>
          <t>Estimate; at the station ~15:30, G153 at 17:27 (or G141 16:00)</t>
        </is>
      </c>
      <c r="F64" s="107" t="n"/>
      <c r="G64" s="107" t="n"/>
      <c r="H64" s="107" t="n"/>
      <c r="I64" s="107" t="n"/>
      <c r="J64" s="107" t="n"/>
      <c r="K64" s="107" t="n"/>
      <c r="L64" s="107" t="n"/>
    </row>
    <row r="65" s="56">
      <c r="A65" s="105" t="inlineStr">
        <is>
          <t>12 Nov</t>
        </is>
      </c>
      <c r="B65" s="105" t="inlineStr">
        <is>
          <t>Beijing Chaoyang → Shenyang</t>
        </is>
      </c>
      <c r="C65" s="82" t="inlineStr">
        <is>
          <t>G153 2nd class 17:27–20:04</t>
        </is>
      </c>
      <c r="D65" s="104" t="n">
        <v>0.1090277777777778</v>
      </c>
      <c r="E65" s="106" t="n"/>
      <c r="F65" s="107" t="n"/>
      <c r="G65" s="107" t="n"/>
      <c r="H65" s="107" t="n"/>
      <c r="I65" s="107" t="n"/>
      <c r="J65" s="107" t="n"/>
      <c r="K65" s="107" t="n"/>
      <c r="L65" s="107" t="n"/>
    </row>
    <row r="66" s="56">
      <c r="A66" s="105" t="inlineStr">
        <is>
          <t>12 Nov</t>
        </is>
      </c>
      <c r="B66" s="105" t="inlineStr">
        <is>
          <t>Shenyang station → hotel</t>
        </is>
      </c>
      <c r="C66" s="82" t="inlineStr">
        <is>
          <t>Taxi (~4 km)</t>
        </is>
      </c>
      <c r="D66" s="104" t="n">
        <v>0.01388888888888889</v>
      </c>
      <c r="E66" s="106" t="inlineStr">
        <is>
          <t>Check in ~20:30</t>
        </is>
      </c>
      <c r="F66" s="107" t="n"/>
      <c r="G66" s="107" t="n"/>
      <c r="H66" s="107" t="n"/>
      <c r="I66" s="107" t="n"/>
      <c r="J66" s="107" t="n"/>
      <c r="K66" s="107" t="n"/>
      <c r="L66" s="107" t="n"/>
    </row>
    <row r="67" s="56">
      <c r="A67" s="105" t="inlineStr">
        <is>
          <t>13–15 Nov</t>
        </is>
      </c>
      <c r="B67" s="105" t="inlineStr">
        <is>
          <t>Hotel ↔ NEU Nanhu (each way)</t>
        </is>
      </c>
      <c r="C67" s="82" t="inlineStr">
        <is>
          <t>Walk</t>
        </is>
      </c>
      <c r="D67" s="104" t="inlineStr">
        <is>
          <t>daily</t>
        </is>
      </c>
      <c r="E67" s="106" t="inlineStr">
        <is>
          <t>~15 min walk (Ji Hotel, 940 m straight line)</t>
        </is>
      </c>
      <c r="F67" s="107" t="n"/>
      <c r="G67" s="107" t="n"/>
      <c r="H67" s="107" t="n"/>
      <c r="I67" s="107" t="n"/>
      <c r="J67" s="107" t="n"/>
      <c r="K67" s="107" t="n"/>
      <c r="L67" s="107" t="n"/>
    </row>
    <row r="68" s="56">
      <c r="A68" s="105" t="inlineStr">
        <is>
          <t>15 Nov</t>
        </is>
      </c>
      <c r="B68" s="105" t="inlineStr">
        <is>
          <t>NEU Nanhu → Shenyang station</t>
        </is>
      </c>
      <c r="C68" s="82" t="inlineStr">
        <is>
          <t>Taxi</t>
        </is>
      </c>
      <c r="D68" s="104" t="n">
        <v>0.01388888888888889</v>
      </c>
      <c r="E68" s="106" t="n"/>
      <c r="F68" s="107" t="n"/>
      <c r="G68" s="107" t="n"/>
      <c r="H68" s="107" t="n"/>
      <c r="I68" s="107" t="n"/>
      <c r="J68" s="107" t="n"/>
      <c r="K68" s="107" t="n"/>
      <c r="L68" s="107" t="n"/>
    </row>
    <row r="69" s="56">
      <c r="A69" s="105" t="inlineStr">
        <is>
          <t>15–16 Nov</t>
        </is>
      </c>
      <c r="B69" s="105" t="inlineStr">
        <is>
          <t>Shenyang → Hohhot</t>
        </is>
      </c>
      <c r="C69" s="82" t="inlineStr">
        <is>
          <t>K1568 hard sleeper 22:50–17:02</t>
        </is>
      </c>
      <c r="D69" s="104" t="n">
        <v>0.7583333333333333</v>
      </c>
      <c r="E69" s="106" t="inlineStr">
        <is>
          <t>Overnight, after the contest</t>
        </is>
      </c>
      <c r="F69" s="107" t="n"/>
      <c r="G69" s="107" t="n"/>
      <c r="H69" s="107" t="n"/>
      <c r="I69" s="107" t="n"/>
      <c r="J69" s="107" t="n"/>
      <c r="K69" s="107" t="n"/>
      <c r="L69" s="107" t="n"/>
    </row>
    <row r="70" s="56">
      <c r="A70" s="105" t="inlineStr">
        <is>
          <t>16–17 Nov</t>
        </is>
      </c>
      <c r="B70" s="105" t="inlineStr">
        <is>
          <t>Hohhot → Erenhot</t>
        </is>
      </c>
      <c r="C70" s="82" t="inlineStr">
        <is>
          <t>4652 hard sleeper 22:50–06:50</t>
        </is>
      </c>
      <c r="D70" s="104" t="n">
        <v>0.3333333333333333</v>
      </c>
      <c r="E70" s="106" t="inlineStr">
        <is>
          <t>~6 h wait in Hohhot first (not counted)</t>
        </is>
      </c>
      <c r="F70" s="107" t="n"/>
      <c r="G70" s="107" t="n"/>
      <c r="H70" s="107" t="n"/>
      <c r="I70" s="107" t="n"/>
      <c r="J70" s="107" t="n"/>
      <c r="K70" s="107" t="n"/>
      <c r="L70" s="107" t="n"/>
    </row>
    <row r="71" s="56">
      <c r="A71" s="105" t="inlineStr">
        <is>
          <t>17 Nov</t>
        </is>
      </c>
      <c r="B71" s="105" t="inlineStr">
        <is>
          <t>Erenhot → Zamyn-Uud (border)</t>
        </is>
      </c>
      <c r="C71" s="82" t="inlineStr">
        <is>
          <t>Shared jeep</t>
        </is>
      </c>
      <c r="D71" s="104" t="n">
        <v>0.125</v>
      </c>
      <c r="E71" s="106" t="inlineStr">
        <is>
          <t>Estimate incl. both border posts</t>
        </is>
      </c>
      <c r="F71" s="107" t="n"/>
      <c r="G71" s="107" t="n"/>
      <c r="H71" s="107" t="n"/>
      <c r="I71" s="107" t="n"/>
      <c r="J71" s="107" t="n"/>
      <c r="K71" s="107" t="n"/>
      <c r="L71" s="107" t="n"/>
    </row>
    <row r="72">
      <c r="A72" s="105" t="inlineStr">
        <is>
          <t>17–18 Nov</t>
        </is>
      </c>
      <c r="B72" s="105" t="inlineStr">
        <is>
          <t>Zamyn-Uud → Ulaanbaatar</t>
        </is>
      </c>
      <c r="C72" s="82" t="inlineStr">
        <is>
          <t>UBTZ 275 platskart 18:05–09:20</t>
        </is>
      </c>
      <c r="D72" s="104" t="n">
        <v>0.6354166666666666</v>
      </c>
      <c r="E72" s="106" t="inlineStr">
        <is>
          <t>Wait in Zamyn-Uud not counted</t>
        </is>
      </c>
      <c r="F72" s="107" t="n"/>
      <c r="G72" s="107" t="n"/>
      <c r="H72" s="107" t="n"/>
      <c r="I72" s="107" t="n"/>
      <c r="J72" s="107" t="n"/>
      <c r="K72" s="107" t="n"/>
      <c r="L72" s="107" t="n"/>
    </row>
    <row r="73">
      <c r="A73" s="105" t="inlineStr">
        <is>
          <t>18 Nov</t>
        </is>
      </c>
      <c r="B73" s="105" t="inlineStr">
        <is>
          <t>Ulaanbaatar station → home</t>
        </is>
      </c>
      <c r="C73" s="82" t="inlineStr">
        <is>
          <t>Taxi</t>
        </is>
      </c>
      <c r="D73" s="104" t="n">
        <v>0.02083333333333333</v>
      </c>
      <c r="E73" s="106" t="n"/>
      <c r="F73" s="107" t="n"/>
      <c r="G73" s="107" t="n"/>
      <c r="H73" s="107" t="n"/>
      <c r="I73" s="107" t="n"/>
      <c r="J73" s="107" t="n"/>
      <c r="K73" s="107" t="n"/>
      <c r="L73" s="107" t="n"/>
    </row>
    <row r="75">
      <c r="C75" s="59" t="inlineStr">
        <is>
          <t>Total door-to-door</t>
        </is>
      </c>
      <c r="D75" s="109">
        <f>SUM(D61:D73)</f>
        <v/>
      </c>
    </row>
  </sheetData>
  <mergeCells count="24">
    <mergeCell ref="C52:L52"/>
    <mergeCell ref="E68:L68"/>
    <mergeCell ref="E71:L71"/>
    <mergeCell ref="B47:L47"/>
    <mergeCell ref="E62:L62"/>
    <mergeCell ref="B46:L46"/>
    <mergeCell ref="E67:L67"/>
    <mergeCell ref="C57:L57"/>
    <mergeCell ref="E73:L73"/>
    <mergeCell ref="C53:L53"/>
    <mergeCell ref="E64:L64"/>
    <mergeCell ref="E63:L63"/>
    <mergeCell ref="E69:L69"/>
    <mergeCell ref="E65:L65"/>
    <mergeCell ref="B44:L44"/>
    <mergeCell ref="C54:L54"/>
    <mergeCell ref="E70:L70"/>
    <mergeCell ref="E61:L61"/>
    <mergeCell ref="C55:L55"/>
    <mergeCell ref="C56:L56"/>
    <mergeCell ref="E72:L72"/>
    <mergeCell ref="E66:L66"/>
    <mergeCell ref="C51:L51"/>
    <mergeCell ref="B45:L4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71"/>
  <sheetViews>
    <sheetView workbookViewId="0">
      <selection activeCell="A1" sqref="A1"/>
    </sheetView>
  </sheetViews>
  <sheetFormatPr baseColWidth="8" defaultRowHeight="15"/>
  <cols>
    <col width="26" customWidth="1" style="56" min="1" max="1"/>
    <col width="52" customWidth="1" style="56" min="2" max="2"/>
    <col width="20" customWidth="1" style="56" min="3" max="3"/>
    <col width="15" customWidth="1" style="56" min="4" max="4"/>
    <col width="13" customWidth="1" style="56" min="5" max="5"/>
    <col width="9" customWidth="1" style="56" min="6" max="6"/>
    <col width="17" customWidth="1" style="56" min="8" max="8"/>
    <col width="13" customWidth="1" style="56" min="9" max="9"/>
    <col width="9" customWidth="1" style="56" min="10" max="10"/>
    <col width="17" customWidth="1" style="56" min="11" max="11"/>
    <col width="58" customWidth="1" style="56" min="12" max="12"/>
  </cols>
  <sheetData>
    <row r="1" ht="17.35" customHeight="1" s="56">
      <c r="A1" s="57" t="inlineStr">
        <is>
          <t>Shenyang – Overland out (seats)</t>
        </is>
      </c>
    </row>
    <row r="2" ht="15" customHeight="1" s="56">
      <c r="A2" s="62" t="inlineStr">
        <is>
          <t>Cheapest way out found: UBTZ train to Zamyn-Uud, jeep across the border, trains via Jining South to Shenyang, all in seats; arrive on day 1 morning, one hotel night; K28 seat + Air China home.</t>
        </is>
      </c>
    </row>
    <row r="4" ht="15" customHeight="1" s="56">
      <c r="A4" s="60" t="inlineStr">
        <is>
          <t>Days in destination (meals &amp; local transport)</t>
        </is>
      </c>
      <c r="B4" s="76" t="n">
        <v>4</v>
      </c>
      <c r="C4" s="62" t="inlineStr">
        <is>
          <t>12 Nov evening → 16 Nov midday</t>
        </is>
      </c>
    </row>
    <row r="5" ht="15" customHeight="1" s="56">
      <c r="A5" s="62" t="inlineStr">
        <is>
          <t>Shared inputs are on the Compare sheet. Scroll down for the day-by-day plan and door-to-door travel times.</t>
        </is>
      </c>
    </row>
    <row r="7" ht="31.5" customHeight="1" s="56">
      <c r="A7" s="66" t="inlineStr">
        <is>
          <t>Category</t>
        </is>
      </c>
      <c r="B7" s="66" t="inlineStr">
        <is>
          <t>Item</t>
        </is>
      </c>
      <c r="C7" s="66" t="inlineStr">
        <is>
          <t>Date</t>
        </is>
      </c>
      <c r="D7" s="66" t="inlineStr">
        <is>
          <t>Travel time</t>
        </is>
      </c>
      <c r="E7" s="66" t="inlineStr">
        <is>
          <t>Unit cost (3 ppl)</t>
        </is>
      </c>
      <c r="F7" s="66" t="inlineStr">
        <is>
          <t>Currency</t>
        </is>
      </c>
      <c r="G7" s="66" t="inlineStr">
        <is>
          <t>Qty (3 ppl)</t>
        </is>
      </c>
      <c r="H7" s="66" t="inlineStr">
        <is>
          <t>Total MNT – 3 people</t>
        </is>
      </c>
      <c r="I7" s="66" t="inlineStr">
        <is>
          <t>Unit cost (4 ppl)</t>
        </is>
      </c>
      <c r="J7" s="66" t="inlineStr">
        <is>
          <t>Qty (4 ppl)</t>
        </is>
      </c>
      <c r="K7" s="66" t="inlineStr">
        <is>
          <t>Total MNT – 4 people</t>
        </is>
      </c>
      <c r="L7" s="66" t="inlineStr">
        <is>
          <t>Source / notes</t>
        </is>
      </c>
    </row>
    <row r="8" s="56">
      <c r="A8" s="77" t="inlineStr">
        <is>
          <t>PAID BY UNIVERSITY</t>
        </is>
      </c>
      <c r="B8" s="78" t="n"/>
      <c r="C8" s="78" t="n"/>
      <c r="D8" s="78" t="n"/>
      <c r="E8" s="78" t="n"/>
      <c r="F8" s="78" t="n"/>
      <c r="G8" s="78" t="n"/>
      <c r="H8" s="78" t="n"/>
      <c r="I8" s="78" t="n"/>
      <c r="J8" s="78" t="n"/>
      <c r="K8" s="78" t="n"/>
      <c r="L8" s="78" t="n"/>
    </row>
    <row r="9" s="56">
      <c r="A9" s="79" t="inlineStr">
        <is>
          <t>Flights</t>
        </is>
      </c>
      <c r="B9" s="80" t="n"/>
      <c r="C9" s="80" t="n"/>
      <c r="D9" s="80" t="n"/>
      <c r="E9" s="80" t="n"/>
      <c r="F9" s="80" t="n"/>
      <c r="G9" s="80" t="n"/>
      <c r="H9" s="80" t="n"/>
      <c r="I9" s="80" t="n"/>
      <c r="J9" s="80" t="n"/>
      <c r="K9" s="80" t="n"/>
      <c r="L9" s="80" t="n"/>
    </row>
    <row r="10" ht="39" customHeight="1" s="56">
      <c r="B10" s="111" t="inlineStr">
        <is>
          <t>Air China CA955 Beijing Capital (PEK) 12:55 → Ulaanbaatar 15:05, nonstop</t>
        </is>
      </c>
      <c r="C10" s="83" t="inlineStr">
        <is>
          <t>16 Nov</t>
        </is>
      </c>
      <c r="D10" s="84" t="n">
        <v>0.09027777777777778</v>
      </c>
      <c r="E10" s="85" t="n">
        <v>171</v>
      </c>
      <c r="F10" s="86" t="inlineStr">
        <is>
          <t>USD</t>
        </is>
      </c>
      <c r="G10" s="87">
        <f>Compare!$B$6</f>
        <v/>
      </c>
      <c r="H10" s="88">
        <f>E10*G10*IF(F10="USD",Compare!$B$8,IF(F10="CNY",Compare!$B$9,IF(F10="HKD",Compare!$B$10,1)))</f>
        <v/>
      </c>
      <c r="I10" s="89">
        <f>E10</f>
        <v/>
      </c>
      <c r="J10" s="87">
        <f>Compare!$B$7</f>
        <v/>
      </c>
      <c r="K10" s="88">
        <f>I10*J10*IF(F10="USD",Compare!$B$8,IF(F10="CNY",Compare!$B$9,IF(F10="HKD",Compare!$B$10,1)))</f>
        <v/>
      </c>
      <c r="L10" s="112" t="inlineStr">
        <is>
          <t>Trip.com 22 Oct: US$171 pp, cheapest that day (MIAT OM224 11:30 US$193 on Trip.com / $176 on SlickTrip; Air China 08:25 $215; Capital + Hunnu via Erenhot $196)</t>
        </is>
      </c>
    </row>
    <row r="11" s="56">
      <c r="A11" s="79" t="inlineStr">
        <is>
          <t>Trains &amp; border crossing</t>
        </is>
      </c>
      <c r="B11" s="80" t="n"/>
      <c r="C11" s="80" t="n"/>
      <c r="D11" s="80" t="n"/>
      <c r="E11" s="80" t="n"/>
      <c r="F11" s="80" t="n"/>
      <c r="G11" s="80" t="n"/>
      <c r="H11" s="80" t="n"/>
      <c r="I11" s="80" t="n"/>
      <c r="J11" s="80" t="n"/>
      <c r="K11" s="80" t="n"/>
      <c r="L11" s="80" t="n"/>
    </row>
    <row r="12" ht="30" customHeight="1" s="56">
      <c r="B12" s="111" t="inlineStr">
        <is>
          <t>UBTZ train 276 Ulaanbaatar 16:40 → Zamyn-Uud 07:20, seat (общий)</t>
        </is>
      </c>
      <c r="C12" s="83" t="inlineStr">
        <is>
          <t>12–13 Nov</t>
        </is>
      </c>
      <c r="D12" s="84" t="n">
        <v>0.6111111111111112</v>
      </c>
      <c r="E12" s="85" t="n">
        <v>26000</v>
      </c>
      <c r="F12" s="86" t="inlineStr">
        <is>
          <t>MNT</t>
        </is>
      </c>
      <c r="G12" s="87">
        <f>Compare!$B$6</f>
        <v/>
      </c>
      <c r="H12" s="88">
        <f>E12*G12*IF(F12="USD",Compare!$B$8,IF(F12="CNY",Compare!$B$9,IF(F12="HKD",Compare!$B$10,1)))</f>
        <v/>
      </c>
      <c r="I12" s="89">
        <f>E12</f>
        <v/>
      </c>
      <c r="J12" s="87">
        <f>Compare!$B$7</f>
        <v/>
      </c>
      <c r="K12" s="88">
        <f>I12*J12*IF(F12="USD",Compare!$B$8,IF(F12="CNY",Compare!$B$9,IF(F12="HKD",Compare!$B$10,1)))</f>
        <v/>
      </c>
      <c r="L12" s="112" t="inlineStr">
        <is>
          <t>eticket.ubtz.mn 22 Oct: daily; seat ₮26,000 (69 free on 12 Nov); platskart ₮44,000 + bedding ₮7,400; kupe ₮73,400 + ₮7,400. On sale now.</t>
        </is>
      </c>
    </row>
    <row r="13" ht="39" customHeight="1" s="56">
      <c r="B13" s="111" t="inlineStr">
        <is>
          <t>Shared jeep Zamyn-Uud → Erenhot across the border</t>
        </is>
      </c>
      <c r="C13" s="83" t="inlineStr">
        <is>
          <t>13 Nov (morning)</t>
        </is>
      </c>
      <c r="D13" s="84" t="n">
        <v>0.125</v>
      </c>
      <c r="E13" s="113" t="n">
        <v>100</v>
      </c>
      <c r="F13" s="86" t="inlineStr">
        <is>
          <t>CNY</t>
        </is>
      </c>
      <c r="G13" s="87">
        <f>Compare!$B$6</f>
        <v/>
      </c>
      <c r="H13" s="88">
        <f>E13*G13*IF(F13="USD",Compare!$B$8,IF(F13="CNY",Compare!$B$9,IF(F13="HKD",Compare!$B$10,1)))</f>
        <v/>
      </c>
      <c r="I13" s="114">
        <f>E13</f>
        <v/>
      </c>
      <c r="J13" s="87">
        <f>Compare!$B$7</f>
        <v/>
      </c>
      <c r="K13" s="88">
        <f>I13*J13*IF(F13="USD",Compare!$B$8,IF(F13="CNY",Compare!$B$9,IF(F13="HKD",Compare!$B$10,1)))</f>
        <v/>
      </c>
      <c r="L13" s="112" t="inlineStr">
        <is>
          <t>ASSUMPTION ¥50–110 pp (Wikivoyage, travel blogs); ~3 h with both border posts. Must reach Erenhot station for 12:45 – the next train (6858 13:48) misses T301. Border hours not verified.</t>
        </is>
      </c>
    </row>
    <row r="14" ht="30" customHeight="1" s="56">
      <c r="B14" s="111" t="inlineStr">
        <is>
          <t>Train 4654 Erenhot 12:45 → Jining South 18:11, hard seat</t>
        </is>
      </c>
      <c r="C14" s="83" t="inlineStr">
        <is>
          <t>13 Nov</t>
        </is>
      </c>
      <c r="D14" s="84" t="n">
        <v>0.2263888888888889</v>
      </c>
      <c r="E14" s="85" t="n">
        <v>44.5</v>
      </c>
      <c r="F14" s="86" t="inlineStr">
        <is>
          <t>CNY</t>
        </is>
      </c>
      <c r="G14" s="87">
        <f>Compare!$B$6</f>
        <v/>
      </c>
      <c r="H14" s="88">
        <f>E14*G14*IF(F14="USD",Compare!$B$8,IF(F14="CNY",Compare!$B$9,IF(F14="HKD",Compare!$B$10,1)))</f>
        <v/>
      </c>
      <c r="I14" s="89">
        <f>E14</f>
        <v/>
      </c>
      <c r="J14" s="87">
        <f>Compare!$B$7</f>
        <v/>
      </c>
      <c r="K14" s="88">
        <f>I14*J14*IF(F14="USD",Compare!$B$8,IF(F14="CNY",Compare!$B$9,IF(F14="HKD",Compare!$B$10,1)))</f>
        <v/>
      </c>
      <c r="L14" s="112" t="inlineStr">
        <is>
          <t>12306 (5 Nov query): seat ¥44.5, hard sleeper ¥90.5. ChinaTicketOnline confirms 11 and 13 Nov; on sale 30 Oct 15:00 for 13 Nov.</t>
        </is>
      </c>
    </row>
    <row r="15" ht="39" customHeight="1" s="56">
      <c r="B15" s="111" t="inlineStr">
        <is>
          <t>Overnight train T301 Jining South 19:30 → Shenyang 10:16, hard seat</t>
        </is>
      </c>
      <c r="C15" s="83" t="inlineStr">
        <is>
          <t>13–14 Nov</t>
        </is>
      </c>
      <c r="D15" s="84" t="n">
        <v>0.6152777777777778</v>
      </c>
      <c r="E15" s="85" t="n">
        <v>163.5</v>
      </c>
      <c r="F15" s="86" t="inlineStr">
        <is>
          <t>CNY</t>
        </is>
      </c>
      <c r="G15" s="87">
        <f>Compare!$B$6</f>
        <v/>
      </c>
      <c r="H15" s="88">
        <f>E15*G15*IF(F15="USD",Compare!$B$8,IF(F15="CNY",Compare!$B$9,IF(F15="HKD",Compare!$B$10,1)))</f>
        <v/>
      </c>
      <c r="I15" s="89">
        <f>E15</f>
        <v/>
      </c>
      <c r="J15" s="87">
        <f>Compare!$B$7</f>
        <v/>
      </c>
      <c r="K15" s="88">
        <f>I15*J15*IF(F15="USD",Compare!$B$8,IF(F15="CNY",Compare!$B$9,IF(F15="HKD",Compare!$B$10,1)))</f>
        <v/>
      </c>
      <c r="L15" s="112" t="inlineStr">
        <is>
          <t>12306 (5 Nov query): seat ¥163.5, hard sleeper ¥280.5, soft ¥438.5; 1 h 19 min change at Jining South. ChinaTicketOnline confirms 13 Nov, on sale 30 Oct 15:00. Also K1567 17:31 → 09:38 (same fares).</t>
        </is>
      </c>
    </row>
    <row r="16" ht="51" customHeight="1" s="56">
      <c r="B16" s="111" t="inlineStr">
        <is>
          <t>Overnight train K28 Shenyang 22:24 → Beijing 08:40, hard seat (after the contest)</t>
        </is>
      </c>
      <c r="C16" s="83" t="inlineStr">
        <is>
          <t>15 Nov (night)</t>
        </is>
      </c>
      <c r="D16" s="84" t="n">
        <v>0.4277777777777778</v>
      </c>
      <c r="E16" s="85" t="n">
        <v>112</v>
      </c>
      <c r="F16" s="86" t="inlineStr">
        <is>
          <t>CNY</t>
        </is>
      </c>
      <c r="G16" s="87">
        <f>Compare!$B$6</f>
        <v/>
      </c>
      <c r="H16" s="88">
        <f>E16*G16*IF(F16="USD",Compare!$B$8,IF(F16="CNY",Compare!$B$9,IF(F16="HKD",Compare!$B$10,1)))</f>
        <v/>
      </c>
      <c r="I16" s="89">
        <f>E16</f>
        <v/>
      </c>
      <c r="J16" s="87">
        <f>Compare!$B$7</f>
        <v/>
      </c>
      <c r="K16" s="88">
        <f>I16*J16*IF(F16="USD",Compare!$B$8,IF(F16="CNY",Compare!$B$9,IF(F16="HKD",Compare!$B$10,1)))</f>
        <v/>
      </c>
      <c r="L16" s="112" t="inlineStr">
        <is>
          <t>12306 (5 Nov query): hard seat ¥112 (hard sleeper ¥194). Cheapest train that still makes the 12:55 flight (K96 23:39 ¥102 arrives 11:19 – too late). Lie-flat upgrade: K54 Shenyang North 22:00 → 06:58 hard sleeper ¥171 (+¥59 pp). On sale 1 Nov 09:30 (ChinaTicketOnline confirms 15 Nov).</t>
        </is>
      </c>
    </row>
    <row r="17" s="56">
      <c r="A17" s="79" t="inlineStr">
        <is>
          <t>Accommodation</t>
        </is>
      </c>
      <c r="B17" s="80" t="n"/>
      <c r="C17" s="80" t="n"/>
      <c r="D17" s="80" t="n"/>
      <c r="E17" s="80" t="n"/>
      <c r="F17" s="80" t="n"/>
      <c r="G17" s="80" t="n"/>
      <c r="H17" s="80" t="n"/>
      <c r="I17" s="80" t="n"/>
      <c r="J17" s="80" t="n"/>
      <c r="K17" s="80" t="n"/>
      <c r="L17" s="80" t="n"/>
    </row>
    <row r="18" ht="60" customHeight="1" s="56">
      <c r="B18" s="111" t="inlineStr">
        <is>
          <t>Ji Hotel Sanhao Street, 55 Sanhao St (~940 m to NEU Nanhu, ~15 min walk): 2 Budget Twin rooms, King Koil mattresses, windows, floors 4–16 – a bed each</t>
        </is>
      </c>
      <c r="C18" s="83" t="inlineStr">
        <is>
          <t>14–15 Nov (1 night)</t>
        </is>
      </c>
      <c r="D18" s="84" t="n"/>
      <c r="E18" s="85" t="n">
        <v>457</v>
      </c>
      <c r="F18" s="86" t="inlineStr">
        <is>
          <t>CNY</t>
        </is>
      </c>
      <c r="G18" s="91" t="n">
        <v>1</v>
      </c>
      <c r="H18" s="88">
        <f>E18*G18*IF(F18="USD",Compare!$B$8,IF(F18="CNY",Compare!$B$9,IF(F18="HKD",Compare!$B$10,1)))</f>
        <v/>
      </c>
      <c r="I18" s="85" t="n">
        <v>457</v>
      </c>
      <c r="J18" s="91" t="n">
        <v>1</v>
      </c>
      <c r="K18" s="88">
        <f>I18*J18*IF(F18="USD",Compare!$B$8,IF(F18="CNY",Compare!$B$9,IF(F18="HKD",Compare!$B$10,1)))</f>
        <v/>
      </c>
      <c r="L18" s="112" t="inlineStr">
        <is>
          <t>Trip.com 22 Oct: ¥457 for 2 Budget Twin rooms × 1 night (14–15 Nov) incl. taxes, free cancellation until 18:00 on 13 Nov; same hotel as 'Sleep value' (9.0, King Koil mattresses).</t>
        </is>
      </c>
    </row>
    <row r="19" s="56">
      <c r="A19" s="79" t="inlineStr">
        <is>
          <t>Meals &amp; local transport</t>
        </is>
      </c>
      <c r="B19" s="80" t="n"/>
      <c r="C19" s="80" t="n"/>
      <c r="D19" s="80" t="n"/>
      <c r="E19" s="80" t="n"/>
      <c r="F19" s="80" t="n"/>
      <c r="G19" s="80" t="n"/>
      <c r="H19" s="80" t="n"/>
      <c r="I19" s="80" t="n"/>
      <c r="J19" s="80" t="n"/>
      <c r="K19" s="80" t="n"/>
      <c r="L19" s="80" t="n"/>
    </row>
    <row r="20" ht="30" customHeight="1" s="56">
      <c r="B20" s="111" t="inlineStr">
        <is>
          <t>Meals</t>
        </is>
      </c>
      <c r="C20" s="83" t="inlineStr">
        <is>
          <t>in destination</t>
        </is>
      </c>
      <c r="D20" s="84" t="n"/>
      <c r="E20" s="113" t="n">
        <v>80</v>
      </c>
      <c r="F20" s="86" t="inlineStr">
        <is>
          <t>CNY</t>
        </is>
      </c>
      <c r="G20" s="87">
        <f>Compare!$B$6*$B$4</f>
        <v/>
      </c>
      <c r="H20" s="88">
        <f>E20*G20*IF(F20="USD",Compare!$B$8,IF(F20="CNY",Compare!$B$9,IF(F20="HKD",Compare!$B$10,1)))</f>
        <v/>
      </c>
      <c r="I20" s="114">
        <f>E20</f>
        <v/>
      </c>
      <c r="J20" s="87">
        <f>Compare!$B$7*$B$4</f>
        <v/>
      </c>
      <c r="K20" s="88">
        <f>I20*J20*IF(F20="USD",Compare!$B$8,IF(F20="CNY",Compare!$B$9,IF(F20="HKD",Compare!$B$10,1)))</f>
        <v/>
      </c>
      <c r="L20" s="112" t="inlineStr">
        <is>
          <t>ASSUMPTION 80 CNY/person/day; hosts usually provide some meals on contest days</t>
        </is>
      </c>
    </row>
    <row r="21" ht="30" customHeight="1" s="56">
      <c r="B21" s="111" t="inlineStr">
        <is>
          <t>Local transport (metro, taxis)</t>
        </is>
      </c>
      <c r="C21" s="83" t="inlineStr">
        <is>
          <t>in destination</t>
        </is>
      </c>
      <c r="D21" s="84" t="n"/>
      <c r="E21" s="113" t="n">
        <v>30</v>
      </c>
      <c r="F21" s="86" t="inlineStr">
        <is>
          <t>CNY</t>
        </is>
      </c>
      <c r="G21" s="87">
        <f>Compare!$B$6*$B$4</f>
        <v/>
      </c>
      <c r="H21" s="88">
        <f>E21*G21*IF(F21="USD",Compare!$B$8,IF(F21="CNY",Compare!$B$9,IF(F21="HKD",Compare!$B$10,1)))</f>
        <v/>
      </c>
      <c r="I21" s="114">
        <f>E21</f>
        <v/>
      </c>
      <c r="J21" s="87">
        <f>Compare!$B$7*$B$4</f>
        <v/>
      </c>
      <c r="K21" s="88">
        <f>I21*J21*IF(F21="USD",Compare!$B$8,IF(F21="CNY",Compare!$B$9,IF(F21="HKD",Compare!$B$10,1)))</f>
        <v/>
      </c>
      <c r="L21" s="112" t="inlineStr">
        <is>
          <t>ASSUMPTION 30 CNY/person/day</t>
        </is>
      </c>
    </row>
    <row r="22" ht="30" customHeight="1" s="56">
      <c r="B22" s="111" t="inlineStr">
        <is>
          <t>Metro line 2 + Airport Express, Beijing station → PEK T3</t>
        </is>
      </c>
      <c r="C22" s="83" t="inlineStr">
        <is>
          <t>16 Nov</t>
        </is>
      </c>
      <c r="D22" s="84" t="n"/>
      <c r="E22" s="113" t="n">
        <v>30</v>
      </c>
      <c r="F22" s="86" t="inlineStr">
        <is>
          <t>CNY</t>
        </is>
      </c>
      <c r="G22" s="87">
        <f>Compare!$B$6</f>
        <v/>
      </c>
      <c r="H22" s="88">
        <f>E22*G22*IF(F22="USD",Compare!$B$8,IF(F22="CNY",Compare!$B$9,IF(F22="HKD",Compare!$B$10,1)))</f>
        <v/>
      </c>
      <c r="I22" s="114">
        <f>E22</f>
        <v/>
      </c>
      <c r="J22" s="87">
        <f>Compare!$B$7</f>
        <v/>
      </c>
      <c r="K22" s="88">
        <f>I22*J22*IF(F22="USD",Compare!$B$8,IF(F22="CNY",Compare!$B$9,IF(F22="HKD",Compare!$B$10,1)))</f>
        <v/>
      </c>
      <c r="L22" s="112" t="inlineStr">
        <is>
          <t>ASSUMPTION Airport Express ¥25 + metro ¥4–5 pp</t>
        </is>
      </c>
    </row>
    <row r="23" s="56">
      <c r="A23" s="94" t="inlineStr">
        <is>
          <t>PAID PERSONALLY (university won't cover)</t>
        </is>
      </c>
      <c r="B23" s="95" t="n"/>
      <c r="C23" s="95" t="n"/>
      <c r="D23" s="95" t="n"/>
      <c r="E23" s="95" t="n"/>
      <c r="F23" s="95" t="n"/>
      <c r="G23" s="95" t="n"/>
      <c r="H23" s="95" t="n"/>
      <c r="I23" s="95" t="n"/>
      <c r="J23" s="95" t="n"/>
      <c r="K23" s="95" t="n"/>
      <c r="L23" s="95" t="n"/>
    </row>
    <row r="24" s="56">
      <c r="A24" s="79" t="inlineStr">
        <is>
          <t>Contest fee</t>
        </is>
      </c>
      <c r="B24" s="80" t="n"/>
      <c r="C24" s="80" t="n"/>
      <c r="D24" s="80" t="n"/>
      <c r="E24" s="80" t="n"/>
      <c r="F24" s="80" t="n"/>
      <c r="G24" s="80" t="n"/>
      <c r="H24" s="80" t="n"/>
      <c r="I24" s="80" t="n"/>
      <c r="J24" s="80" t="n"/>
      <c r="K24" s="80" t="n"/>
      <c r="L24" s="80" t="n"/>
    </row>
    <row r="25" ht="30" customHeight="1" s="56">
      <c r="B25" s="111" t="inlineStr">
        <is>
          <t>Shenyang regional registration fee (per team)</t>
        </is>
      </c>
      <c r="C25" s="83" t="inlineStr">
        <is>
          <t>pay when invited</t>
        </is>
      </c>
      <c r="D25" s="84" t="n"/>
      <c r="E25" s="113" t="n">
        <v>1500</v>
      </c>
      <c r="F25" s="86" t="inlineStr">
        <is>
          <t>CNY</t>
        </is>
      </c>
      <c r="G25" s="91" t="n">
        <v>1</v>
      </c>
      <c r="H25" s="88">
        <f>E25*G25*IF(F25="USD",Compare!$B$8,IF(F25="CNY",Compare!$B$9,IF(F25="HKD",Compare!$B$10,1)))</f>
        <v/>
      </c>
      <c r="I25" s="114">
        <f>E25</f>
        <v/>
      </c>
      <c r="J25" s="91" t="n">
        <v>1</v>
      </c>
      <c r="K25" s="88">
        <f>I25*J25*IF(F25="USD",Compare!$B$8,IF(F25="CNY",Compare!$B$9,IF(F25="HKD",Compare!$B$10,1)))</f>
        <v/>
      </c>
      <c r="L25" s="112" t="inlineStr">
        <is>
          <t>ASSUMPTION: 1,500 CNY/team like recent EC regionals; the 2026 Shenyang invitation was not found on 22 Oct</t>
        </is>
      </c>
    </row>
    <row r="26" s="56">
      <c r="A26" s="79" t="inlineStr">
        <is>
          <t>Other</t>
        </is>
      </c>
      <c r="B26" s="80" t="n"/>
      <c r="C26" s="80" t="n"/>
      <c r="D26" s="80" t="n"/>
      <c r="E26" s="80" t="n"/>
      <c r="F26" s="80" t="n"/>
      <c r="G26" s="80" t="n"/>
      <c r="H26" s="80" t="n"/>
      <c r="I26" s="80" t="n"/>
      <c r="J26" s="80" t="n"/>
      <c r="K26" s="80" t="n"/>
      <c r="L26" s="80" t="n"/>
    </row>
    <row r="27" ht="30" customHeight="1" s="56">
      <c r="B27" s="111" t="inlineStr">
        <is>
          <t>Taxi home → Ulaanbaatar railway station</t>
        </is>
      </c>
      <c r="C27" s="83" t="inlineStr">
        <is>
          <t>12 Nov</t>
        </is>
      </c>
      <c r="D27" s="84" t="n">
        <v>0.02083333333333333</v>
      </c>
      <c r="E27" s="113" t="n">
        <v>30000</v>
      </c>
      <c r="F27" s="86" t="inlineStr">
        <is>
          <t>MNT</t>
        </is>
      </c>
      <c r="G27" s="91" t="n">
        <v>1</v>
      </c>
      <c r="H27" s="88">
        <f>E27*G27*IF(F27="USD",Compare!$B$8,IF(F27="CNY",Compare!$B$9,IF(F27="HKD",Compare!$B$10,1)))</f>
        <v/>
      </c>
      <c r="I27" s="114">
        <f>E27</f>
        <v/>
      </c>
      <c r="J27" s="91" t="n">
        <v>1</v>
      </c>
      <c r="K27" s="88">
        <f>I27*J27*IF(F27="USD",Compare!$B$8,IF(F27="CNY",Compare!$B$9,IF(F27="HKD",Compare!$B$10,1)))</f>
        <v/>
      </c>
      <c r="L27" s="112" t="inlineStr">
        <is>
          <t>ASSUMPTION ~30k MNT for the group (city trip)</t>
        </is>
      </c>
    </row>
    <row r="28" ht="30" customHeight="1" s="56">
      <c r="B28" s="111" t="inlineStr">
        <is>
          <t>Taxi Chinggis Khaan airport → home (UB)</t>
        </is>
      </c>
      <c r="C28" s="83" t="inlineStr">
        <is>
          <t>16 Nov</t>
        </is>
      </c>
      <c r="D28" s="84" t="n">
        <v>0.04166666666666666</v>
      </c>
      <c r="E28" s="113" t="n">
        <v>100000</v>
      </c>
      <c r="F28" s="86" t="inlineStr">
        <is>
          <t>MNT</t>
        </is>
      </c>
      <c r="G28" s="91" t="n">
        <v>1</v>
      </c>
      <c r="H28" s="88">
        <f>E28*G28*IF(F28="USD",Compare!$B$8,IF(F28="CNY",Compare!$B$9,IF(F28="HKD",Compare!$B$10,1)))</f>
        <v/>
      </c>
      <c r="I28" s="114">
        <f>E28</f>
        <v/>
      </c>
      <c r="J28" s="91" t="n">
        <v>1</v>
      </c>
      <c r="K28" s="88">
        <f>I28*J28*IF(F28="USD",Compare!$B$8,IF(F28="CNY",Compare!$B$9,IF(F28="HKD",Compare!$B$10,1)))</f>
        <v/>
      </c>
      <c r="L28" s="112" t="inlineStr">
        <is>
          <t>ASSUMPTION 100k MNT per trip for the group</t>
        </is>
      </c>
    </row>
    <row r="29" ht="30" customHeight="1" s="56">
      <c r="B29" s="111" t="inlineStr">
        <is>
          <t>Travel medical insurance</t>
        </is>
      </c>
      <c r="C29" s="83" t="n"/>
      <c r="D29" s="84" t="n"/>
      <c r="E29" s="113" t="n">
        <v>30000</v>
      </c>
      <c r="F29" s="86" t="inlineStr">
        <is>
          <t>MNT</t>
        </is>
      </c>
      <c r="G29" s="87">
        <f>Compare!$B$6</f>
        <v/>
      </c>
      <c r="H29" s="88">
        <f>E29*G29*IF(F29="USD",Compare!$B$8,IF(F29="CNY",Compare!$B$9,IF(F29="HKD",Compare!$B$10,1)))</f>
        <v/>
      </c>
      <c r="I29" s="114">
        <f>E29</f>
        <v/>
      </c>
      <c r="J29" s="87">
        <f>Compare!$B$7</f>
        <v/>
      </c>
      <c r="K29" s="88">
        <f>I29*J29*IF(F29="USD",Compare!$B$8,IF(F29="CNY",Compare!$B$9,IF(F29="HKD",Compare!$B$10,1)))</f>
        <v/>
      </c>
      <c r="L29" s="112" t="inlineStr">
        <is>
          <t>ASSUMPTION ~30k MNT per person, Mongolian insurer</t>
        </is>
      </c>
    </row>
    <row r="30" ht="30" customHeight="1" s="56">
      <c r="B30" s="111" t="inlineStr">
        <is>
          <t>Mobile data eSIM</t>
        </is>
      </c>
      <c r="C30" s="83" t="n"/>
      <c r="D30" s="84" t="n"/>
      <c r="E30" s="113" t="n">
        <v>10</v>
      </c>
      <c r="F30" s="86" t="inlineStr">
        <is>
          <t>USD</t>
        </is>
      </c>
      <c r="G30" s="87">
        <f>Compare!$B$6</f>
        <v/>
      </c>
      <c r="H30" s="88">
        <f>E30*G30*IF(F30="USD",Compare!$B$8,IF(F30="CNY",Compare!$B$9,IF(F30="HKD",Compare!$B$10,1)))</f>
        <v/>
      </c>
      <c r="I30" s="114">
        <f>E30</f>
        <v/>
      </c>
      <c r="J30" s="87">
        <f>Compare!$B$7</f>
        <v/>
      </c>
      <c r="K30" s="88">
        <f>I30*J30*IF(F30="USD",Compare!$B$8,IF(F30="CNY",Compare!$B$9,IF(F30="HKD",Compare!$B$10,1)))</f>
        <v/>
      </c>
      <c r="L30" s="112" t="inlineStr">
        <is>
          <t>ASSUMPTION ~$10 pp</t>
        </is>
      </c>
    </row>
    <row r="31" ht="30" customHeight="1" s="56">
      <c r="B31" s="111" t="inlineStr">
        <is>
          <t>Visa</t>
        </is>
      </c>
      <c r="C31" s="83" t="n"/>
      <c r="D31" s="84" t="n"/>
      <c r="E31" s="85" t="n">
        <v>0</v>
      </c>
      <c r="F31" s="86" t="inlineStr">
        <is>
          <t>MNT</t>
        </is>
      </c>
      <c r="G31" s="87">
        <f>Compare!$B$6</f>
        <v/>
      </c>
      <c r="H31" s="88">
        <f>E31*G31*IF(F31="USD",Compare!$B$8,IF(F31="CNY",Compare!$B$9,IF(F31="HKD",Compare!$B$10,1)))</f>
        <v/>
      </c>
      <c r="I31" s="89">
        <f>E31</f>
        <v/>
      </c>
      <c r="J31" s="87">
        <f>Compare!$B$7</f>
        <v/>
      </c>
      <c r="K31" s="88">
        <f>I31*J31*IF(F31="USD",Compare!$B$8,IF(F31="CNY",Compare!$B$9,IF(F31="HKD",Compare!$B$10,1)))</f>
        <v/>
      </c>
      <c r="L31" s="112" t="inlineStr">
        <is>
          <t>Mongolian passports: visa-free (mainland China up to 30 days; Hong Kong up to 14 days)</t>
        </is>
      </c>
    </row>
    <row r="32" s="56"/>
    <row r="33" s="56">
      <c r="G33" s="60" t="n"/>
      <c r="H33" s="96" t="inlineStr">
        <is>
          <t>3 people – UNFUNDED</t>
        </is>
      </c>
      <c r="K33" s="96" t="inlineStr">
        <is>
          <t>4 people – FUNDED ₮12M</t>
        </is>
      </c>
    </row>
    <row r="34" s="56">
      <c r="G34" s="97" t="inlineStr">
        <is>
          <t>University-paid subtotal</t>
        </is>
      </c>
      <c r="H34" s="98">
        <f>SUM(H9:H22)</f>
        <v/>
      </c>
      <c r="K34" s="98">
        <f>SUM(K9:K22)</f>
        <v/>
      </c>
    </row>
    <row r="35" s="56">
      <c r="G35" s="99" t="inlineStr">
        <is>
          <t>Contingency</t>
        </is>
      </c>
      <c r="H35" s="100">
        <f>H34*Compare!$B$11</f>
        <v/>
      </c>
      <c r="K35" s="100">
        <f>K34*Compare!$B$11</f>
        <v/>
      </c>
    </row>
    <row r="36" s="56">
      <c r="G36" s="97" t="inlineStr">
        <is>
          <t>University-paid total incl. contingency</t>
        </is>
      </c>
      <c r="H36" s="98">
        <f>H34+H35</f>
        <v/>
      </c>
      <c r="K36" s="98">
        <f>K34+K35</f>
        <v/>
      </c>
    </row>
    <row r="37" s="56">
      <c r="G37" s="97" t="inlineStr">
        <is>
          <t>Funding left (negative = over)</t>
        </is>
      </c>
      <c r="H37" s="101">
        <f>Compare!$B$12-H36</f>
        <v/>
      </c>
      <c r="K37" s="101">
        <f>Compare!$B$5-K36</f>
        <v/>
      </c>
    </row>
    <row r="38" s="56">
      <c r="G38" s="97" t="inlineStr">
        <is>
          <t>Personal costs – team</t>
        </is>
      </c>
      <c r="H38" s="102">
        <f>SUM(H24:H31)</f>
        <v/>
      </c>
      <c r="K38" s="102">
        <f>SUM(K24:K31)</f>
        <v/>
      </c>
    </row>
    <row r="39" s="56">
      <c r="G39" s="97" t="inlineStr">
        <is>
          <t>Out-of-pocket per person (personal + any overrun)</t>
        </is>
      </c>
      <c r="H39" s="102">
        <f>(H38+MAX(0,-H37))/Compare!$B$6</f>
        <v/>
      </c>
      <c r="K39" s="102">
        <f>(K38+MAX(0,-K37))/Compare!$B$7</f>
        <v/>
      </c>
    </row>
    <row r="40" s="56">
      <c r="G40" s="97" t="inlineStr">
        <is>
          <t>Whole trip cost (university + personal)</t>
        </is>
      </c>
      <c r="H40" s="103">
        <f>H36+H38</f>
        <v/>
      </c>
      <c r="K40" s="103">
        <f>K36+K38</f>
        <v/>
      </c>
    </row>
    <row r="41" s="56">
      <c r="G41" s="99" t="inlineStr">
        <is>
          <t>Time in planes &amp; trains</t>
        </is>
      </c>
      <c r="H41" s="104">
        <f>SUM(D10:D10)+SUM(D12:D16)</f>
        <v/>
      </c>
      <c r="K41" s="104">
        <f>SUM(D10:D10)+SUM(D12:D16)</f>
        <v/>
      </c>
    </row>
    <row r="42" s="56"/>
    <row r="43" s="56">
      <c r="A43" s="72" t="inlineStr">
        <is>
          <t>Key facts</t>
        </is>
      </c>
    </row>
    <row r="44" ht="30" customHeight="1" s="56">
      <c r="A44" s="75" t="inlineStr">
        <is>
          <t>Contest</t>
        </is>
      </c>
      <c r="B44" s="74" t="inlineStr">
        <is>
          <t>Asia Shenyang Regional, 14–15 Nov 2026 (provisional; the 2026 invitation was not found on 22 Oct), Northeastern University Nanhu campus (2024 and 2025 venue). Assumed: day 1 registration + practice, contest 15 Nov 09:00–14:00, awards ~17:00.</t>
        </is>
      </c>
    </row>
    <row r="45" ht="30" customHeight="1" s="56">
      <c r="A45" s="75" t="inlineStr">
        <is>
          <t>Why this plan</t>
        </is>
      </c>
      <c r="B45" s="74" t="inlineStr">
        <is>
          <t>No flight on the way out: ~₮0.19M per person to Shenyang, a fifth of the Air China route. Cheaper way out than the Air China + G153 route of 'Sleep value' (₮0.91M per person); the rest of the trip is the same (Ji Hotel twin rooms, K28 hard seat + Air China 12:55 home), with hotel nights set by the arrival time.</t>
        </is>
      </c>
    </row>
    <row r="46" ht="30" customHeight="1" s="56">
      <c r="A46" s="75" t="inlineStr">
        <is>
          <t>Trade-off</t>
        </is>
      </c>
      <c r="B46" s="74" t="inlineStr">
        <is>
          <t>Two nights sitting up on trains in a row, right before day 1 (POOR for sleep); arrive 10:16 on registration day. The jeep fare and border hours are not verified, and missing the 12:45 train costs a day. Cold Gobi border in mid-November.</t>
        </is>
      </c>
    </row>
    <row r="47" ht="15" customHeight="1" s="56">
      <c r="A47" s="75" t="inlineStr">
        <is>
          <t>Book</t>
        </is>
      </c>
      <c r="B47" s="74" t="inlineStr">
        <is>
          <t>UBTZ 276 on eticket.ubtz.mn (on sale now); 4654 and T301 on 12306 at 15:00 on 30 Oct; K28 on 12306 at 09:30 on 1 Nov; Air China home on Trip.com.</t>
        </is>
      </c>
    </row>
    <row r="48" s="56"/>
    <row r="49" s="56">
      <c r="A49" s="72" t="inlineStr">
        <is>
          <t>Day-by-day plan</t>
        </is>
      </c>
    </row>
    <row r="50" s="56">
      <c r="A50" s="96" t="inlineStr">
        <is>
          <t>Date</t>
        </is>
      </c>
      <c r="B50" s="96" t="inlineStr">
        <is>
          <t>Sleep in</t>
        </is>
      </c>
      <c r="C50" s="96" t="inlineStr">
        <is>
          <t>What happens</t>
        </is>
      </c>
    </row>
    <row r="51" ht="15" customHeight="1" s="56">
      <c r="A51" s="74" t="inlineStr">
        <is>
          <t>Thu 12 Nov</t>
        </is>
      </c>
      <c r="B51" s="74" t="inlineStr">
        <is>
          <t>Train</t>
        </is>
      </c>
      <c r="C51" s="74" t="inlineStr">
        <is>
          <t>Taxi to Ulaanbaatar station; UBTZ 276 16:40 → Zamyn-Uud (overnight).</t>
        </is>
      </c>
    </row>
    <row r="52" ht="30" customHeight="1" s="56">
      <c r="A52" s="74" t="inlineStr">
        <is>
          <t>Fri 13 Nov</t>
        </is>
      </c>
      <c r="B52" s="74" t="inlineStr">
        <is>
          <t>Train</t>
        </is>
      </c>
      <c r="C52" s="74" t="inlineStr">
        <is>
          <t>Arrive Zamyn-Uud 07:20; shared jeep across the border to Erenhot (at the station by ~12:00); 4654 12:45 → Jining South 18:11; T301 19:30 → Shenyang (overnight).</t>
        </is>
      </c>
    </row>
    <row r="53" ht="15" customHeight="1" s="56">
      <c r="A53" s="74" t="inlineStr">
        <is>
          <t>Sat 14 Nov</t>
        </is>
      </c>
      <c r="B53" s="74" t="inlineStr">
        <is>
          <t>Shenyang</t>
        </is>
      </c>
      <c r="C53" s="74" t="inlineStr">
        <is>
          <t>Arrive Shenyang 10:16; taxi to NEU Nanhu for registration and practice; check in at Ji Hotel. Lights out ~22:30.</t>
        </is>
      </c>
    </row>
    <row r="54" ht="30" customHeight="1" s="56">
      <c r="A54" s="74" t="inlineStr">
        <is>
          <t>Sun 15 Nov</t>
        </is>
      </c>
      <c r="B54" s="74" t="inlineStr">
        <is>
          <t>Train (seat)</t>
        </is>
      </c>
      <c r="C54" s="74" t="inlineStr">
        <is>
          <t>CONTEST. Wake ~06:50, walk ~15 min. Check out before leaving, luggage stored at the hotel. Awards ~17:00; taxi to Shenyang station; K28 22:24 hard seat → Beijing 08:40.</t>
        </is>
      </c>
    </row>
    <row r="55" ht="15" customHeight="1" s="56">
      <c r="A55" s="74" t="inlineStr">
        <is>
          <t>Mon 16 Nov</t>
        </is>
      </c>
      <c r="B55" s="74" t="inlineStr">
        <is>
          <t>Home</t>
        </is>
      </c>
      <c r="C55" s="74" t="inlineStr">
        <is>
          <t>Metro line 2 + Airport Express to PEK T3 (~1 h). Air China 12:55 → UB 15:05.</t>
        </is>
      </c>
    </row>
    <row r="56" s="56"/>
    <row r="57" s="56">
      <c r="A57" s="72" t="inlineStr">
        <is>
          <t>Door-to-door travel times</t>
        </is>
      </c>
    </row>
    <row r="58" s="56">
      <c r="A58" s="96" t="inlineStr">
        <is>
          <t>Date</t>
        </is>
      </c>
      <c r="B58" s="96" t="inlineStr">
        <is>
          <t>Leg</t>
        </is>
      </c>
      <c r="C58" s="96" t="inlineStr">
        <is>
          <t>Mode</t>
        </is>
      </c>
      <c r="D58" s="96" t="inlineStr">
        <is>
          <t>Expected time</t>
        </is>
      </c>
      <c r="E58" s="96" t="inlineStr">
        <is>
          <t>Notes</t>
        </is>
      </c>
    </row>
    <row r="59" s="56">
      <c r="A59" s="105" t="inlineStr">
        <is>
          <t>12 Nov</t>
        </is>
      </c>
      <c r="B59" s="105" t="inlineStr">
        <is>
          <t>Home → Ulaanbaatar railway station</t>
        </is>
      </c>
      <c r="C59" s="82" t="inlineStr">
        <is>
          <t>Taxi</t>
        </is>
      </c>
      <c r="D59" s="104" t="n">
        <v>0.02083333333333333</v>
      </c>
      <c r="E59" s="106" t="inlineStr">
        <is>
          <t>Leave ~16:00</t>
        </is>
      </c>
      <c r="F59" s="107" t="n"/>
      <c r="G59" s="107" t="n"/>
      <c r="H59" s="107" t="n"/>
      <c r="I59" s="107" t="n"/>
      <c r="J59" s="107" t="n"/>
      <c r="K59" s="107" t="n"/>
      <c r="L59" s="107" t="n"/>
    </row>
    <row r="60" s="56">
      <c r="A60" s="105" t="inlineStr">
        <is>
          <t>12–13 Nov</t>
        </is>
      </c>
      <c r="B60" s="105" t="inlineStr">
        <is>
          <t>Ulaanbaatar → Zamyn-Uud</t>
        </is>
      </c>
      <c r="C60" s="82" t="inlineStr">
        <is>
          <t>UBTZ 276 16:40–07:20</t>
        </is>
      </c>
      <c r="D60" s="104" t="n">
        <v>0.6111111111111112</v>
      </c>
      <c r="E60" s="106" t="inlineStr">
        <is>
          <t>Overnight</t>
        </is>
      </c>
      <c r="F60" s="107" t="n"/>
      <c r="G60" s="107" t="n"/>
      <c r="H60" s="107" t="n"/>
      <c r="I60" s="107" t="n"/>
      <c r="J60" s="107" t="n"/>
      <c r="K60" s="107" t="n"/>
      <c r="L60" s="107" t="n"/>
    </row>
    <row r="61" s="56">
      <c r="A61" s="105" t="inlineStr">
        <is>
          <t>13 Nov</t>
        </is>
      </c>
      <c r="B61" s="105" t="inlineStr">
        <is>
          <t>Zamyn-Uud → Erenhot (border)</t>
        </is>
      </c>
      <c r="C61" s="82" t="inlineStr">
        <is>
          <t>Shared jeep</t>
        </is>
      </c>
      <c r="D61" s="104" t="n">
        <v>0.125</v>
      </c>
      <c r="E61" s="106" t="inlineStr">
        <is>
          <t>Estimate incl. both border posts</t>
        </is>
      </c>
      <c r="F61" s="107" t="n"/>
      <c r="G61" s="107" t="n"/>
      <c r="H61" s="107" t="n"/>
      <c r="I61" s="107" t="n"/>
      <c r="J61" s="107" t="n"/>
      <c r="K61" s="107" t="n"/>
      <c r="L61" s="107" t="n"/>
    </row>
    <row r="62" s="56">
      <c r="A62" s="105" t="inlineStr">
        <is>
          <t>13 Nov</t>
        </is>
      </c>
      <c r="B62" s="105" t="inlineStr">
        <is>
          <t>Erenhot → Jining South</t>
        </is>
      </c>
      <c r="C62" s="82" t="inlineStr">
        <is>
          <t>4654 hard seat 12:45–18:11</t>
        </is>
      </c>
      <c r="D62" s="104" t="n">
        <v>0.2263888888888889</v>
      </c>
      <c r="E62" s="106" t="n"/>
      <c r="F62" s="107" t="n"/>
      <c r="G62" s="107" t="n"/>
      <c r="H62" s="107" t="n"/>
      <c r="I62" s="107" t="n"/>
      <c r="J62" s="107" t="n"/>
      <c r="K62" s="107" t="n"/>
      <c r="L62" s="107" t="n"/>
    </row>
    <row r="63" s="56">
      <c r="A63" s="105" t="inlineStr">
        <is>
          <t>13–14 Nov</t>
        </is>
      </c>
      <c r="B63" s="105" t="inlineStr">
        <is>
          <t>Jining South → Shenyang</t>
        </is>
      </c>
      <c r="C63" s="82" t="inlineStr">
        <is>
          <t>T301 19:30–10:16</t>
        </is>
      </c>
      <c r="D63" s="104" t="n">
        <v>0.6152777777777778</v>
      </c>
      <c r="E63" s="106" t="inlineStr">
        <is>
          <t>1 h 19 min change; overnight</t>
        </is>
      </c>
      <c r="F63" s="107" t="n"/>
      <c r="G63" s="107" t="n"/>
      <c r="H63" s="107" t="n"/>
      <c r="I63" s="107" t="n"/>
      <c r="J63" s="107" t="n"/>
      <c r="K63" s="107" t="n"/>
      <c r="L63" s="107" t="n"/>
    </row>
    <row r="64" s="56">
      <c r="A64" s="105" t="inlineStr">
        <is>
          <t>14 Nov</t>
        </is>
      </c>
      <c r="B64" s="105" t="inlineStr">
        <is>
          <t>Shenyang station → NEU Nanhu</t>
        </is>
      </c>
      <c r="C64" s="82" t="inlineStr">
        <is>
          <t>Taxi</t>
        </is>
      </c>
      <c r="D64" s="104" t="n">
        <v>0.01388888888888889</v>
      </c>
      <c r="E64" s="106" t="inlineStr">
        <is>
          <t>Registration day</t>
        </is>
      </c>
      <c r="F64" s="107" t="n"/>
      <c r="G64" s="107" t="n"/>
      <c r="H64" s="107" t="n"/>
      <c r="I64" s="107" t="n"/>
      <c r="J64" s="107" t="n"/>
      <c r="K64" s="107" t="n"/>
      <c r="L64" s="107" t="n"/>
    </row>
    <row r="65" s="56">
      <c r="A65" s="105" t="inlineStr">
        <is>
          <t>15 Nov</t>
        </is>
      </c>
      <c r="B65" s="105" t="inlineStr">
        <is>
          <t>NEU Nanhu → Shenyang station</t>
        </is>
      </c>
      <c r="C65" s="82" t="inlineStr">
        <is>
          <t>Taxi</t>
        </is>
      </c>
      <c r="D65" s="104" t="n">
        <v>0.01388888888888889</v>
      </c>
      <c r="E65" s="106" t="n"/>
      <c r="F65" s="107" t="n"/>
      <c r="G65" s="107" t="n"/>
      <c r="H65" s="107" t="n"/>
      <c r="I65" s="107" t="n"/>
      <c r="J65" s="107" t="n"/>
      <c r="K65" s="107" t="n"/>
      <c r="L65" s="107" t="n"/>
    </row>
    <row r="66" s="56">
      <c r="A66" s="105" t="inlineStr">
        <is>
          <t>15–16 Nov</t>
        </is>
      </c>
      <c r="B66" s="105" t="inlineStr">
        <is>
          <t>Shenyang → Beijing</t>
        </is>
      </c>
      <c r="C66" s="82" t="inlineStr">
        <is>
          <t>K28 hard seat 22:24–08:40</t>
        </is>
      </c>
      <c r="D66" s="104" t="n">
        <v>0.4277777777777778</v>
      </c>
      <c r="E66" s="106" t="inlineStr">
        <is>
          <t>Overnight, after the contest</t>
        </is>
      </c>
      <c r="F66" s="107" t="n"/>
      <c r="G66" s="107" t="n"/>
      <c r="H66" s="107" t="n"/>
      <c r="I66" s="107" t="n"/>
      <c r="J66" s="107" t="n"/>
      <c r="K66" s="107" t="n"/>
      <c r="L66" s="107" t="n"/>
    </row>
    <row r="67" s="56">
      <c r="A67" s="105" t="inlineStr">
        <is>
          <t>16 Nov</t>
        </is>
      </c>
      <c r="B67" s="105" t="inlineStr">
        <is>
          <t>Beijing station → PEK</t>
        </is>
      </c>
      <c r="C67" s="82" t="inlineStr">
        <is>
          <t>Metro line 2 + Airport Express</t>
        </is>
      </c>
      <c r="D67" s="104" t="n">
        <v>0.04166666666666666</v>
      </c>
      <c r="E67" s="106" t="inlineStr">
        <is>
          <t>Be at PEK by ~10:55</t>
        </is>
      </c>
      <c r="F67" s="107" t="n"/>
      <c r="G67" s="107" t="n"/>
      <c r="H67" s="107" t="n"/>
      <c r="I67" s="107" t="n"/>
      <c r="J67" s="107" t="n"/>
      <c r="K67" s="107" t="n"/>
      <c r="L67" s="107" t="n"/>
    </row>
    <row r="68" s="56">
      <c r="A68" s="105" t="inlineStr">
        <is>
          <t>16 Nov</t>
        </is>
      </c>
      <c r="B68" s="105" t="inlineStr">
        <is>
          <t>Beijing (PEK) → Ulaanbaatar</t>
        </is>
      </c>
      <c r="C68" s="82" t="inlineStr">
        <is>
          <t>Air China 12:55–15:05</t>
        </is>
      </c>
      <c r="D68" s="104" t="n">
        <v>0.09027777777777778</v>
      </c>
      <c r="E68" s="106" t="n"/>
      <c r="F68" s="107" t="n"/>
      <c r="G68" s="107" t="n"/>
      <c r="H68" s="107" t="n"/>
      <c r="I68" s="107" t="n"/>
      <c r="J68" s="107" t="n"/>
      <c r="K68" s="107" t="n"/>
      <c r="L68" s="107" t="n"/>
    </row>
    <row r="69" s="56">
      <c r="A69" s="105" t="inlineStr">
        <is>
          <t>16 Nov</t>
        </is>
      </c>
      <c r="B69" s="105" t="inlineStr">
        <is>
          <t>Chinggis Khaan airport → home</t>
        </is>
      </c>
      <c r="C69" s="82" t="inlineStr">
        <is>
          <t>Taxi</t>
        </is>
      </c>
      <c r="D69" s="104" t="n">
        <v>0.04166666666666666</v>
      </c>
      <c r="E69" s="106" t="n"/>
      <c r="F69" s="107" t="n"/>
      <c r="G69" s="107" t="n"/>
      <c r="H69" s="107" t="n"/>
      <c r="I69" s="107" t="n"/>
      <c r="J69" s="107" t="n"/>
      <c r="K69" s="107" t="n"/>
      <c r="L69" s="107" t="n"/>
    </row>
    <row r="70" s="56"/>
    <row r="71" s="56">
      <c r="C71" s="59" t="inlineStr">
        <is>
          <t>Total door-to-door</t>
        </is>
      </c>
      <c r="D71" s="109">
        <f>SUM(D59:D69)</f>
        <v/>
      </c>
    </row>
  </sheetData>
  <mergeCells count="20">
    <mergeCell ref="C52:L52"/>
    <mergeCell ref="E68:L68"/>
    <mergeCell ref="B47:L47"/>
    <mergeCell ref="E62:L62"/>
    <mergeCell ref="B46:L46"/>
    <mergeCell ref="E67:L67"/>
    <mergeCell ref="C53:L53"/>
    <mergeCell ref="E64:L64"/>
    <mergeCell ref="E63:L63"/>
    <mergeCell ref="E60:L60"/>
    <mergeCell ref="E69:L69"/>
    <mergeCell ref="E65:L65"/>
    <mergeCell ref="B44:L44"/>
    <mergeCell ref="E59:L59"/>
    <mergeCell ref="C54:L54"/>
    <mergeCell ref="E61:L61"/>
    <mergeCell ref="C55:L55"/>
    <mergeCell ref="E66:L66"/>
    <mergeCell ref="C51:L51"/>
    <mergeCell ref="B45:L4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71"/>
  <sheetViews>
    <sheetView workbookViewId="0">
      <selection activeCell="A1" sqref="A1"/>
    </sheetView>
  </sheetViews>
  <sheetFormatPr baseColWidth="8" defaultRowHeight="15"/>
  <cols>
    <col width="26" customWidth="1" style="56" min="1" max="1"/>
    <col width="52" customWidth="1" style="56" min="2" max="2"/>
    <col width="20" customWidth="1" style="56" min="3" max="3"/>
    <col width="15" customWidth="1" style="56" min="4" max="4"/>
    <col width="13" customWidth="1" style="56" min="5" max="5"/>
    <col width="9" customWidth="1" style="56" min="6" max="6"/>
    <col width="17" customWidth="1" style="56" min="8" max="8"/>
    <col width="13" customWidth="1" style="56" min="9" max="9"/>
    <col width="9" customWidth="1" style="56" min="10" max="10"/>
    <col width="17" customWidth="1" style="56" min="11" max="11"/>
    <col width="58" customWidth="1" style="56" min="12" max="12"/>
  </cols>
  <sheetData>
    <row r="1" ht="17.35" customHeight="1" s="56">
      <c r="A1" s="57" t="inlineStr">
        <is>
          <t>Shenyang – Overland out, berths</t>
        </is>
      </c>
    </row>
    <row r="2" ht="15" customHeight="1" s="56">
      <c r="A2" s="62" t="inlineStr">
        <is>
          <t>Same overland way out as 'Overland out (seats)' with a platskart berth to Zamyn-Uud and a hard sleeper on T301; arrive on day 1 morning, one hotel night; K28 seat + Air China home.</t>
        </is>
      </c>
    </row>
    <row r="4" ht="15" customHeight="1" s="56">
      <c r="A4" s="60" t="inlineStr">
        <is>
          <t>Days in destination (meals &amp; local transport)</t>
        </is>
      </c>
      <c r="B4" s="76" t="n">
        <v>4</v>
      </c>
      <c r="C4" s="62" t="inlineStr">
        <is>
          <t>12 Nov evening → 16 Nov midday</t>
        </is>
      </c>
    </row>
    <row r="5" ht="15" customHeight="1" s="56">
      <c r="A5" s="62" t="inlineStr">
        <is>
          <t>Shared inputs are on the Compare sheet. Scroll down for the day-by-day plan and door-to-door travel times.</t>
        </is>
      </c>
    </row>
    <row r="7" ht="31.5" customHeight="1" s="56">
      <c r="A7" s="66" t="inlineStr">
        <is>
          <t>Category</t>
        </is>
      </c>
      <c r="B7" s="66" t="inlineStr">
        <is>
          <t>Item</t>
        </is>
      </c>
      <c r="C7" s="66" t="inlineStr">
        <is>
          <t>Date</t>
        </is>
      </c>
      <c r="D7" s="66" t="inlineStr">
        <is>
          <t>Travel time</t>
        </is>
      </c>
      <c r="E7" s="66" t="inlineStr">
        <is>
          <t>Unit cost (3 ppl)</t>
        </is>
      </c>
      <c r="F7" s="66" t="inlineStr">
        <is>
          <t>Currency</t>
        </is>
      </c>
      <c r="G7" s="66" t="inlineStr">
        <is>
          <t>Qty (3 ppl)</t>
        </is>
      </c>
      <c r="H7" s="66" t="inlineStr">
        <is>
          <t>Total MNT – 3 people</t>
        </is>
      </c>
      <c r="I7" s="66" t="inlineStr">
        <is>
          <t>Unit cost (4 ppl)</t>
        </is>
      </c>
      <c r="J7" s="66" t="inlineStr">
        <is>
          <t>Qty (4 ppl)</t>
        </is>
      </c>
      <c r="K7" s="66" t="inlineStr">
        <is>
          <t>Total MNT – 4 people</t>
        </is>
      </c>
      <c r="L7" s="66" t="inlineStr">
        <is>
          <t>Source / notes</t>
        </is>
      </c>
    </row>
    <row r="8" s="56">
      <c r="A8" s="77" t="inlineStr">
        <is>
          <t>PAID BY UNIVERSITY</t>
        </is>
      </c>
      <c r="B8" s="78" t="n"/>
      <c r="C8" s="78" t="n"/>
      <c r="D8" s="78" t="n"/>
      <c r="E8" s="78" t="n"/>
      <c r="F8" s="78" t="n"/>
      <c r="G8" s="78" t="n"/>
      <c r="H8" s="78" t="n"/>
      <c r="I8" s="78" t="n"/>
      <c r="J8" s="78" t="n"/>
      <c r="K8" s="78" t="n"/>
      <c r="L8" s="78" t="n"/>
    </row>
    <row r="9" s="56">
      <c r="A9" s="79" t="inlineStr">
        <is>
          <t>Flights</t>
        </is>
      </c>
      <c r="B9" s="80" t="n"/>
      <c r="C9" s="80" t="n"/>
      <c r="D9" s="80" t="n"/>
      <c r="E9" s="80" t="n"/>
      <c r="F9" s="80" t="n"/>
      <c r="G9" s="80" t="n"/>
      <c r="H9" s="80" t="n"/>
      <c r="I9" s="80" t="n"/>
      <c r="J9" s="80" t="n"/>
      <c r="K9" s="80" t="n"/>
      <c r="L9" s="80" t="n"/>
    </row>
    <row r="10" ht="39" customHeight="1" s="56">
      <c r="B10" s="111" t="inlineStr">
        <is>
          <t>Air China CA955 Beijing Capital (PEK) 12:55 → Ulaanbaatar 15:05, nonstop</t>
        </is>
      </c>
      <c r="C10" s="83" t="inlineStr">
        <is>
          <t>16 Nov</t>
        </is>
      </c>
      <c r="D10" s="84" t="n">
        <v>0.09027777777777778</v>
      </c>
      <c r="E10" s="85" t="n">
        <v>171</v>
      </c>
      <c r="F10" s="86" t="inlineStr">
        <is>
          <t>USD</t>
        </is>
      </c>
      <c r="G10" s="87">
        <f>Compare!$B$6</f>
        <v/>
      </c>
      <c r="H10" s="88">
        <f>E10*G10*IF(F10="USD",Compare!$B$8,IF(F10="CNY",Compare!$B$9,IF(F10="HKD",Compare!$B$10,1)))</f>
        <v/>
      </c>
      <c r="I10" s="89">
        <f>E10</f>
        <v/>
      </c>
      <c r="J10" s="87">
        <f>Compare!$B$7</f>
        <v/>
      </c>
      <c r="K10" s="88">
        <f>I10*J10*IF(F10="USD",Compare!$B$8,IF(F10="CNY",Compare!$B$9,IF(F10="HKD",Compare!$B$10,1)))</f>
        <v/>
      </c>
      <c r="L10" s="112" t="inlineStr">
        <is>
          <t>Trip.com 22 Oct: US$171 pp, cheapest that day (MIAT OM224 11:30 US$193 on Trip.com / $176 on SlickTrip; Air China 08:25 $215; Capital + Hunnu via Erenhot $196)</t>
        </is>
      </c>
    </row>
    <row r="11" s="56">
      <c r="A11" s="79" t="inlineStr">
        <is>
          <t>Trains &amp; border crossing</t>
        </is>
      </c>
      <c r="B11" s="80" t="n"/>
      <c r="C11" s="80" t="n"/>
      <c r="D11" s="80" t="n"/>
      <c r="E11" s="80" t="n"/>
      <c r="F11" s="80" t="n"/>
      <c r="G11" s="80" t="n"/>
      <c r="H11" s="80" t="n"/>
      <c r="I11" s="80" t="n"/>
      <c r="J11" s="80" t="n"/>
      <c r="K11" s="80" t="n"/>
      <c r="L11" s="80" t="n"/>
    </row>
    <row r="12" ht="30" customHeight="1" s="56">
      <c r="B12" s="111" t="inlineStr">
        <is>
          <t>UBTZ train 276 Ulaanbaatar 16:40 → Zamyn-Uud 07:20, platskart berth incl. bedding</t>
        </is>
      </c>
      <c r="C12" s="83" t="inlineStr">
        <is>
          <t>12–13 Nov</t>
        </is>
      </c>
      <c r="D12" s="84" t="n">
        <v>0.6111111111111112</v>
      </c>
      <c r="E12" s="85" t="n">
        <v>51400</v>
      </c>
      <c r="F12" s="86" t="inlineStr">
        <is>
          <t>MNT</t>
        </is>
      </c>
      <c r="G12" s="87">
        <f>Compare!$B$6</f>
        <v/>
      </c>
      <c r="H12" s="88">
        <f>E12*G12*IF(F12="USD",Compare!$B$8,IF(F12="CNY",Compare!$B$9,IF(F12="HKD",Compare!$B$10,1)))</f>
        <v/>
      </c>
      <c r="I12" s="89">
        <f>E12</f>
        <v/>
      </c>
      <c r="J12" s="87">
        <f>Compare!$B$7</f>
        <v/>
      </c>
      <c r="K12" s="88">
        <f>I12*J12*IF(F12="USD",Compare!$B$8,IF(F12="CNY",Compare!$B$9,IF(F12="HKD",Compare!$B$10,1)))</f>
        <v/>
      </c>
      <c r="L12" s="112" t="inlineStr">
        <is>
          <t>eticket.ubtz.mn 22 Oct: daily; seat ₮26,000 (69 free on 12 Nov); platskart ₮44,000 + bedding ₮7,400; kupe ₮73,400 + ₮7,400. On sale now.</t>
        </is>
      </c>
    </row>
    <row r="13" ht="39" customHeight="1" s="56">
      <c r="B13" s="111" t="inlineStr">
        <is>
          <t>Shared jeep Zamyn-Uud → Erenhot across the border</t>
        </is>
      </c>
      <c r="C13" s="83" t="inlineStr">
        <is>
          <t>13 Nov (morning)</t>
        </is>
      </c>
      <c r="D13" s="84" t="n">
        <v>0.125</v>
      </c>
      <c r="E13" s="113" t="n">
        <v>100</v>
      </c>
      <c r="F13" s="86" t="inlineStr">
        <is>
          <t>CNY</t>
        </is>
      </c>
      <c r="G13" s="87">
        <f>Compare!$B$6</f>
        <v/>
      </c>
      <c r="H13" s="88">
        <f>E13*G13*IF(F13="USD",Compare!$B$8,IF(F13="CNY",Compare!$B$9,IF(F13="HKD",Compare!$B$10,1)))</f>
        <v/>
      </c>
      <c r="I13" s="114">
        <f>E13</f>
        <v/>
      </c>
      <c r="J13" s="87">
        <f>Compare!$B$7</f>
        <v/>
      </c>
      <c r="K13" s="88">
        <f>I13*J13*IF(F13="USD",Compare!$B$8,IF(F13="CNY",Compare!$B$9,IF(F13="HKD",Compare!$B$10,1)))</f>
        <v/>
      </c>
      <c r="L13" s="112" t="inlineStr">
        <is>
          <t>ASSUMPTION ¥50–110 pp (Wikivoyage, travel blogs); ~3 h with both border posts. Must reach Erenhot station for 12:45 – the next train (6858 13:48) misses T301. Border hours not verified.</t>
        </is>
      </c>
    </row>
    <row r="14" ht="30" customHeight="1" s="56">
      <c r="B14" s="111" t="inlineStr">
        <is>
          <t>Train 4654 Erenhot 12:45 → Jining South 18:11, hard seat</t>
        </is>
      </c>
      <c r="C14" s="83" t="inlineStr">
        <is>
          <t>13 Nov</t>
        </is>
      </c>
      <c r="D14" s="84" t="n">
        <v>0.2263888888888889</v>
      </c>
      <c r="E14" s="85" t="n">
        <v>44.5</v>
      </c>
      <c r="F14" s="86" t="inlineStr">
        <is>
          <t>CNY</t>
        </is>
      </c>
      <c r="G14" s="87">
        <f>Compare!$B$6</f>
        <v/>
      </c>
      <c r="H14" s="88">
        <f>E14*G14*IF(F14="USD",Compare!$B$8,IF(F14="CNY",Compare!$B$9,IF(F14="HKD",Compare!$B$10,1)))</f>
        <v/>
      </c>
      <c r="I14" s="89">
        <f>E14</f>
        <v/>
      </c>
      <c r="J14" s="87">
        <f>Compare!$B$7</f>
        <v/>
      </c>
      <c r="K14" s="88">
        <f>I14*J14*IF(F14="USD",Compare!$B$8,IF(F14="CNY",Compare!$B$9,IF(F14="HKD",Compare!$B$10,1)))</f>
        <v/>
      </c>
      <c r="L14" s="112" t="inlineStr">
        <is>
          <t>12306 (5 Nov query): seat ¥44.5, hard sleeper ¥90.5. ChinaTicketOnline confirms 11 and 13 Nov; on sale 30 Oct 15:00 for 13 Nov.</t>
        </is>
      </c>
    </row>
    <row r="15" ht="39" customHeight="1" s="56">
      <c r="B15" s="111" t="inlineStr">
        <is>
          <t>Overnight train T301 Jining South 19:30 → Shenyang 10:16, hard sleeper</t>
        </is>
      </c>
      <c r="C15" s="83" t="inlineStr">
        <is>
          <t>13–14 Nov</t>
        </is>
      </c>
      <c r="D15" s="84" t="n">
        <v>0.6152777777777778</v>
      </c>
      <c r="E15" s="85" t="n">
        <v>280.5</v>
      </c>
      <c r="F15" s="86" t="inlineStr">
        <is>
          <t>CNY</t>
        </is>
      </c>
      <c r="G15" s="87">
        <f>Compare!$B$6</f>
        <v/>
      </c>
      <c r="H15" s="88">
        <f>E15*G15*IF(F15="USD",Compare!$B$8,IF(F15="CNY",Compare!$B$9,IF(F15="HKD",Compare!$B$10,1)))</f>
        <v/>
      </c>
      <c r="I15" s="89">
        <f>E15</f>
        <v/>
      </c>
      <c r="J15" s="87">
        <f>Compare!$B$7</f>
        <v/>
      </c>
      <c r="K15" s="88">
        <f>I15*J15*IF(F15="USD",Compare!$B$8,IF(F15="CNY",Compare!$B$9,IF(F15="HKD",Compare!$B$10,1)))</f>
        <v/>
      </c>
      <c r="L15" s="112" t="inlineStr">
        <is>
          <t>12306 (5 Nov query): seat ¥163.5, hard sleeper ¥280.5, soft ¥438.5; 1 h 19 min change at Jining South. ChinaTicketOnline confirms 13 Nov, on sale 30 Oct 15:00. Also K1567 17:31 → 09:38 (same fares).</t>
        </is>
      </c>
    </row>
    <row r="16" ht="51" customHeight="1" s="56">
      <c r="B16" s="111" t="inlineStr">
        <is>
          <t>Overnight train K28 Shenyang 22:24 → Beijing 08:40, hard seat (after the contest)</t>
        </is>
      </c>
      <c r="C16" s="83" t="inlineStr">
        <is>
          <t>15 Nov (night)</t>
        </is>
      </c>
      <c r="D16" s="84" t="n">
        <v>0.4277777777777778</v>
      </c>
      <c r="E16" s="85" t="n">
        <v>112</v>
      </c>
      <c r="F16" s="86" t="inlineStr">
        <is>
          <t>CNY</t>
        </is>
      </c>
      <c r="G16" s="87">
        <f>Compare!$B$6</f>
        <v/>
      </c>
      <c r="H16" s="88">
        <f>E16*G16*IF(F16="USD",Compare!$B$8,IF(F16="CNY",Compare!$B$9,IF(F16="HKD",Compare!$B$10,1)))</f>
        <v/>
      </c>
      <c r="I16" s="89">
        <f>E16</f>
        <v/>
      </c>
      <c r="J16" s="87">
        <f>Compare!$B$7</f>
        <v/>
      </c>
      <c r="K16" s="88">
        <f>I16*J16*IF(F16="USD",Compare!$B$8,IF(F16="CNY",Compare!$B$9,IF(F16="HKD",Compare!$B$10,1)))</f>
        <v/>
      </c>
      <c r="L16" s="112" t="inlineStr">
        <is>
          <t>12306 (5 Nov query): hard seat ¥112 (hard sleeper ¥194). Cheapest train that still makes the 12:55 flight (K96 23:39 ¥102 arrives 11:19 – too late). Lie-flat upgrade: K54 Shenyang North 22:00 → 06:58 hard sleeper ¥171 (+¥59 pp). On sale 1 Nov 09:30 (ChinaTicketOnline confirms 15 Nov).</t>
        </is>
      </c>
    </row>
    <row r="17" s="56">
      <c r="A17" s="79" t="inlineStr">
        <is>
          <t>Accommodation</t>
        </is>
      </c>
      <c r="B17" s="80" t="n"/>
      <c r="C17" s="80" t="n"/>
      <c r="D17" s="80" t="n"/>
      <c r="E17" s="80" t="n"/>
      <c r="F17" s="80" t="n"/>
      <c r="G17" s="80" t="n"/>
      <c r="H17" s="80" t="n"/>
      <c r="I17" s="80" t="n"/>
      <c r="J17" s="80" t="n"/>
      <c r="K17" s="80" t="n"/>
      <c r="L17" s="80" t="n"/>
    </row>
    <row r="18" ht="60" customHeight="1" s="56">
      <c r="B18" s="111" t="inlineStr">
        <is>
          <t>Ji Hotel Sanhao Street, 55 Sanhao St (~940 m to NEU Nanhu, ~15 min walk): 2 Budget Twin rooms, King Koil mattresses, windows, floors 4–16 – a bed each</t>
        </is>
      </c>
      <c r="C18" s="83" t="inlineStr">
        <is>
          <t>14–15 Nov (1 night)</t>
        </is>
      </c>
      <c r="D18" s="84" t="n"/>
      <c r="E18" s="85" t="n">
        <v>457</v>
      </c>
      <c r="F18" s="86" t="inlineStr">
        <is>
          <t>CNY</t>
        </is>
      </c>
      <c r="G18" s="91" t="n">
        <v>1</v>
      </c>
      <c r="H18" s="88">
        <f>E18*G18*IF(F18="USD",Compare!$B$8,IF(F18="CNY",Compare!$B$9,IF(F18="HKD",Compare!$B$10,1)))</f>
        <v/>
      </c>
      <c r="I18" s="85" t="n">
        <v>457</v>
      </c>
      <c r="J18" s="91" t="n">
        <v>1</v>
      </c>
      <c r="K18" s="88">
        <f>I18*J18*IF(F18="USD",Compare!$B$8,IF(F18="CNY",Compare!$B$9,IF(F18="HKD",Compare!$B$10,1)))</f>
        <v/>
      </c>
      <c r="L18" s="112" t="inlineStr">
        <is>
          <t>Trip.com 22 Oct: ¥457 for 2 Budget Twin rooms × 1 night (14–15 Nov) incl. taxes, free cancellation until 18:00 on 13 Nov; same hotel as 'Sleep value' (9.0, King Koil mattresses).</t>
        </is>
      </c>
    </row>
    <row r="19" s="56">
      <c r="A19" s="79" t="inlineStr">
        <is>
          <t>Meals &amp; local transport</t>
        </is>
      </c>
      <c r="B19" s="80" t="n"/>
      <c r="C19" s="80" t="n"/>
      <c r="D19" s="80" t="n"/>
      <c r="E19" s="80" t="n"/>
      <c r="F19" s="80" t="n"/>
      <c r="G19" s="80" t="n"/>
      <c r="H19" s="80" t="n"/>
      <c r="I19" s="80" t="n"/>
      <c r="J19" s="80" t="n"/>
      <c r="K19" s="80" t="n"/>
      <c r="L19" s="80" t="n"/>
    </row>
    <row r="20" ht="30" customHeight="1" s="56">
      <c r="B20" s="111" t="inlineStr">
        <is>
          <t>Meals</t>
        </is>
      </c>
      <c r="C20" s="83" t="inlineStr">
        <is>
          <t>in destination</t>
        </is>
      </c>
      <c r="D20" s="84" t="n"/>
      <c r="E20" s="113" t="n">
        <v>80</v>
      </c>
      <c r="F20" s="86" t="inlineStr">
        <is>
          <t>CNY</t>
        </is>
      </c>
      <c r="G20" s="87">
        <f>Compare!$B$6*$B$4</f>
        <v/>
      </c>
      <c r="H20" s="88">
        <f>E20*G20*IF(F20="USD",Compare!$B$8,IF(F20="CNY",Compare!$B$9,IF(F20="HKD",Compare!$B$10,1)))</f>
        <v/>
      </c>
      <c r="I20" s="114">
        <f>E20</f>
        <v/>
      </c>
      <c r="J20" s="87">
        <f>Compare!$B$7*$B$4</f>
        <v/>
      </c>
      <c r="K20" s="88">
        <f>I20*J20*IF(F20="USD",Compare!$B$8,IF(F20="CNY",Compare!$B$9,IF(F20="HKD",Compare!$B$10,1)))</f>
        <v/>
      </c>
      <c r="L20" s="112" t="inlineStr">
        <is>
          <t>ASSUMPTION 80 CNY/person/day; hosts usually provide some meals on contest days</t>
        </is>
      </c>
    </row>
    <row r="21" ht="30" customHeight="1" s="56">
      <c r="B21" s="111" t="inlineStr">
        <is>
          <t>Local transport (metro, taxis)</t>
        </is>
      </c>
      <c r="C21" s="83" t="inlineStr">
        <is>
          <t>in destination</t>
        </is>
      </c>
      <c r="D21" s="84" t="n"/>
      <c r="E21" s="113" t="n">
        <v>30</v>
      </c>
      <c r="F21" s="86" t="inlineStr">
        <is>
          <t>CNY</t>
        </is>
      </c>
      <c r="G21" s="87">
        <f>Compare!$B$6*$B$4</f>
        <v/>
      </c>
      <c r="H21" s="88">
        <f>E21*G21*IF(F21="USD",Compare!$B$8,IF(F21="CNY",Compare!$B$9,IF(F21="HKD",Compare!$B$10,1)))</f>
        <v/>
      </c>
      <c r="I21" s="114">
        <f>E21</f>
        <v/>
      </c>
      <c r="J21" s="87">
        <f>Compare!$B$7*$B$4</f>
        <v/>
      </c>
      <c r="K21" s="88">
        <f>I21*J21*IF(F21="USD",Compare!$B$8,IF(F21="CNY",Compare!$B$9,IF(F21="HKD",Compare!$B$10,1)))</f>
        <v/>
      </c>
      <c r="L21" s="112" t="inlineStr">
        <is>
          <t>ASSUMPTION 30 CNY/person/day</t>
        </is>
      </c>
    </row>
    <row r="22" ht="30" customHeight="1" s="56">
      <c r="B22" s="111" t="inlineStr">
        <is>
          <t>Metro line 2 + Airport Express, Beijing station → PEK T3</t>
        </is>
      </c>
      <c r="C22" s="83" t="inlineStr">
        <is>
          <t>16 Nov</t>
        </is>
      </c>
      <c r="D22" s="84" t="n"/>
      <c r="E22" s="113" t="n">
        <v>30</v>
      </c>
      <c r="F22" s="86" t="inlineStr">
        <is>
          <t>CNY</t>
        </is>
      </c>
      <c r="G22" s="87">
        <f>Compare!$B$6</f>
        <v/>
      </c>
      <c r="H22" s="88">
        <f>E22*G22*IF(F22="USD",Compare!$B$8,IF(F22="CNY",Compare!$B$9,IF(F22="HKD",Compare!$B$10,1)))</f>
        <v/>
      </c>
      <c r="I22" s="114">
        <f>E22</f>
        <v/>
      </c>
      <c r="J22" s="87">
        <f>Compare!$B$7</f>
        <v/>
      </c>
      <c r="K22" s="88">
        <f>I22*J22*IF(F22="USD",Compare!$B$8,IF(F22="CNY",Compare!$B$9,IF(F22="HKD",Compare!$B$10,1)))</f>
        <v/>
      </c>
      <c r="L22" s="112" t="inlineStr">
        <is>
          <t>ASSUMPTION Airport Express ¥25 + metro ¥4–5 pp</t>
        </is>
      </c>
    </row>
    <row r="23" s="56">
      <c r="A23" s="94" t="inlineStr">
        <is>
          <t>PAID PERSONALLY (university won't cover)</t>
        </is>
      </c>
      <c r="B23" s="95" t="n"/>
      <c r="C23" s="95" t="n"/>
      <c r="D23" s="95" t="n"/>
      <c r="E23" s="95" t="n"/>
      <c r="F23" s="95" t="n"/>
      <c r="G23" s="95" t="n"/>
      <c r="H23" s="95" t="n"/>
      <c r="I23" s="95" t="n"/>
      <c r="J23" s="95" t="n"/>
      <c r="K23" s="95" t="n"/>
      <c r="L23" s="95" t="n"/>
    </row>
    <row r="24" s="56">
      <c r="A24" s="79" t="inlineStr">
        <is>
          <t>Contest fee</t>
        </is>
      </c>
      <c r="B24" s="80" t="n"/>
      <c r="C24" s="80" t="n"/>
      <c r="D24" s="80" t="n"/>
      <c r="E24" s="80" t="n"/>
      <c r="F24" s="80" t="n"/>
      <c r="G24" s="80" t="n"/>
      <c r="H24" s="80" t="n"/>
      <c r="I24" s="80" t="n"/>
      <c r="J24" s="80" t="n"/>
      <c r="K24" s="80" t="n"/>
      <c r="L24" s="80" t="n"/>
    </row>
    <row r="25" ht="30" customHeight="1" s="56">
      <c r="B25" s="111" t="inlineStr">
        <is>
          <t>Shenyang regional registration fee (per team)</t>
        </is>
      </c>
      <c r="C25" s="83" t="inlineStr">
        <is>
          <t>pay when invited</t>
        </is>
      </c>
      <c r="D25" s="84" t="n"/>
      <c r="E25" s="113" t="n">
        <v>1500</v>
      </c>
      <c r="F25" s="86" t="inlineStr">
        <is>
          <t>CNY</t>
        </is>
      </c>
      <c r="G25" s="91" t="n">
        <v>1</v>
      </c>
      <c r="H25" s="88">
        <f>E25*G25*IF(F25="USD",Compare!$B$8,IF(F25="CNY",Compare!$B$9,IF(F25="HKD",Compare!$B$10,1)))</f>
        <v/>
      </c>
      <c r="I25" s="114">
        <f>E25</f>
        <v/>
      </c>
      <c r="J25" s="91" t="n">
        <v>1</v>
      </c>
      <c r="K25" s="88">
        <f>I25*J25*IF(F25="USD",Compare!$B$8,IF(F25="CNY",Compare!$B$9,IF(F25="HKD",Compare!$B$10,1)))</f>
        <v/>
      </c>
      <c r="L25" s="112" t="inlineStr">
        <is>
          <t>ASSUMPTION: 1,500 CNY/team like recent EC regionals; the 2026 Shenyang invitation was not found on 22 Oct</t>
        </is>
      </c>
    </row>
    <row r="26" s="56">
      <c r="A26" s="79" t="inlineStr">
        <is>
          <t>Other</t>
        </is>
      </c>
      <c r="B26" s="80" t="n"/>
      <c r="C26" s="80" t="n"/>
      <c r="D26" s="80" t="n"/>
      <c r="E26" s="80" t="n"/>
      <c r="F26" s="80" t="n"/>
      <c r="G26" s="80" t="n"/>
      <c r="H26" s="80" t="n"/>
      <c r="I26" s="80" t="n"/>
      <c r="J26" s="80" t="n"/>
      <c r="K26" s="80" t="n"/>
      <c r="L26" s="80" t="n"/>
    </row>
    <row r="27" ht="30" customHeight="1" s="56">
      <c r="B27" s="111" t="inlineStr">
        <is>
          <t>Taxi home → Ulaanbaatar railway station</t>
        </is>
      </c>
      <c r="C27" s="83" t="inlineStr">
        <is>
          <t>12 Nov</t>
        </is>
      </c>
      <c r="D27" s="84" t="n">
        <v>0.02083333333333333</v>
      </c>
      <c r="E27" s="113" t="n">
        <v>30000</v>
      </c>
      <c r="F27" s="86" t="inlineStr">
        <is>
          <t>MNT</t>
        </is>
      </c>
      <c r="G27" s="91" t="n">
        <v>1</v>
      </c>
      <c r="H27" s="88">
        <f>E27*G27*IF(F27="USD",Compare!$B$8,IF(F27="CNY",Compare!$B$9,IF(F27="HKD",Compare!$B$10,1)))</f>
        <v/>
      </c>
      <c r="I27" s="114">
        <f>E27</f>
        <v/>
      </c>
      <c r="J27" s="91" t="n">
        <v>1</v>
      </c>
      <c r="K27" s="88">
        <f>I27*J27*IF(F27="USD",Compare!$B$8,IF(F27="CNY",Compare!$B$9,IF(F27="HKD",Compare!$B$10,1)))</f>
        <v/>
      </c>
      <c r="L27" s="112" t="inlineStr">
        <is>
          <t>ASSUMPTION ~30k MNT for the group (city trip)</t>
        </is>
      </c>
    </row>
    <row r="28" ht="30" customHeight="1" s="56">
      <c r="B28" s="111" t="inlineStr">
        <is>
          <t>Taxi Chinggis Khaan airport → home (UB)</t>
        </is>
      </c>
      <c r="C28" s="83" t="inlineStr">
        <is>
          <t>16 Nov</t>
        </is>
      </c>
      <c r="D28" s="84" t="n">
        <v>0.04166666666666666</v>
      </c>
      <c r="E28" s="113" t="n">
        <v>100000</v>
      </c>
      <c r="F28" s="86" t="inlineStr">
        <is>
          <t>MNT</t>
        </is>
      </c>
      <c r="G28" s="91" t="n">
        <v>1</v>
      </c>
      <c r="H28" s="88">
        <f>E28*G28*IF(F28="USD",Compare!$B$8,IF(F28="CNY",Compare!$B$9,IF(F28="HKD",Compare!$B$10,1)))</f>
        <v/>
      </c>
      <c r="I28" s="114">
        <f>E28</f>
        <v/>
      </c>
      <c r="J28" s="91" t="n">
        <v>1</v>
      </c>
      <c r="K28" s="88">
        <f>I28*J28*IF(F28="USD",Compare!$B$8,IF(F28="CNY",Compare!$B$9,IF(F28="HKD",Compare!$B$10,1)))</f>
        <v/>
      </c>
      <c r="L28" s="112" t="inlineStr">
        <is>
          <t>ASSUMPTION 100k MNT per trip for the group</t>
        </is>
      </c>
    </row>
    <row r="29" ht="30" customHeight="1" s="56">
      <c r="B29" s="111" t="inlineStr">
        <is>
          <t>Travel medical insurance</t>
        </is>
      </c>
      <c r="C29" s="83" t="n"/>
      <c r="D29" s="84" t="n"/>
      <c r="E29" s="113" t="n">
        <v>30000</v>
      </c>
      <c r="F29" s="86" t="inlineStr">
        <is>
          <t>MNT</t>
        </is>
      </c>
      <c r="G29" s="87">
        <f>Compare!$B$6</f>
        <v/>
      </c>
      <c r="H29" s="88">
        <f>E29*G29*IF(F29="USD",Compare!$B$8,IF(F29="CNY",Compare!$B$9,IF(F29="HKD",Compare!$B$10,1)))</f>
        <v/>
      </c>
      <c r="I29" s="114">
        <f>E29</f>
        <v/>
      </c>
      <c r="J29" s="87">
        <f>Compare!$B$7</f>
        <v/>
      </c>
      <c r="K29" s="88">
        <f>I29*J29*IF(F29="USD",Compare!$B$8,IF(F29="CNY",Compare!$B$9,IF(F29="HKD",Compare!$B$10,1)))</f>
        <v/>
      </c>
      <c r="L29" s="112" t="inlineStr">
        <is>
          <t>ASSUMPTION ~30k MNT per person, Mongolian insurer</t>
        </is>
      </c>
    </row>
    <row r="30" ht="30" customHeight="1" s="56">
      <c r="B30" s="111" t="inlineStr">
        <is>
          <t>Mobile data eSIM</t>
        </is>
      </c>
      <c r="C30" s="83" t="n"/>
      <c r="D30" s="84" t="n"/>
      <c r="E30" s="113" t="n">
        <v>10</v>
      </c>
      <c r="F30" s="86" t="inlineStr">
        <is>
          <t>USD</t>
        </is>
      </c>
      <c r="G30" s="87">
        <f>Compare!$B$6</f>
        <v/>
      </c>
      <c r="H30" s="88">
        <f>E30*G30*IF(F30="USD",Compare!$B$8,IF(F30="CNY",Compare!$B$9,IF(F30="HKD",Compare!$B$10,1)))</f>
        <v/>
      </c>
      <c r="I30" s="114">
        <f>E30</f>
        <v/>
      </c>
      <c r="J30" s="87">
        <f>Compare!$B$7</f>
        <v/>
      </c>
      <c r="K30" s="88">
        <f>I30*J30*IF(F30="USD",Compare!$B$8,IF(F30="CNY",Compare!$B$9,IF(F30="HKD",Compare!$B$10,1)))</f>
        <v/>
      </c>
      <c r="L30" s="112" t="inlineStr">
        <is>
          <t>ASSUMPTION ~$10 pp</t>
        </is>
      </c>
    </row>
    <row r="31" ht="30" customHeight="1" s="56">
      <c r="B31" s="111" t="inlineStr">
        <is>
          <t>Visa</t>
        </is>
      </c>
      <c r="C31" s="83" t="n"/>
      <c r="D31" s="84" t="n"/>
      <c r="E31" s="85" t="n">
        <v>0</v>
      </c>
      <c r="F31" s="86" t="inlineStr">
        <is>
          <t>MNT</t>
        </is>
      </c>
      <c r="G31" s="87">
        <f>Compare!$B$6</f>
        <v/>
      </c>
      <c r="H31" s="88">
        <f>E31*G31*IF(F31="USD",Compare!$B$8,IF(F31="CNY",Compare!$B$9,IF(F31="HKD",Compare!$B$10,1)))</f>
        <v/>
      </c>
      <c r="I31" s="89">
        <f>E31</f>
        <v/>
      </c>
      <c r="J31" s="87">
        <f>Compare!$B$7</f>
        <v/>
      </c>
      <c r="K31" s="88">
        <f>I31*J31*IF(F31="USD",Compare!$B$8,IF(F31="CNY",Compare!$B$9,IF(F31="HKD",Compare!$B$10,1)))</f>
        <v/>
      </c>
      <c r="L31" s="112" t="inlineStr">
        <is>
          <t>Mongolian passports: visa-free (mainland China up to 30 days; Hong Kong up to 14 days)</t>
        </is>
      </c>
    </row>
    <row r="32" s="56"/>
    <row r="33" s="56">
      <c r="G33" s="60" t="n"/>
      <c r="H33" s="96" t="inlineStr">
        <is>
          <t>3 people – UNFUNDED</t>
        </is>
      </c>
      <c r="K33" s="96" t="inlineStr">
        <is>
          <t>4 people – FUNDED ₮12M</t>
        </is>
      </c>
    </row>
    <row r="34" s="56">
      <c r="G34" s="97" t="inlineStr">
        <is>
          <t>University-paid subtotal</t>
        </is>
      </c>
      <c r="H34" s="98">
        <f>SUM(H9:H22)</f>
        <v/>
      </c>
      <c r="K34" s="98">
        <f>SUM(K9:K22)</f>
        <v/>
      </c>
    </row>
    <row r="35" s="56">
      <c r="G35" s="99" t="inlineStr">
        <is>
          <t>Contingency</t>
        </is>
      </c>
      <c r="H35" s="100">
        <f>H34*Compare!$B$11</f>
        <v/>
      </c>
      <c r="K35" s="100">
        <f>K34*Compare!$B$11</f>
        <v/>
      </c>
    </row>
    <row r="36" s="56">
      <c r="G36" s="97" t="inlineStr">
        <is>
          <t>University-paid total incl. contingency</t>
        </is>
      </c>
      <c r="H36" s="98">
        <f>H34+H35</f>
        <v/>
      </c>
      <c r="K36" s="98">
        <f>K34+K35</f>
        <v/>
      </c>
    </row>
    <row r="37" s="56">
      <c r="G37" s="97" t="inlineStr">
        <is>
          <t>Funding left (negative = over)</t>
        </is>
      </c>
      <c r="H37" s="101">
        <f>Compare!$B$12-H36</f>
        <v/>
      </c>
      <c r="K37" s="101">
        <f>Compare!$B$5-K36</f>
        <v/>
      </c>
    </row>
    <row r="38" s="56">
      <c r="G38" s="97" t="inlineStr">
        <is>
          <t>Personal costs – team</t>
        </is>
      </c>
      <c r="H38" s="102">
        <f>SUM(H24:H31)</f>
        <v/>
      </c>
      <c r="K38" s="102">
        <f>SUM(K24:K31)</f>
        <v/>
      </c>
    </row>
    <row r="39" s="56">
      <c r="G39" s="97" t="inlineStr">
        <is>
          <t>Out-of-pocket per person (personal + any overrun)</t>
        </is>
      </c>
      <c r="H39" s="102">
        <f>(H38+MAX(0,-H37))/Compare!$B$6</f>
        <v/>
      </c>
      <c r="K39" s="102">
        <f>(K38+MAX(0,-K37))/Compare!$B$7</f>
        <v/>
      </c>
    </row>
    <row r="40" s="56">
      <c r="G40" s="97" t="inlineStr">
        <is>
          <t>Whole trip cost (university + personal)</t>
        </is>
      </c>
      <c r="H40" s="103">
        <f>H36+H38</f>
        <v/>
      </c>
      <c r="K40" s="103">
        <f>K36+K38</f>
        <v/>
      </c>
    </row>
    <row r="41" s="56">
      <c r="G41" s="99" t="inlineStr">
        <is>
          <t>Time in planes &amp; trains</t>
        </is>
      </c>
      <c r="H41" s="104">
        <f>SUM(D10:D10)+SUM(D12:D16)</f>
        <v/>
      </c>
      <c r="K41" s="104">
        <f>SUM(D10:D10)+SUM(D12:D16)</f>
        <v/>
      </c>
    </row>
    <row r="42" s="56"/>
    <row r="43" s="56">
      <c r="A43" s="72" t="inlineStr">
        <is>
          <t>Key facts</t>
        </is>
      </c>
    </row>
    <row r="44" ht="30" customHeight="1" s="56">
      <c r="A44" s="75" t="inlineStr">
        <is>
          <t>Contest</t>
        </is>
      </c>
      <c r="B44" s="74" t="inlineStr">
        <is>
          <t>Asia Shenyang Regional, 14–15 Nov 2026 (provisional; the 2026 invitation was not found on 22 Oct), Northeastern University Nanhu campus (2024 and 2025 venue). Assumed: day 1 registration + practice, contest 15 Nov 09:00–14:00, awards ~17:00.</t>
        </is>
      </c>
    </row>
    <row r="45" ht="30" customHeight="1" s="56">
      <c r="A45" s="75" t="inlineStr">
        <is>
          <t>Why this plan</t>
        </is>
      </c>
      <c r="B45" s="74" t="inlineStr">
        <is>
          <t>Overland for ~₮0.28M per person with a berth both nights. Cheaper way out than the Air China + G153 route of 'Sleep value' (₮0.91M per person); the rest of the trip is the same (Ji Hotel twin rooms, K28 hard seat + Air China 12:55 home), with hotel nights set by the arrival time.</t>
        </is>
      </c>
    </row>
    <row r="46" ht="30" customHeight="1" s="56">
      <c r="A46" s="75" t="inlineStr">
        <is>
          <t>Trade-off</t>
        </is>
      </c>
      <c r="B46" s="74" t="inlineStr">
        <is>
          <t>Two nights sitting up on trains in a row, right before day 1 (POOR for sleep); arrive 10:16 on registration day. The jeep fare and border hours are not verified, and missing the 12:45 train costs a day. Cold Gobi border in mid-November.</t>
        </is>
      </c>
    </row>
    <row r="47" ht="15" customHeight="1" s="56">
      <c r="A47" s="75" t="inlineStr">
        <is>
          <t>Book</t>
        </is>
      </c>
      <c r="B47" s="74" t="inlineStr">
        <is>
          <t>UBTZ 276 on eticket.ubtz.mn (on sale now); 4654 and T301 on 12306 at 15:00 on 30 Oct; K28 on 12306 at 09:30 on 1 Nov; Air China home on Trip.com.</t>
        </is>
      </c>
    </row>
    <row r="48" s="56"/>
    <row r="49" s="56">
      <c r="A49" s="72" t="inlineStr">
        <is>
          <t>Day-by-day plan</t>
        </is>
      </c>
    </row>
    <row r="50" s="56">
      <c r="A50" s="96" t="inlineStr">
        <is>
          <t>Date</t>
        </is>
      </c>
      <c r="B50" s="96" t="inlineStr">
        <is>
          <t>Sleep in</t>
        </is>
      </c>
      <c r="C50" s="96" t="inlineStr">
        <is>
          <t>What happens</t>
        </is>
      </c>
    </row>
    <row r="51" ht="15" customHeight="1" s="56">
      <c r="A51" s="74" t="inlineStr">
        <is>
          <t>Thu 12 Nov</t>
        </is>
      </c>
      <c r="B51" s="74" t="inlineStr">
        <is>
          <t>Train</t>
        </is>
      </c>
      <c r="C51" s="74" t="inlineStr">
        <is>
          <t>Taxi to Ulaanbaatar station; UBTZ 276 16:40 → Zamyn-Uud (overnight).</t>
        </is>
      </c>
    </row>
    <row r="52" ht="30" customHeight="1" s="56">
      <c r="A52" s="74" t="inlineStr">
        <is>
          <t>Fri 13 Nov</t>
        </is>
      </c>
      <c r="B52" s="74" t="inlineStr">
        <is>
          <t>Train</t>
        </is>
      </c>
      <c r="C52" s="74" t="inlineStr">
        <is>
          <t>Arrive Zamyn-Uud 07:20; shared jeep across the border to Erenhot (at the station by ~12:00); 4654 12:45 → Jining South 18:11; T301 19:30 → Shenyang (overnight).</t>
        </is>
      </c>
    </row>
    <row r="53" ht="15" customHeight="1" s="56">
      <c r="A53" s="74" t="inlineStr">
        <is>
          <t>Sat 14 Nov</t>
        </is>
      </c>
      <c r="B53" s="74" t="inlineStr">
        <is>
          <t>Shenyang</t>
        </is>
      </c>
      <c r="C53" s="74" t="inlineStr">
        <is>
          <t>Arrive Shenyang 10:16; taxi to NEU Nanhu for registration and practice; check in at Ji Hotel. Lights out ~22:30.</t>
        </is>
      </c>
    </row>
    <row r="54" ht="30" customHeight="1" s="56">
      <c r="A54" s="74" t="inlineStr">
        <is>
          <t>Sun 15 Nov</t>
        </is>
      </c>
      <c r="B54" s="74" t="inlineStr">
        <is>
          <t>Train (seat)</t>
        </is>
      </c>
      <c r="C54" s="74" t="inlineStr">
        <is>
          <t>CONTEST. Wake ~06:50, walk ~15 min. Check out before leaving, luggage stored at the hotel. Awards ~17:00; taxi to Shenyang station; K28 22:24 hard seat → Beijing 08:40.</t>
        </is>
      </c>
    </row>
    <row r="55" ht="15" customHeight="1" s="56">
      <c r="A55" s="74" t="inlineStr">
        <is>
          <t>Mon 16 Nov</t>
        </is>
      </c>
      <c r="B55" s="74" t="inlineStr">
        <is>
          <t>Home</t>
        </is>
      </c>
      <c r="C55" s="74" t="inlineStr">
        <is>
          <t>Metro line 2 + Airport Express to PEK T3 (~1 h). Air China 12:55 → UB 15:05.</t>
        </is>
      </c>
    </row>
    <row r="56" s="56"/>
    <row r="57" s="56">
      <c r="A57" s="72" t="inlineStr">
        <is>
          <t>Door-to-door travel times</t>
        </is>
      </c>
    </row>
    <row r="58" s="56">
      <c r="A58" s="96" t="inlineStr">
        <is>
          <t>Date</t>
        </is>
      </c>
      <c r="B58" s="96" t="inlineStr">
        <is>
          <t>Leg</t>
        </is>
      </c>
      <c r="C58" s="96" t="inlineStr">
        <is>
          <t>Mode</t>
        </is>
      </c>
      <c r="D58" s="96" t="inlineStr">
        <is>
          <t>Expected time</t>
        </is>
      </c>
      <c r="E58" s="96" t="inlineStr">
        <is>
          <t>Notes</t>
        </is>
      </c>
    </row>
    <row r="59" s="56">
      <c r="A59" s="105" t="inlineStr">
        <is>
          <t>12 Nov</t>
        </is>
      </c>
      <c r="B59" s="105" t="inlineStr">
        <is>
          <t>Home → Ulaanbaatar railway station</t>
        </is>
      </c>
      <c r="C59" s="82" t="inlineStr">
        <is>
          <t>Taxi</t>
        </is>
      </c>
      <c r="D59" s="104" t="n">
        <v>0.02083333333333333</v>
      </c>
      <c r="E59" s="106" t="inlineStr">
        <is>
          <t>Leave ~16:00</t>
        </is>
      </c>
      <c r="F59" s="107" t="n"/>
      <c r="G59" s="107" t="n"/>
      <c r="H59" s="107" t="n"/>
      <c r="I59" s="107" t="n"/>
      <c r="J59" s="107" t="n"/>
      <c r="K59" s="107" t="n"/>
      <c r="L59" s="107" t="n"/>
    </row>
    <row r="60" s="56">
      <c r="A60" s="105" t="inlineStr">
        <is>
          <t>12–13 Nov</t>
        </is>
      </c>
      <c r="B60" s="105" t="inlineStr">
        <is>
          <t>Ulaanbaatar → Zamyn-Uud</t>
        </is>
      </c>
      <c r="C60" s="82" t="inlineStr">
        <is>
          <t>UBTZ 276 platskart 16:40–07:20</t>
        </is>
      </c>
      <c r="D60" s="104" t="n">
        <v>0.6111111111111112</v>
      </c>
      <c r="E60" s="106" t="inlineStr">
        <is>
          <t>Overnight</t>
        </is>
      </c>
      <c r="F60" s="107" t="n"/>
      <c r="G60" s="107" t="n"/>
      <c r="H60" s="107" t="n"/>
      <c r="I60" s="107" t="n"/>
      <c r="J60" s="107" t="n"/>
      <c r="K60" s="107" t="n"/>
      <c r="L60" s="107" t="n"/>
    </row>
    <row r="61" s="56">
      <c r="A61" s="105" t="inlineStr">
        <is>
          <t>13 Nov</t>
        </is>
      </c>
      <c r="B61" s="105" t="inlineStr">
        <is>
          <t>Zamyn-Uud → Erenhot (border)</t>
        </is>
      </c>
      <c r="C61" s="82" t="inlineStr">
        <is>
          <t>Shared jeep</t>
        </is>
      </c>
      <c r="D61" s="104" t="n">
        <v>0.125</v>
      </c>
      <c r="E61" s="106" t="inlineStr">
        <is>
          <t>Estimate incl. both border posts</t>
        </is>
      </c>
      <c r="F61" s="107" t="n"/>
      <c r="G61" s="107" t="n"/>
      <c r="H61" s="107" t="n"/>
      <c r="I61" s="107" t="n"/>
      <c r="J61" s="107" t="n"/>
      <c r="K61" s="107" t="n"/>
      <c r="L61" s="107" t="n"/>
    </row>
    <row r="62" s="56">
      <c r="A62" s="105" t="inlineStr">
        <is>
          <t>13 Nov</t>
        </is>
      </c>
      <c r="B62" s="105" t="inlineStr">
        <is>
          <t>Erenhot → Jining South</t>
        </is>
      </c>
      <c r="C62" s="82" t="inlineStr">
        <is>
          <t>4654 hard seat 12:45–18:11</t>
        </is>
      </c>
      <c r="D62" s="104" t="n">
        <v>0.2263888888888889</v>
      </c>
      <c r="E62" s="106" t="n"/>
      <c r="F62" s="107" t="n"/>
      <c r="G62" s="107" t="n"/>
      <c r="H62" s="107" t="n"/>
      <c r="I62" s="107" t="n"/>
      <c r="J62" s="107" t="n"/>
      <c r="K62" s="107" t="n"/>
      <c r="L62" s="107" t="n"/>
    </row>
    <row r="63" s="56">
      <c r="A63" s="105" t="inlineStr">
        <is>
          <t>13–14 Nov</t>
        </is>
      </c>
      <c r="B63" s="105" t="inlineStr">
        <is>
          <t>Jining South → Shenyang</t>
        </is>
      </c>
      <c r="C63" s="82" t="inlineStr">
        <is>
          <t>T301 hard sleeper 19:30–10:16</t>
        </is>
      </c>
      <c r="D63" s="104" t="n">
        <v>0.6152777777777778</v>
      </c>
      <c r="E63" s="106" t="inlineStr">
        <is>
          <t>1 h 19 min change; overnight</t>
        </is>
      </c>
      <c r="F63" s="107" t="n"/>
      <c r="G63" s="107" t="n"/>
      <c r="H63" s="107" t="n"/>
      <c r="I63" s="107" t="n"/>
      <c r="J63" s="107" t="n"/>
      <c r="K63" s="107" t="n"/>
      <c r="L63" s="107" t="n"/>
    </row>
    <row r="64" s="56">
      <c r="A64" s="105" t="inlineStr">
        <is>
          <t>14 Nov</t>
        </is>
      </c>
      <c r="B64" s="105" t="inlineStr">
        <is>
          <t>Shenyang station → NEU Nanhu</t>
        </is>
      </c>
      <c r="C64" s="82" t="inlineStr">
        <is>
          <t>Taxi</t>
        </is>
      </c>
      <c r="D64" s="104" t="n">
        <v>0.01388888888888889</v>
      </c>
      <c r="E64" s="106" t="inlineStr">
        <is>
          <t>Registration day</t>
        </is>
      </c>
      <c r="F64" s="107" t="n"/>
      <c r="G64" s="107" t="n"/>
      <c r="H64" s="107" t="n"/>
      <c r="I64" s="107" t="n"/>
      <c r="J64" s="107" t="n"/>
      <c r="K64" s="107" t="n"/>
      <c r="L64" s="107" t="n"/>
    </row>
    <row r="65" s="56">
      <c r="A65" s="105" t="inlineStr">
        <is>
          <t>15 Nov</t>
        </is>
      </c>
      <c r="B65" s="105" t="inlineStr">
        <is>
          <t>NEU Nanhu → Shenyang station</t>
        </is>
      </c>
      <c r="C65" s="82" t="inlineStr">
        <is>
          <t>Taxi</t>
        </is>
      </c>
      <c r="D65" s="104" t="n">
        <v>0.01388888888888889</v>
      </c>
      <c r="E65" s="106" t="n"/>
      <c r="F65" s="107" t="n"/>
      <c r="G65" s="107" t="n"/>
      <c r="H65" s="107" t="n"/>
      <c r="I65" s="107" t="n"/>
      <c r="J65" s="107" t="n"/>
      <c r="K65" s="107" t="n"/>
      <c r="L65" s="107" t="n"/>
    </row>
    <row r="66" s="56">
      <c r="A66" s="105" t="inlineStr">
        <is>
          <t>15–16 Nov</t>
        </is>
      </c>
      <c r="B66" s="105" t="inlineStr">
        <is>
          <t>Shenyang → Beijing</t>
        </is>
      </c>
      <c r="C66" s="82" t="inlineStr">
        <is>
          <t>K28 hard seat 22:24–08:40</t>
        </is>
      </c>
      <c r="D66" s="104" t="n">
        <v>0.4277777777777778</v>
      </c>
      <c r="E66" s="106" t="inlineStr">
        <is>
          <t>Overnight, after the contest</t>
        </is>
      </c>
      <c r="F66" s="107" t="n"/>
      <c r="G66" s="107" t="n"/>
      <c r="H66" s="107" t="n"/>
      <c r="I66" s="107" t="n"/>
      <c r="J66" s="107" t="n"/>
      <c r="K66" s="107" t="n"/>
      <c r="L66" s="107" t="n"/>
    </row>
    <row r="67" s="56">
      <c r="A67" s="105" t="inlineStr">
        <is>
          <t>16 Nov</t>
        </is>
      </c>
      <c r="B67" s="105" t="inlineStr">
        <is>
          <t>Beijing station → PEK</t>
        </is>
      </c>
      <c r="C67" s="82" t="inlineStr">
        <is>
          <t>Metro line 2 + Airport Express</t>
        </is>
      </c>
      <c r="D67" s="104" t="n">
        <v>0.04166666666666666</v>
      </c>
      <c r="E67" s="106" t="inlineStr">
        <is>
          <t>Be at PEK by ~10:55</t>
        </is>
      </c>
      <c r="F67" s="107" t="n"/>
      <c r="G67" s="107" t="n"/>
      <c r="H67" s="107" t="n"/>
      <c r="I67" s="107" t="n"/>
      <c r="J67" s="107" t="n"/>
      <c r="K67" s="107" t="n"/>
      <c r="L67" s="107" t="n"/>
    </row>
    <row r="68" s="56">
      <c r="A68" s="105" t="inlineStr">
        <is>
          <t>16 Nov</t>
        </is>
      </c>
      <c r="B68" s="105" t="inlineStr">
        <is>
          <t>Beijing (PEK) → Ulaanbaatar</t>
        </is>
      </c>
      <c r="C68" s="82" t="inlineStr">
        <is>
          <t>Air China 12:55–15:05</t>
        </is>
      </c>
      <c r="D68" s="104" t="n">
        <v>0.09027777777777778</v>
      </c>
      <c r="E68" s="106" t="n"/>
      <c r="F68" s="107" t="n"/>
      <c r="G68" s="107" t="n"/>
      <c r="H68" s="107" t="n"/>
      <c r="I68" s="107" t="n"/>
      <c r="J68" s="107" t="n"/>
      <c r="K68" s="107" t="n"/>
      <c r="L68" s="107" t="n"/>
    </row>
    <row r="69" s="56">
      <c r="A69" s="105" t="inlineStr">
        <is>
          <t>16 Nov</t>
        </is>
      </c>
      <c r="B69" s="105" t="inlineStr">
        <is>
          <t>Chinggis Khaan airport → home</t>
        </is>
      </c>
      <c r="C69" s="82" t="inlineStr">
        <is>
          <t>Taxi</t>
        </is>
      </c>
      <c r="D69" s="104" t="n">
        <v>0.04166666666666666</v>
      </c>
      <c r="E69" s="106" t="n"/>
      <c r="F69" s="107" t="n"/>
      <c r="G69" s="107" t="n"/>
      <c r="H69" s="107" t="n"/>
      <c r="I69" s="107" t="n"/>
      <c r="J69" s="107" t="n"/>
      <c r="K69" s="107" t="n"/>
      <c r="L69" s="107" t="n"/>
    </row>
    <row r="70" s="56"/>
    <row r="71" s="56">
      <c r="C71" s="59" t="inlineStr">
        <is>
          <t>Total door-to-door</t>
        </is>
      </c>
      <c r="D71" s="109">
        <f>SUM(D59:D69)</f>
        <v/>
      </c>
    </row>
  </sheetData>
  <mergeCells count="20">
    <mergeCell ref="C52:L52"/>
    <mergeCell ref="E68:L68"/>
    <mergeCell ref="B47:L47"/>
    <mergeCell ref="E62:L62"/>
    <mergeCell ref="B46:L46"/>
    <mergeCell ref="E67:L67"/>
    <mergeCell ref="C53:L53"/>
    <mergeCell ref="E64:L64"/>
    <mergeCell ref="E63:L63"/>
    <mergeCell ref="E60:L60"/>
    <mergeCell ref="E69:L69"/>
    <mergeCell ref="E65:L65"/>
    <mergeCell ref="B44:L44"/>
    <mergeCell ref="E59:L59"/>
    <mergeCell ref="C54:L54"/>
    <mergeCell ref="E61:L61"/>
    <mergeCell ref="C55:L55"/>
    <mergeCell ref="E66:L66"/>
    <mergeCell ref="C51:L51"/>
    <mergeCell ref="B45:L4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72"/>
  <sheetViews>
    <sheetView workbookViewId="0">
      <selection activeCell="A1" sqref="A1"/>
    </sheetView>
  </sheetViews>
  <sheetFormatPr baseColWidth="8" defaultRowHeight="15"/>
  <cols>
    <col width="26" customWidth="1" style="56" min="1" max="1"/>
    <col width="52" customWidth="1" style="56" min="2" max="2"/>
    <col width="20" customWidth="1" style="56" min="3" max="3"/>
    <col width="15" customWidth="1" style="56" min="4" max="4"/>
    <col width="13" customWidth="1" style="56" min="5" max="5"/>
    <col width="9" customWidth="1" style="56" min="6" max="6"/>
    <col width="17" customWidth="1" style="56" min="8" max="8"/>
    <col width="13" customWidth="1" style="56" min="9" max="9"/>
    <col width="9" customWidth="1" style="56" min="10" max="10"/>
    <col width="17" customWidth="1" style="56" min="11" max="11"/>
    <col width="58" customWidth="1" style="56" min="12" max="12"/>
  </cols>
  <sheetData>
    <row r="1" ht="17.35" customHeight="1" s="56">
      <c r="A1" s="57" t="inlineStr">
        <is>
          <t>Shenyang – Manzhouli seats</t>
        </is>
      </c>
    </row>
    <row r="2" ht="15" customHeight="1" s="56">
      <c r="A2" s="62" t="inlineStr">
        <is>
          <t>Hunnu Air to Manzhouli (Wed 11 Nov), K7092 overnight to Harbin and K928 to Shenyang, both in hard seats; three hotel nights before the contest; K28 seat + Air China home.</t>
        </is>
      </c>
    </row>
    <row r="4" ht="15" customHeight="1" s="56">
      <c r="A4" s="60" t="inlineStr">
        <is>
          <t>Days in destination (meals &amp; local transport)</t>
        </is>
      </c>
      <c r="B4" s="76" t="n">
        <v>5</v>
      </c>
      <c r="C4" s="62" t="inlineStr">
        <is>
          <t>11 Nov afternoon → 16 Nov midday</t>
        </is>
      </c>
    </row>
    <row r="5" ht="15" customHeight="1" s="56">
      <c r="A5" s="62" t="inlineStr">
        <is>
          <t>Shared inputs are on the Compare sheet. Scroll down for the day-by-day plan and door-to-door travel times.</t>
        </is>
      </c>
    </row>
    <row r="7" ht="31.5" customHeight="1" s="56">
      <c r="A7" s="66" t="inlineStr">
        <is>
          <t>Category</t>
        </is>
      </c>
      <c r="B7" s="66" t="inlineStr">
        <is>
          <t>Item</t>
        </is>
      </c>
      <c r="C7" s="66" t="inlineStr">
        <is>
          <t>Date</t>
        </is>
      </c>
      <c r="D7" s="66" t="inlineStr">
        <is>
          <t>Travel time</t>
        </is>
      </c>
      <c r="E7" s="66" t="inlineStr">
        <is>
          <t>Unit cost (3 ppl)</t>
        </is>
      </c>
      <c r="F7" s="66" t="inlineStr">
        <is>
          <t>Currency</t>
        </is>
      </c>
      <c r="G7" s="66" t="inlineStr">
        <is>
          <t>Qty (3 ppl)</t>
        </is>
      </c>
      <c r="H7" s="66" t="inlineStr">
        <is>
          <t>Total MNT – 3 people</t>
        </is>
      </c>
      <c r="I7" s="66" t="inlineStr">
        <is>
          <t>Unit cost (4 ppl)</t>
        </is>
      </c>
      <c r="J7" s="66" t="inlineStr">
        <is>
          <t>Qty (4 ppl)</t>
        </is>
      </c>
      <c r="K7" s="66" t="inlineStr">
        <is>
          <t>Total MNT – 4 people</t>
        </is>
      </c>
      <c r="L7" s="66" t="inlineStr">
        <is>
          <t>Source / notes</t>
        </is>
      </c>
    </row>
    <row r="8" s="56">
      <c r="A8" s="77" t="inlineStr">
        <is>
          <t>PAID BY UNIVERSITY</t>
        </is>
      </c>
      <c r="B8" s="78" t="n"/>
      <c r="C8" s="78" t="n"/>
      <c r="D8" s="78" t="n"/>
      <c r="E8" s="78" t="n"/>
      <c r="F8" s="78" t="n"/>
      <c r="G8" s="78" t="n"/>
      <c r="H8" s="78" t="n"/>
      <c r="I8" s="78" t="n"/>
      <c r="J8" s="78" t="n"/>
      <c r="K8" s="78" t="n"/>
      <c r="L8" s="78" t="n"/>
    </row>
    <row r="9" s="56">
      <c r="A9" s="79" t="inlineStr">
        <is>
          <t>Flights</t>
        </is>
      </c>
      <c r="B9" s="80" t="n"/>
      <c r="C9" s="80" t="n"/>
      <c r="D9" s="80" t="n"/>
      <c r="E9" s="80" t="n"/>
      <c r="F9" s="80" t="n"/>
      <c r="G9" s="80" t="n"/>
      <c r="H9" s="80" t="n"/>
      <c r="I9" s="80" t="n"/>
      <c r="J9" s="80" t="n"/>
      <c r="K9" s="80" t="n"/>
      <c r="L9" s="80" t="n"/>
    </row>
    <row r="10" ht="51" customHeight="1" s="56">
      <c r="B10" s="111" t="inlineStr">
        <is>
          <t>Hunnu Air MR881 Ulaanbaatar 13:20 → Manzhouli 15:00, nonstop</t>
        </is>
      </c>
      <c r="C10" s="83" t="inlineStr">
        <is>
          <t>Wed 11 Nov</t>
        </is>
      </c>
      <c r="D10" s="84" t="n">
        <v>0.06944444444444445</v>
      </c>
      <c r="E10" s="85" t="n">
        <v>677</v>
      </c>
      <c r="F10" s="86" t="inlineStr">
        <is>
          <t>CNY</t>
        </is>
      </c>
      <c r="G10" s="87">
        <f>Compare!$B$6</f>
        <v/>
      </c>
      <c r="H10" s="88">
        <f>E10*G10*IF(F10="USD",Compare!$B$8,IF(F10="CNY",Compare!$B$9,IF(F10="HKD",Compare!$B$10,1)))</f>
        <v/>
      </c>
      <c r="I10" s="89">
        <f>E10</f>
        <v/>
      </c>
      <c r="J10" s="87">
        <f>Compare!$B$7</f>
        <v/>
      </c>
      <c r="K10" s="88">
        <f>I10*J10*IF(F10="USD",Compare!$B$8,IF(F10="CNY",Compare!$B$9,IF(F10="HKD",Compare!$B$10,1)))</f>
        <v/>
      </c>
      <c r="L10" s="112" t="inlineStr">
        <is>
          <t>Ctrip 22 Oct: ¥677 (SlickTrip $108). Flies Wed and Sat only. Checked bag ~20 kg per travel guides (not confirmed on hunnuair.com). No same-day flight on to Harbin or Shenyang: Ctrip's connections all stop overnight in Hohhot or Beijing.</t>
        </is>
      </c>
    </row>
    <row r="11" ht="39" customHeight="1" s="56">
      <c r="B11" s="111" t="inlineStr">
        <is>
          <t>Air China CA955 Beijing Capital (PEK) 12:55 → Ulaanbaatar 15:05, nonstop</t>
        </is>
      </c>
      <c r="C11" s="83" t="inlineStr">
        <is>
          <t>16 Nov</t>
        </is>
      </c>
      <c r="D11" s="84" t="n">
        <v>0.09027777777777778</v>
      </c>
      <c r="E11" s="85" t="n">
        <v>171</v>
      </c>
      <c r="F11" s="86" t="inlineStr">
        <is>
          <t>USD</t>
        </is>
      </c>
      <c r="G11" s="87">
        <f>Compare!$B$6</f>
        <v/>
      </c>
      <c r="H11" s="88">
        <f>E11*G11*IF(F11="USD",Compare!$B$8,IF(F11="CNY",Compare!$B$9,IF(F11="HKD",Compare!$B$10,1)))</f>
        <v/>
      </c>
      <c r="I11" s="89">
        <f>E11</f>
        <v/>
      </c>
      <c r="J11" s="87">
        <f>Compare!$B$7</f>
        <v/>
      </c>
      <c r="K11" s="88">
        <f>I11*J11*IF(F11="USD",Compare!$B$8,IF(F11="CNY",Compare!$B$9,IF(F11="HKD",Compare!$B$10,1)))</f>
        <v/>
      </c>
      <c r="L11" s="112" t="inlineStr">
        <is>
          <t>Trip.com 22 Oct: US$171 pp, cheapest that day (MIAT OM224 11:30 US$193 on Trip.com / $176 on SlickTrip; Air China 08:25 $215; Capital + Hunnu via Erenhot $196)</t>
        </is>
      </c>
    </row>
    <row r="12" s="56">
      <c r="A12" s="79" t="inlineStr">
        <is>
          <t>Trains</t>
        </is>
      </c>
      <c r="B12" s="80" t="n"/>
      <c r="C12" s="80" t="n"/>
      <c r="D12" s="80" t="n"/>
      <c r="E12" s="80" t="n"/>
      <c r="F12" s="80" t="n"/>
      <c r="G12" s="80" t="n"/>
      <c r="H12" s="80" t="n"/>
      <c r="I12" s="80" t="n"/>
      <c r="J12" s="80" t="n"/>
      <c r="K12" s="80" t="n"/>
      <c r="L12" s="80" t="n"/>
    </row>
    <row r="13" ht="51" customHeight="1" s="56">
      <c r="B13" s="111" t="inlineStr">
        <is>
          <t>Overnight train K7092 Manzhouli 19:17 → Harbin 07:11, hard seat</t>
        </is>
      </c>
      <c r="C13" s="83" t="inlineStr">
        <is>
          <t>11–12 Nov</t>
        </is>
      </c>
      <c r="D13" s="84" t="n">
        <v>0.4958333333333333</v>
      </c>
      <c r="E13" s="85" t="n">
        <v>119</v>
      </c>
      <c r="F13" s="86" t="inlineStr">
        <is>
          <t>CNY</t>
        </is>
      </c>
      <c r="G13" s="87">
        <f>Compare!$B$6</f>
        <v/>
      </c>
      <c r="H13" s="88">
        <f>E13*G13*IF(F13="USD",Compare!$B$8,IF(F13="CNY",Compare!$B$9,IF(F13="HKD",Compare!$B$10,1)))</f>
        <v/>
      </c>
      <c r="I13" s="89">
        <f>E13</f>
        <v/>
      </c>
      <c r="J13" s="87">
        <f>Compare!$B$7</f>
        <v/>
      </c>
      <c r="K13" s="88">
        <f>I13*J13*IF(F13="USD",Compare!$B$8,IF(F13="CNY",Compare!$B$9,IF(F13="HKD",Compare!$B$10,1)))</f>
        <v/>
      </c>
      <c r="L13" s="112" t="inlineStr">
        <is>
          <t>12306 (5 Nov query): seat ¥119, hard sleeper ¥207, soft ¥324 (K7090 20:20 → 09:08 same fares). ChinaTicketOnline confirms 11 Nov, on sale 28 Oct 16:00. Direct Manzhouli → Shenyang trains (09:05 / 11:15 / 13:40, 18–21 h) leave before the flight lands.</t>
        </is>
      </c>
    </row>
    <row r="14" ht="39" customHeight="1" s="56">
      <c r="B14" s="111" t="inlineStr">
        <is>
          <t>Train K928 Harbin 07:48 → Shenyang North 14:32, hard seat</t>
        </is>
      </c>
      <c r="C14" s="83" t="inlineStr">
        <is>
          <t>12 Nov</t>
        </is>
      </c>
      <c r="D14" s="84" t="n">
        <v>0.2805555555555556</v>
      </c>
      <c r="E14" s="85" t="n">
        <v>75</v>
      </c>
      <c r="F14" s="86" t="inlineStr">
        <is>
          <t>CNY</t>
        </is>
      </c>
      <c r="G14" s="87">
        <f>Compare!$B$6</f>
        <v/>
      </c>
      <c r="H14" s="88">
        <f>E14*G14*IF(F14="USD",Compare!$B$8,IF(F14="CNY",Compare!$B$9,IF(F14="HKD",Compare!$B$10,1)))</f>
        <v/>
      </c>
      <c r="I14" s="89">
        <f>E14</f>
        <v/>
      </c>
      <c r="J14" s="87">
        <f>Compare!$B$7</f>
        <v/>
      </c>
      <c r="K14" s="88">
        <f>I14*J14*IF(F14="USD",Compare!$B$8,IF(F14="CNY",Compare!$B$9,IF(F14="HKD",Compare!$B$10,1)))</f>
        <v/>
      </c>
      <c r="L14" s="112" t="inlineStr">
        <is>
          <t>12306 (5 Nov query): seat ¥75, hard sleeper ¥133; same station as K7092 (37 min). T184 Harbin West 07:10 also ¥75; G1280 09:11 → 11:42 ¥267 is the fast option. On sale 29 Oct 10:00.</t>
        </is>
      </c>
    </row>
    <row r="15" ht="51" customHeight="1" s="56">
      <c r="B15" s="111" t="inlineStr">
        <is>
          <t>Overnight train K28 Shenyang 22:24 → Beijing 08:40, hard seat (after the contest)</t>
        </is>
      </c>
      <c r="C15" s="83" t="inlineStr">
        <is>
          <t>15 Nov (night)</t>
        </is>
      </c>
      <c r="D15" s="84" t="n">
        <v>0.4277777777777778</v>
      </c>
      <c r="E15" s="85" t="n">
        <v>112</v>
      </c>
      <c r="F15" s="86" t="inlineStr">
        <is>
          <t>CNY</t>
        </is>
      </c>
      <c r="G15" s="87">
        <f>Compare!$B$6</f>
        <v/>
      </c>
      <c r="H15" s="88">
        <f>E15*G15*IF(F15="USD",Compare!$B$8,IF(F15="CNY",Compare!$B$9,IF(F15="HKD",Compare!$B$10,1)))</f>
        <v/>
      </c>
      <c r="I15" s="89">
        <f>E15</f>
        <v/>
      </c>
      <c r="J15" s="87">
        <f>Compare!$B$7</f>
        <v/>
      </c>
      <c r="K15" s="88">
        <f>I15*J15*IF(F15="USD",Compare!$B$8,IF(F15="CNY",Compare!$B$9,IF(F15="HKD",Compare!$B$10,1)))</f>
        <v/>
      </c>
      <c r="L15" s="112" t="inlineStr">
        <is>
          <t>12306 (5 Nov query): hard seat ¥112 (hard sleeper ¥194). Cheapest train that still makes the 12:55 flight (K96 23:39 ¥102 arrives 11:19 – too late). Lie-flat upgrade: K54 Shenyang North 22:00 → 06:58 hard sleeper ¥171 (+¥59 pp). On sale 1 Nov 09:30 (ChinaTicketOnline confirms 15 Nov).</t>
        </is>
      </c>
    </row>
    <row r="16" s="56">
      <c r="A16" s="79" t="inlineStr">
        <is>
          <t>Accommodation</t>
        </is>
      </c>
      <c r="B16" s="80" t="n"/>
      <c r="C16" s="80" t="n"/>
      <c r="D16" s="80" t="n"/>
      <c r="E16" s="80" t="n"/>
      <c r="F16" s="80" t="n"/>
      <c r="G16" s="80" t="n"/>
      <c r="H16" s="80" t="n"/>
      <c r="I16" s="80" t="n"/>
      <c r="J16" s="80" t="n"/>
      <c r="K16" s="80" t="n"/>
      <c r="L16" s="80" t="n"/>
    </row>
    <row r="17" ht="60" customHeight="1" s="56">
      <c r="B17" s="111" t="inlineStr">
        <is>
          <t>Ji Hotel Sanhao Street, 55 Sanhao St (~940 m to NEU Nanhu, ~15 min walk): 2 Budget Twin rooms, King Koil mattresses, windows, floors 4–16 – a bed each</t>
        </is>
      </c>
      <c r="C17" s="83" t="inlineStr">
        <is>
          <t>12–15 Nov (3 nights)</t>
        </is>
      </c>
      <c r="D17" s="84" t="n"/>
      <c r="E17" s="85" t="n">
        <v>457</v>
      </c>
      <c r="F17" s="86" t="inlineStr">
        <is>
          <t>CNY</t>
        </is>
      </c>
      <c r="G17" s="91" t="n">
        <v>3</v>
      </c>
      <c r="H17" s="88">
        <f>E17*G17*IF(F17="USD",Compare!$B$8,IF(F17="CNY",Compare!$B$9,IF(F17="HKD",Compare!$B$10,1)))</f>
        <v/>
      </c>
      <c r="I17" s="85" t="n">
        <v>457</v>
      </c>
      <c r="J17" s="91" t="n">
        <v>3</v>
      </c>
      <c r="K17" s="88">
        <f>I17*J17*IF(F17="USD",Compare!$B$8,IF(F17="CNY",Compare!$B$9,IF(F17="HKD",Compare!$B$10,1)))</f>
        <v/>
      </c>
      <c r="L17" s="112" t="inlineStr">
        <is>
          <t>Trip.com 22 Oct: ¥1,371 for 2 rooms × 3 nights incl. taxes, free cancellation until 18:00 on 11 Nov (prepay); same price for 3 or 4 adults. 9.0 from 1,433 reviews; 16 m² rooms high in an office tower, above the street. Breakfast ¥40 optional.</t>
        </is>
      </c>
    </row>
    <row r="18" s="56">
      <c r="A18" s="79" t="inlineStr">
        <is>
          <t>Meals &amp; local transport</t>
        </is>
      </c>
      <c r="B18" s="80" t="n"/>
      <c r="C18" s="80" t="n"/>
      <c r="D18" s="80" t="n"/>
      <c r="E18" s="80" t="n"/>
      <c r="F18" s="80" t="n"/>
      <c r="G18" s="80" t="n"/>
      <c r="H18" s="80" t="n"/>
      <c r="I18" s="80" t="n"/>
      <c r="J18" s="80" t="n"/>
      <c r="K18" s="80" t="n"/>
      <c r="L18" s="80" t="n"/>
    </row>
    <row r="19" ht="30" customHeight="1" s="56">
      <c r="B19" s="111" t="inlineStr">
        <is>
          <t>Meals</t>
        </is>
      </c>
      <c r="C19" s="83" t="inlineStr">
        <is>
          <t>in destination</t>
        </is>
      </c>
      <c r="D19" s="84" t="n"/>
      <c r="E19" s="113" t="n">
        <v>80</v>
      </c>
      <c r="F19" s="86" t="inlineStr">
        <is>
          <t>CNY</t>
        </is>
      </c>
      <c r="G19" s="87">
        <f>Compare!$B$6*$B$4</f>
        <v/>
      </c>
      <c r="H19" s="88">
        <f>E19*G19*IF(F19="USD",Compare!$B$8,IF(F19="CNY",Compare!$B$9,IF(F19="HKD",Compare!$B$10,1)))</f>
        <v/>
      </c>
      <c r="I19" s="114">
        <f>E19</f>
        <v/>
      </c>
      <c r="J19" s="87">
        <f>Compare!$B$7*$B$4</f>
        <v/>
      </c>
      <c r="K19" s="88">
        <f>I19*J19*IF(F19="USD",Compare!$B$8,IF(F19="CNY",Compare!$B$9,IF(F19="HKD",Compare!$B$10,1)))</f>
        <v/>
      </c>
      <c r="L19" s="112" t="inlineStr">
        <is>
          <t>ASSUMPTION 80 CNY/person/day; hosts usually provide some meals on contest days</t>
        </is>
      </c>
    </row>
    <row r="20" ht="30" customHeight="1" s="56">
      <c r="B20" s="111" t="inlineStr">
        <is>
          <t>Local transport (metro, taxis)</t>
        </is>
      </c>
      <c r="C20" s="83" t="inlineStr">
        <is>
          <t>in destination</t>
        </is>
      </c>
      <c r="D20" s="84" t="n"/>
      <c r="E20" s="113" t="n">
        <v>30</v>
      </c>
      <c r="F20" s="86" t="inlineStr">
        <is>
          <t>CNY</t>
        </is>
      </c>
      <c r="G20" s="87">
        <f>Compare!$B$6*$B$4</f>
        <v/>
      </c>
      <c r="H20" s="88">
        <f>E20*G20*IF(F20="USD",Compare!$B$8,IF(F20="CNY",Compare!$B$9,IF(F20="HKD",Compare!$B$10,1)))</f>
        <v/>
      </c>
      <c r="I20" s="114">
        <f>E20</f>
        <v/>
      </c>
      <c r="J20" s="87">
        <f>Compare!$B$7*$B$4</f>
        <v/>
      </c>
      <c r="K20" s="88">
        <f>I20*J20*IF(F20="USD",Compare!$B$8,IF(F20="CNY",Compare!$B$9,IF(F20="HKD",Compare!$B$10,1)))</f>
        <v/>
      </c>
      <c r="L20" s="112" t="inlineStr">
        <is>
          <t>ASSUMPTION 30 CNY/person/day</t>
        </is>
      </c>
    </row>
    <row r="21" ht="30" customHeight="1" s="56">
      <c r="B21" s="111" t="inlineStr">
        <is>
          <t>Taxi Manzhouli airport → Manzhouli station</t>
        </is>
      </c>
      <c r="C21" s="83" t="inlineStr">
        <is>
          <t>11 Nov</t>
        </is>
      </c>
      <c r="D21" s="84" t="n"/>
      <c r="E21" s="113" t="n">
        <v>30</v>
      </c>
      <c r="F21" s="86" t="inlineStr">
        <is>
          <t>CNY</t>
        </is>
      </c>
      <c r="G21" s="91" t="n">
        <v>1</v>
      </c>
      <c r="H21" s="88">
        <f>E21*G21*IF(F21="USD",Compare!$B$8,IF(F21="CNY",Compare!$B$9,IF(F21="HKD",Compare!$B$10,1)))</f>
        <v/>
      </c>
      <c r="I21" s="114">
        <f>E21</f>
        <v/>
      </c>
      <c r="J21" s="91" t="n">
        <v>1</v>
      </c>
      <c r="K21" s="88">
        <f>I21*J21*IF(F21="USD",Compare!$B$8,IF(F21="CNY",Compare!$B$9,IF(F21="HKD",Compare!$B$10,1)))</f>
        <v/>
      </c>
      <c r="L21" s="112" t="inlineStr">
        <is>
          <t>ASSUMPTION ~¥30 per car, ~10 km</t>
        </is>
      </c>
    </row>
    <row r="22" ht="30" customHeight="1" s="56">
      <c r="B22" s="111" t="inlineStr">
        <is>
          <t>Metro line 2 + Airport Express, Beijing station → PEK T3</t>
        </is>
      </c>
      <c r="C22" s="83" t="inlineStr">
        <is>
          <t>16 Nov</t>
        </is>
      </c>
      <c r="D22" s="84" t="n"/>
      <c r="E22" s="113" t="n">
        <v>30</v>
      </c>
      <c r="F22" s="86" t="inlineStr">
        <is>
          <t>CNY</t>
        </is>
      </c>
      <c r="G22" s="87">
        <f>Compare!$B$6</f>
        <v/>
      </c>
      <c r="H22" s="88">
        <f>E22*G22*IF(F22="USD",Compare!$B$8,IF(F22="CNY",Compare!$B$9,IF(F22="HKD",Compare!$B$10,1)))</f>
        <v/>
      </c>
      <c r="I22" s="114">
        <f>E22</f>
        <v/>
      </c>
      <c r="J22" s="87">
        <f>Compare!$B$7</f>
        <v/>
      </c>
      <c r="K22" s="88">
        <f>I22*J22*IF(F22="USD",Compare!$B$8,IF(F22="CNY",Compare!$B$9,IF(F22="HKD",Compare!$B$10,1)))</f>
        <v/>
      </c>
      <c r="L22" s="112" t="inlineStr">
        <is>
          <t>ASSUMPTION Airport Express ¥25 + metro ¥4–5 pp</t>
        </is>
      </c>
    </row>
    <row r="23" s="56">
      <c r="A23" s="94" t="inlineStr">
        <is>
          <t>PAID PERSONALLY (university won't cover)</t>
        </is>
      </c>
      <c r="B23" s="95" t="n"/>
      <c r="C23" s="95" t="n"/>
      <c r="D23" s="95" t="n"/>
      <c r="E23" s="95" t="n"/>
      <c r="F23" s="95" t="n"/>
      <c r="G23" s="95" t="n"/>
      <c r="H23" s="95" t="n"/>
      <c r="I23" s="95" t="n"/>
      <c r="J23" s="95" t="n"/>
      <c r="K23" s="95" t="n"/>
      <c r="L23" s="95" t="n"/>
    </row>
    <row r="24" s="56">
      <c r="A24" s="79" t="inlineStr">
        <is>
          <t>Contest fee</t>
        </is>
      </c>
      <c r="B24" s="80" t="n"/>
      <c r="C24" s="80" t="n"/>
      <c r="D24" s="80" t="n"/>
      <c r="E24" s="80" t="n"/>
      <c r="F24" s="80" t="n"/>
      <c r="G24" s="80" t="n"/>
      <c r="H24" s="80" t="n"/>
      <c r="I24" s="80" t="n"/>
      <c r="J24" s="80" t="n"/>
      <c r="K24" s="80" t="n"/>
      <c r="L24" s="80" t="n"/>
    </row>
    <row r="25" ht="30" customHeight="1" s="56">
      <c r="B25" s="111" t="inlineStr">
        <is>
          <t>Shenyang regional registration fee (per team)</t>
        </is>
      </c>
      <c r="C25" s="83" t="inlineStr">
        <is>
          <t>pay when invited</t>
        </is>
      </c>
      <c r="D25" s="84" t="n"/>
      <c r="E25" s="113" t="n">
        <v>1500</v>
      </c>
      <c r="F25" s="86" t="inlineStr">
        <is>
          <t>CNY</t>
        </is>
      </c>
      <c r="G25" s="91" t="n">
        <v>1</v>
      </c>
      <c r="H25" s="88">
        <f>E25*G25*IF(F25="USD",Compare!$B$8,IF(F25="CNY",Compare!$B$9,IF(F25="HKD",Compare!$B$10,1)))</f>
        <v/>
      </c>
      <c r="I25" s="114">
        <f>E25</f>
        <v/>
      </c>
      <c r="J25" s="91" t="n">
        <v>1</v>
      </c>
      <c r="K25" s="88">
        <f>I25*J25*IF(F25="USD",Compare!$B$8,IF(F25="CNY",Compare!$B$9,IF(F25="HKD",Compare!$B$10,1)))</f>
        <v/>
      </c>
      <c r="L25" s="112" t="inlineStr">
        <is>
          <t>ASSUMPTION: 1,500 CNY/team like recent EC regionals; the 2026 Shenyang invitation was not found on 22 Oct</t>
        </is>
      </c>
    </row>
    <row r="26" s="56">
      <c r="A26" s="79" t="inlineStr">
        <is>
          <t>Other</t>
        </is>
      </c>
      <c r="B26" s="80" t="n"/>
      <c r="C26" s="80" t="n"/>
      <c r="D26" s="80" t="n"/>
      <c r="E26" s="80" t="n"/>
      <c r="F26" s="80" t="n"/>
      <c r="G26" s="80" t="n"/>
      <c r="H26" s="80" t="n"/>
      <c r="I26" s="80" t="n"/>
      <c r="J26" s="80" t="n"/>
      <c r="K26" s="80" t="n"/>
      <c r="L26" s="80" t="n"/>
    </row>
    <row r="27" ht="30" customHeight="1" s="56">
      <c r="B27" s="111" t="inlineStr">
        <is>
          <t>Taxi to/from Chinggis Khaan airport (UB), per trip</t>
        </is>
      </c>
      <c r="C27" s="83" t="inlineStr">
        <is>
          <t>out &amp; back</t>
        </is>
      </c>
      <c r="D27" s="84" t="n">
        <v>0.04166666666666666</v>
      </c>
      <c r="E27" s="113" t="n">
        <v>100000</v>
      </c>
      <c r="F27" s="86" t="inlineStr">
        <is>
          <t>MNT</t>
        </is>
      </c>
      <c r="G27" s="91" t="n">
        <v>2</v>
      </c>
      <c r="H27" s="88">
        <f>E27*G27*IF(F27="USD",Compare!$B$8,IF(F27="CNY",Compare!$B$9,IF(F27="HKD",Compare!$B$10,1)))</f>
        <v/>
      </c>
      <c r="I27" s="114">
        <f>E27</f>
        <v/>
      </c>
      <c r="J27" s="91" t="n">
        <v>2</v>
      </c>
      <c r="K27" s="88">
        <f>I27*J27*IF(F27="USD",Compare!$B$8,IF(F27="CNY",Compare!$B$9,IF(F27="HKD",Compare!$B$10,1)))</f>
        <v/>
      </c>
      <c r="L27" s="112" t="inlineStr">
        <is>
          <t>ASSUMPTION 100k MNT per trip for the group</t>
        </is>
      </c>
    </row>
    <row r="28" ht="30" customHeight="1" s="56">
      <c r="B28" s="111" t="inlineStr">
        <is>
          <t>Travel medical insurance</t>
        </is>
      </c>
      <c r="C28" s="83" t="n"/>
      <c r="D28" s="84" t="n"/>
      <c r="E28" s="113" t="n">
        <v>30000</v>
      </c>
      <c r="F28" s="86" t="inlineStr">
        <is>
          <t>MNT</t>
        </is>
      </c>
      <c r="G28" s="87">
        <f>Compare!$B$6</f>
        <v/>
      </c>
      <c r="H28" s="88">
        <f>E28*G28*IF(F28="USD",Compare!$B$8,IF(F28="CNY",Compare!$B$9,IF(F28="HKD",Compare!$B$10,1)))</f>
        <v/>
      </c>
      <c r="I28" s="114">
        <f>E28</f>
        <v/>
      </c>
      <c r="J28" s="87">
        <f>Compare!$B$7</f>
        <v/>
      </c>
      <c r="K28" s="88">
        <f>I28*J28*IF(F28="USD",Compare!$B$8,IF(F28="CNY",Compare!$B$9,IF(F28="HKD",Compare!$B$10,1)))</f>
        <v/>
      </c>
      <c r="L28" s="112" t="inlineStr">
        <is>
          <t>ASSUMPTION ~30k MNT per person, Mongolian insurer</t>
        </is>
      </c>
    </row>
    <row r="29" ht="30" customHeight="1" s="56">
      <c r="B29" s="111" t="inlineStr">
        <is>
          <t>Mobile data eSIM</t>
        </is>
      </c>
      <c r="C29" s="83" t="n"/>
      <c r="D29" s="84" t="n"/>
      <c r="E29" s="113" t="n">
        <v>10</v>
      </c>
      <c r="F29" s="86" t="inlineStr">
        <is>
          <t>USD</t>
        </is>
      </c>
      <c r="G29" s="87">
        <f>Compare!$B$6</f>
        <v/>
      </c>
      <c r="H29" s="88">
        <f>E29*G29*IF(F29="USD",Compare!$B$8,IF(F29="CNY",Compare!$B$9,IF(F29="HKD",Compare!$B$10,1)))</f>
        <v/>
      </c>
      <c r="I29" s="114">
        <f>E29</f>
        <v/>
      </c>
      <c r="J29" s="87">
        <f>Compare!$B$7</f>
        <v/>
      </c>
      <c r="K29" s="88">
        <f>I29*J29*IF(F29="USD",Compare!$B$8,IF(F29="CNY",Compare!$B$9,IF(F29="HKD",Compare!$B$10,1)))</f>
        <v/>
      </c>
      <c r="L29" s="112" t="inlineStr">
        <is>
          <t>ASSUMPTION ~$10 pp</t>
        </is>
      </c>
    </row>
    <row r="30" ht="30" customHeight="1" s="56">
      <c r="B30" s="111" t="inlineStr">
        <is>
          <t>Visa</t>
        </is>
      </c>
      <c r="C30" s="83" t="n"/>
      <c r="D30" s="84" t="n"/>
      <c r="E30" s="85" t="n">
        <v>0</v>
      </c>
      <c r="F30" s="86" t="inlineStr">
        <is>
          <t>MNT</t>
        </is>
      </c>
      <c r="G30" s="87">
        <f>Compare!$B$6</f>
        <v/>
      </c>
      <c r="H30" s="88">
        <f>E30*G30*IF(F30="USD",Compare!$B$8,IF(F30="CNY",Compare!$B$9,IF(F30="HKD",Compare!$B$10,1)))</f>
        <v/>
      </c>
      <c r="I30" s="89">
        <f>E30</f>
        <v/>
      </c>
      <c r="J30" s="87">
        <f>Compare!$B$7</f>
        <v/>
      </c>
      <c r="K30" s="88">
        <f>I30*J30*IF(F30="USD",Compare!$B$8,IF(F30="CNY",Compare!$B$9,IF(F30="HKD",Compare!$B$10,1)))</f>
        <v/>
      </c>
      <c r="L30" s="112" t="inlineStr">
        <is>
          <t>Mongolian passports: visa-free (mainland China up to 30 days; Hong Kong up to 14 days)</t>
        </is>
      </c>
    </row>
    <row r="31" s="56"/>
    <row r="32" s="56">
      <c r="G32" s="60" t="n"/>
      <c r="H32" s="96" t="inlineStr">
        <is>
          <t>3 people – UNFUNDED</t>
        </is>
      </c>
      <c r="K32" s="96" t="inlineStr">
        <is>
          <t>4 people – FUNDED ₮12M</t>
        </is>
      </c>
    </row>
    <row r="33" s="56">
      <c r="G33" s="97" t="inlineStr">
        <is>
          <t>University-paid subtotal</t>
        </is>
      </c>
      <c r="H33" s="98">
        <f>SUM(H9:H22)</f>
        <v/>
      </c>
      <c r="K33" s="98">
        <f>SUM(K9:K22)</f>
        <v/>
      </c>
    </row>
    <row r="34" s="56">
      <c r="G34" s="99" t="inlineStr">
        <is>
          <t>Contingency</t>
        </is>
      </c>
      <c r="H34" s="100">
        <f>H33*Compare!$B$11</f>
        <v/>
      </c>
      <c r="K34" s="100">
        <f>K33*Compare!$B$11</f>
        <v/>
      </c>
    </row>
    <row r="35" s="56">
      <c r="G35" s="97" t="inlineStr">
        <is>
          <t>University-paid total incl. contingency</t>
        </is>
      </c>
      <c r="H35" s="98">
        <f>H33+H34</f>
        <v/>
      </c>
      <c r="K35" s="98">
        <f>K33+K34</f>
        <v/>
      </c>
    </row>
    <row r="36" s="56">
      <c r="G36" s="97" t="inlineStr">
        <is>
          <t>Funding left (negative = over)</t>
        </is>
      </c>
      <c r="H36" s="101">
        <f>Compare!$B$12-H35</f>
        <v/>
      </c>
      <c r="K36" s="101">
        <f>Compare!$B$5-K35</f>
        <v/>
      </c>
    </row>
    <row r="37" s="56">
      <c r="G37" s="97" t="inlineStr">
        <is>
          <t>Personal costs – team</t>
        </is>
      </c>
      <c r="H37" s="102">
        <f>SUM(H24:H30)</f>
        <v/>
      </c>
      <c r="K37" s="102">
        <f>SUM(K24:K30)</f>
        <v/>
      </c>
    </row>
    <row r="38" s="56">
      <c r="G38" s="97" t="inlineStr">
        <is>
          <t>Out-of-pocket per person (personal + any overrun)</t>
        </is>
      </c>
      <c r="H38" s="102">
        <f>(H37+MAX(0,-H36))/Compare!$B$6</f>
        <v/>
      </c>
      <c r="K38" s="102">
        <f>(K37+MAX(0,-K36))/Compare!$B$7</f>
        <v/>
      </c>
    </row>
    <row r="39" s="56">
      <c r="G39" s="97" t="inlineStr">
        <is>
          <t>Whole trip cost (university + personal)</t>
        </is>
      </c>
      <c r="H39" s="103">
        <f>H35+H37</f>
        <v/>
      </c>
      <c r="K39" s="103">
        <f>K35+K37</f>
        <v/>
      </c>
    </row>
    <row r="40" s="56">
      <c r="G40" s="99" t="inlineStr">
        <is>
          <t>Time in planes &amp; trains</t>
        </is>
      </c>
      <c r="H40" s="104">
        <f>SUM(D10:D11)+SUM(D13:D15)</f>
        <v/>
      </c>
      <c r="K40" s="104">
        <f>SUM(D10:D11)+SUM(D13:D15)</f>
        <v/>
      </c>
    </row>
    <row r="41" s="56"/>
    <row r="42" s="56">
      <c r="A42" s="72" t="inlineStr">
        <is>
          <t>Key facts</t>
        </is>
      </c>
    </row>
    <row r="43" ht="30" customHeight="1" s="56">
      <c r="A43" s="75" t="inlineStr">
        <is>
          <t>Contest</t>
        </is>
      </c>
      <c r="B43" s="74" t="inlineStr">
        <is>
          <t>Asia Shenyang Regional, 14–15 Nov 2026 (provisional; the 2026 invitation was not found on 22 Oct), Northeastern University Nanhu campus (2024 and 2025 venue). Assumed: day 1 registration + practice, contest 15 Nov 09:00–14:00, awards ~17:00.</t>
        </is>
      </c>
    </row>
    <row r="44" ht="45" customHeight="1" s="56">
      <c r="A44" s="75" t="inlineStr">
        <is>
          <t>Why this plan</t>
        </is>
      </c>
      <c r="B44" s="74" t="inlineStr">
        <is>
          <t>Cheapest way out by air: ~₮0.48M per person (Hunnu ¥677). Arrives 12 Nov, so it keeps the three hotel nights and the rest day of 'Sleep value'. Cheaper way out than the Air China + G153 route of 'Sleep value' (₮0.91M per person); the rest of the trip is the same (Ji Hotel twin rooms, K28 hard seat + Air China 12:55 home), with hotel nights set by the arrival time.</t>
        </is>
      </c>
    </row>
    <row r="45" ht="30" customHeight="1" s="56">
      <c r="A45" s="75" t="inlineStr">
        <is>
          <t>Trade-off</t>
        </is>
      </c>
      <c r="B45" s="74" t="inlineStr">
        <is>
          <t>Manzhouli needs an overnight train: there is no same-day flight or fast train on to Harbin or Shenyang. One night sitting up on K7092 (11 Nov), four nights before the contest; hard sleeper ¥207 or soft ¥324 instead of the seat; G1280 (¥267, arrive 11:42) instead of K928 saves 3 h. Hunnu flies only Wed / Sat.</t>
        </is>
      </c>
    </row>
    <row r="46" ht="15" customHeight="1" s="56">
      <c r="A46" s="75" t="inlineStr">
        <is>
          <t>Book</t>
        </is>
      </c>
      <c r="B46" s="74" t="inlineStr">
        <is>
          <t>Hunnu on Ctrip now; K7092 on 12306 at 16:00 on 28 Oct; K928 at 10:00 on 29 Oct; K28 on 12306 at 09:30 on 1 Nov; Air China home on Trip.com.</t>
        </is>
      </c>
    </row>
    <row r="47" s="56"/>
    <row r="48" s="56">
      <c r="A48" s="72" t="inlineStr">
        <is>
          <t>Day-by-day plan</t>
        </is>
      </c>
    </row>
    <row r="49" s="56">
      <c r="A49" s="96" t="inlineStr">
        <is>
          <t>Date</t>
        </is>
      </c>
      <c r="B49" s="96" t="inlineStr">
        <is>
          <t>Sleep in</t>
        </is>
      </c>
      <c r="C49" s="96" t="inlineStr">
        <is>
          <t>What happens</t>
        </is>
      </c>
    </row>
    <row r="50" ht="15" customHeight="1" s="56">
      <c r="A50" s="74" t="inlineStr">
        <is>
          <t>Wed 11 Nov</t>
        </is>
      </c>
      <c r="B50" s="74" t="inlineStr">
        <is>
          <t>Train (seat)</t>
        </is>
      </c>
      <c r="C50" s="74" t="inlineStr">
        <is>
          <t>Hunnu MR881 UB 13:20 → Manzhouli 15:00; taxi to Manzhouli station; K7092 19:17 → Harbin (overnight).</t>
        </is>
      </c>
    </row>
    <row r="51" ht="15" customHeight="1" s="56">
      <c r="A51" s="74" t="inlineStr">
        <is>
          <t>Thu 12 Nov</t>
        </is>
      </c>
      <c r="B51" s="74" t="inlineStr">
        <is>
          <t>Shenyang</t>
        </is>
      </c>
      <c r="C51" s="74" t="inlineStr">
        <is>
          <t>Arrive Harbin 07:11; K928 07:48 → Shenyang North 14:32; taxi to Ji Hotel.</t>
        </is>
      </c>
    </row>
    <row r="52" ht="15" customHeight="1" s="56">
      <c r="A52" s="74" t="inlineStr">
        <is>
          <t>Fri 13 Nov</t>
        </is>
      </c>
      <c r="B52" s="74" t="inlineStr">
        <is>
          <t>Shenyang</t>
        </is>
      </c>
      <c r="C52" s="74" t="inlineStr">
        <is>
          <t>Free rest day.</t>
        </is>
      </c>
    </row>
    <row r="53" ht="15" customHeight="1" s="56">
      <c r="A53" s="74" t="inlineStr">
        <is>
          <t>Sat 14 Nov</t>
        </is>
      </c>
      <c r="B53" s="74" t="inlineStr">
        <is>
          <t>Shenyang</t>
        </is>
      </c>
      <c r="C53" s="74" t="inlineStr">
        <is>
          <t>Registration, opening and practice at NEU Nanhu. Lights out ~22:30.</t>
        </is>
      </c>
    </row>
    <row r="54" ht="30" customHeight="1" s="56">
      <c r="A54" s="74" t="inlineStr">
        <is>
          <t>Sun 15 Nov</t>
        </is>
      </c>
      <c r="B54" s="74" t="inlineStr">
        <is>
          <t>Train (seat)</t>
        </is>
      </c>
      <c r="C54" s="74" t="inlineStr">
        <is>
          <t>CONTEST. Wake ~06:50, walk ~15 min. Check out before leaving, luggage stored at the hotel. Awards ~17:00; taxi to Shenyang station; K28 22:24 hard seat → Beijing 08:40.</t>
        </is>
      </c>
    </row>
    <row r="55" ht="15" customHeight="1" s="56">
      <c r="A55" s="74" t="inlineStr">
        <is>
          <t>Mon 16 Nov</t>
        </is>
      </c>
      <c r="B55" s="74" t="inlineStr">
        <is>
          <t>Home</t>
        </is>
      </c>
      <c r="C55" s="74" t="inlineStr">
        <is>
          <t>Metro line 2 + Airport Express to PEK T3 (~1 h). Air China 12:55 → UB 15:05.</t>
        </is>
      </c>
    </row>
    <row r="56" s="56"/>
    <row r="57" s="56">
      <c r="A57" s="72" t="inlineStr">
        <is>
          <t>Door-to-door travel times</t>
        </is>
      </c>
    </row>
    <row r="58" s="56">
      <c r="A58" s="96" t="inlineStr">
        <is>
          <t>Date</t>
        </is>
      </c>
      <c r="B58" s="96" t="inlineStr">
        <is>
          <t>Leg</t>
        </is>
      </c>
      <c r="C58" s="96" t="inlineStr">
        <is>
          <t>Mode</t>
        </is>
      </c>
      <c r="D58" s="96" t="inlineStr">
        <is>
          <t>Expected time</t>
        </is>
      </c>
      <c r="E58" s="96" t="inlineStr">
        <is>
          <t>Notes</t>
        </is>
      </c>
    </row>
    <row r="59" s="56">
      <c r="A59" s="105" t="inlineStr">
        <is>
          <t>11 Nov</t>
        </is>
      </c>
      <c r="B59" s="105" t="inlineStr">
        <is>
          <t>Home → Chinggis Khaan airport</t>
        </is>
      </c>
      <c r="C59" s="82" t="inlineStr">
        <is>
          <t>Taxi (~50 km)</t>
        </is>
      </c>
      <c r="D59" s="104" t="n">
        <v>0.04166666666666666</v>
      </c>
      <c r="E59" s="106" t="inlineStr">
        <is>
          <t>Leave ~10:45</t>
        </is>
      </c>
      <c r="F59" s="107" t="n"/>
      <c r="G59" s="107" t="n"/>
      <c r="H59" s="107" t="n"/>
      <c r="I59" s="107" t="n"/>
      <c r="J59" s="107" t="n"/>
      <c r="K59" s="107" t="n"/>
      <c r="L59" s="107" t="n"/>
    </row>
    <row r="60" s="56">
      <c r="A60" s="105" t="inlineStr">
        <is>
          <t>11 Nov</t>
        </is>
      </c>
      <c r="B60" s="105" t="inlineStr">
        <is>
          <t>Ulaanbaatar → Manzhouli</t>
        </is>
      </c>
      <c r="C60" s="82" t="inlineStr">
        <is>
          <t>Hunnu MR881 13:20–15:00</t>
        </is>
      </c>
      <c r="D60" s="104" t="n">
        <v>0.06944444444444445</v>
      </c>
      <c r="E60" s="106" t="n"/>
      <c r="F60" s="107" t="n"/>
      <c r="G60" s="107" t="n"/>
      <c r="H60" s="107" t="n"/>
      <c r="I60" s="107" t="n"/>
      <c r="J60" s="107" t="n"/>
      <c r="K60" s="107" t="n"/>
      <c r="L60" s="107" t="n"/>
    </row>
    <row r="61" s="56">
      <c r="A61" s="105" t="inlineStr">
        <is>
          <t>11 Nov</t>
        </is>
      </c>
      <c r="B61" s="105" t="inlineStr">
        <is>
          <t>Manzhouli arrival + taxi to the station</t>
        </is>
      </c>
      <c r="C61" s="82" t="inlineStr">
        <is>
          <t>Taxi</t>
        </is>
      </c>
      <c r="D61" s="104" t="n">
        <v>0.04166666666666666</v>
      </c>
      <c r="E61" s="106" t="inlineStr">
        <is>
          <t>Estimate</t>
        </is>
      </c>
      <c r="F61" s="107" t="n"/>
      <c r="G61" s="107" t="n"/>
      <c r="H61" s="107" t="n"/>
      <c r="I61" s="107" t="n"/>
      <c r="J61" s="107" t="n"/>
      <c r="K61" s="107" t="n"/>
      <c r="L61" s="107" t="n"/>
    </row>
    <row r="62" s="56">
      <c r="A62" s="105" t="inlineStr">
        <is>
          <t>11–12 Nov</t>
        </is>
      </c>
      <c r="B62" s="105" t="inlineStr">
        <is>
          <t>Manzhouli → Harbin</t>
        </is>
      </c>
      <c r="C62" s="82" t="inlineStr">
        <is>
          <t>K7092 hard seat 19:17–07:11</t>
        </is>
      </c>
      <c r="D62" s="104" t="n">
        <v>0.4958333333333333</v>
      </c>
      <c r="E62" s="106" t="inlineStr">
        <is>
          <t>Overnight</t>
        </is>
      </c>
      <c r="F62" s="107" t="n"/>
      <c r="G62" s="107" t="n"/>
      <c r="H62" s="107" t="n"/>
      <c r="I62" s="107" t="n"/>
      <c r="J62" s="107" t="n"/>
      <c r="K62" s="107" t="n"/>
      <c r="L62" s="107" t="n"/>
    </row>
    <row r="63" s="56">
      <c r="A63" s="105" t="inlineStr">
        <is>
          <t>12 Nov</t>
        </is>
      </c>
      <c r="B63" s="105" t="inlineStr">
        <is>
          <t>Harbin → Shenyang North</t>
        </is>
      </c>
      <c r="C63" s="82" t="inlineStr">
        <is>
          <t>K928 hard seat 07:48–14:32</t>
        </is>
      </c>
      <c r="D63" s="104" t="n">
        <v>0.2805555555555556</v>
      </c>
      <c r="E63" s="106" t="inlineStr">
        <is>
          <t>Same station, 37 min change</t>
        </is>
      </c>
      <c r="F63" s="107" t="n"/>
      <c r="G63" s="107" t="n"/>
      <c r="H63" s="107" t="n"/>
      <c r="I63" s="107" t="n"/>
      <c r="J63" s="107" t="n"/>
      <c r="K63" s="107" t="n"/>
      <c r="L63" s="107" t="n"/>
    </row>
    <row r="64" s="56">
      <c r="A64" s="105" t="inlineStr">
        <is>
          <t>12 Nov</t>
        </is>
      </c>
      <c r="B64" s="105" t="inlineStr">
        <is>
          <t>Shenyang North → Ji Hotel</t>
        </is>
      </c>
      <c r="C64" s="82" t="inlineStr">
        <is>
          <t>Taxi</t>
        </is>
      </c>
      <c r="D64" s="104" t="n">
        <v>0.01736111111111111</v>
      </c>
      <c r="E64" s="106" t="n"/>
      <c r="F64" s="107" t="n"/>
      <c r="G64" s="107" t="n"/>
      <c r="H64" s="107" t="n"/>
      <c r="I64" s="107" t="n"/>
      <c r="J64" s="107" t="n"/>
      <c r="K64" s="107" t="n"/>
      <c r="L64" s="107" t="n"/>
    </row>
    <row r="65" s="56">
      <c r="A65" s="105" t="inlineStr">
        <is>
          <t>13–15 Nov</t>
        </is>
      </c>
      <c r="B65" s="105" t="inlineStr">
        <is>
          <t>Hotel ↔ NEU Nanhu (each way)</t>
        </is>
      </c>
      <c r="C65" s="82" t="inlineStr">
        <is>
          <t>Walk</t>
        </is>
      </c>
      <c r="D65" s="104" t="inlineStr">
        <is>
          <t>daily</t>
        </is>
      </c>
      <c r="E65" s="106" t="inlineStr">
        <is>
          <t>~15 min walk</t>
        </is>
      </c>
      <c r="F65" s="107" t="n"/>
      <c r="G65" s="107" t="n"/>
      <c r="H65" s="107" t="n"/>
      <c r="I65" s="107" t="n"/>
      <c r="J65" s="107" t="n"/>
      <c r="K65" s="107" t="n"/>
      <c r="L65" s="107" t="n"/>
    </row>
    <row r="66" s="56">
      <c r="A66" s="105" t="inlineStr">
        <is>
          <t>15 Nov</t>
        </is>
      </c>
      <c r="B66" s="105" t="inlineStr">
        <is>
          <t>NEU Nanhu → Shenyang station</t>
        </is>
      </c>
      <c r="C66" s="82" t="inlineStr">
        <is>
          <t>Taxi</t>
        </is>
      </c>
      <c r="D66" s="104" t="n">
        <v>0.01388888888888889</v>
      </c>
      <c r="E66" s="106" t="n"/>
      <c r="F66" s="107" t="n"/>
      <c r="G66" s="107" t="n"/>
      <c r="H66" s="107" t="n"/>
      <c r="I66" s="107" t="n"/>
      <c r="J66" s="107" t="n"/>
      <c r="K66" s="107" t="n"/>
      <c r="L66" s="107" t="n"/>
    </row>
    <row r="67" s="56">
      <c r="A67" s="105" t="inlineStr">
        <is>
          <t>15–16 Nov</t>
        </is>
      </c>
      <c r="B67" s="105" t="inlineStr">
        <is>
          <t>Shenyang → Beijing</t>
        </is>
      </c>
      <c r="C67" s="82" t="inlineStr">
        <is>
          <t>K28 hard seat 22:24–08:40</t>
        </is>
      </c>
      <c r="D67" s="104" t="n">
        <v>0.4277777777777778</v>
      </c>
      <c r="E67" s="106" t="inlineStr">
        <is>
          <t>Overnight, after the contest</t>
        </is>
      </c>
      <c r="F67" s="107" t="n"/>
      <c r="G67" s="107" t="n"/>
      <c r="H67" s="107" t="n"/>
      <c r="I67" s="107" t="n"/>
      <c r="J67" s="107" t="n"/>
      <c r="K67" s="107" t="n"/>
      <c r="L67" s="107" t="n"/>
    </row>
    <row r="68" s="56">
      <c r="A68" s="105" t="inlineStr">
        <is>
          <t>16 Nov</t>
        </is>
      </c>
      <c r="B68" s="105" t="inlineStr">
        <is>
          <t>Beijing station → PEK</t>
        </is>
      </c>
      <c r="C68" s="82" t="inlineStr">
        <is>
          <t>Metro line 2 + Airport Express</t>
        </is>
      </c>
      <c r="D68" s="104" t="n">
        <v>0.04166666666666666</v>
      </c>
      <c r="E68" s="106" t="inlineStr">
        <is>
          <t>Be at PEK by ~10:55</t>
        </is>
      </c>
      <c r="F68" s="107" t="n"/>
      <c r="G68" s="107" t="n"/>
      <c r="H68" s="107" t="n"/>
      <c r="I68" s="107" t="n"/>
      <c r="J68" s="107" t="n"/>
      <c r="K68" s="107" t="n"/>
      <c r="L68" s="107" t="n"/>
    </row>
    <row r="69" s="56">
      <c r="A69" s="105" t="inlineStr">
        <is>
          <t>16 Nov</t>
        </is>
      </c>
      <c r="B69" s="105" t="inlineStr">
        <is>
          <t>Beijing (PEK) → Ulaanbaatar</t>
        </is>
      </c>
      <c r="C69" s="82" t="inlineStr">
        <is>
          <t>Air China 12:55–15:05</t>
        </is>
      </c>
      <c r="D69" s="104" t="n">
        <v>0.09027777777777778</v>
      </c>
      <c r="E69" s="106" t="n"/>
      <c r="F69" s="107" t="n"/>
      <c r="G69" s="107" t="n"/>
      <c r="H69" s="107" t="n"/>
      <c r="I69" s="107" t="n"/>
      <c r="J69" s="107" t="n"/>
      <c r="K69" s="107" t="n"/>
      <c r="L69" s="107" t="n"/>
    </row>
    <row r="70" s="56">
      <c r="A70" s="105" t="inlineStr">
        <is>
          <t>16 Nov</t>
        </is>
      </c>
      <c r="B70" s="105" t="inlineStr">
        <is>
          <t>Chinggis Khaan airport → home</t>
        </is>
      </c>
      <c r="C70" s="82" t="inlineStr">
        <is>
          <t>Taxi</t>
        </is>
      </c>
      <c r="D70" s="104" t="n">
        <v>0.04166666666666666</v>
      </c>
      <c r="E70" s="106" t="n"/>
      <c r="F70" s="107" t="n"/>
      <c r="G70" s="107" t="n"/>
      <c r="H70" s="107" t="n"/>
      <c r="I70" s="107" t="n"/>
      <c r="J70" s="107" t="n"/>
      <c r="K70" s="107" t="n"/>
      <c r="L70" s="107" t="n"/>
    </row>
    <row r="71" s="56"/>
    <row r="72">
      <c r="C72" s="59" t="inlineStr">
        <is>
          <t>Total door-to-door</t>
        </is>
      </c>
      <c r="D72" s="109">
        <f>SUM(D59:D70)</f>
        <v/>
      </c>
    </row>
  </sheetData>
  <mergeCells count="22">
    <mergeCell ref="C52:L52"/>
    <mergeCell ref="E68:L68"/>
    <mergeCell ref="E62:L62"/>
    <mergeCell ref="B46:L46"/>
    <mergeCell ref="E67:L67"/>
    <mergeCell ref="B43:L43"/>
    <mergeCell ref="C53:L53"/>
    <mergeCell ref="E64:L64"/>
    <mergeCell ref="E63:L63"/>
    <mergeCell ref="E60:L60"/>
    <mergeCell ref="E69:L69"/>
    <mergeCell ref="E65:L65"/>
    <mergeCell ref="B44:L44"/>
    <mergeCell ref="E59:L59"/>
    <mergeCell ref="C54:L54"/>
    <mergeCell ref="E70:L70"/>
    <mergeCell ref="C50:L50"/>
    <mergeCell ref="E61:L61"/>
    <mergeCell ref="C55:L55"/>
    <mergeCell ref="E66:L66"/>
    <mergeCell ref="C51:L51"/>
    <mergeCell ref="B45:L4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68"/>
  <sheetViews>
    <sheetView workbookViewId="0">
      <selection activeCell="A1" sqref="A1"/>
    </sheetView>
  </sheetViews>
  <sheetFormatPr baseColWidth="8" defaultRowHeight="15"/>
  <cols>
    <col width="26" customWidth="1" style="56" min="1" max="1"/>
    <col width="52" customWidth="1" style="56" min="2" max="2"/>
    <col width="20" customWidth="1" style="56" min="3" max="3"/>
    <col width="15" customWidth="1" style="56" min="4" max="4"/>
    <col width="13" customWidth="1" style="56" min="5" max="5"/>
    <col width="9" customWidth="1" style="56" min="6" max="6"/>
    <col width="17" customWidth="1" style="56" min="8" max="8"/>
    <col width="13" customWidth="1" style="56" min="9" max="9"/>
    <col width="9" customWidth="1" style="56" min="10" max="10"/>
    <col width="17" customWidth="1" style="56" min="11" max="11"/>
    <col width="58" customWidth="1" style="56" min="12" max="12"/>
  </cols>
  <sheetData>
    <row r="1" ht="17.35" customHeight="1" s="56">
      <c r="A1" s="57" t="inlineStr">
        <is>
          <t>Shenyang – Hunnu Daxing + K341</t>
        </is>
      </c>
    </row>
    <row r="2" ht="15" customHeight="1" s="56">
      <c r="A2" s="62" t="inlineStr">
        <is>
          <t>Hunnu Air to Beijing Daxing on Fri 13 Nov, K341 overnight to Shenyang in a hard seat; arrive on day 1 morning, one hotel night; K28 seat + Air China home.</t>
        </is>
      </c>
    </row>
    <row r="4" ht="15" customHeight="1" s="56">
      <c r="A4" s="60" t="inlineStr">
        <is>
          <t>Days in destination (meals &amp; local transport)</t>
        </is>
      </c>
      <c r="B4" s="76" t="n">
        <v>3</v>
      </c>
      <c r="C4" s="62" t="inlineStr">
        <is>
          <t>13 Nov evening → 16 Nov midday</t>
        </is>
      </c>
    </row>
    <row r="5" ht="15" customHeight="1" s="56">
      <c r="A5" s="62" t="inlineStr">
        <is>
          <t>Shared inputs are on the Compare sheet. Scroll down for the day-by-day plan and door-to-door travel times.</t>
        </is>
      </c>
    </row>
    <row r="7" ht="31.5" customHeight="1" s="56">
      <c r="A7" s="66" t="inlineStr">
        <is>
          <t>Category</t>
        </is>
      </c>
      <c r="B7" s="66" t="inlineStr">
        <is>
          <t>Item</t>
        </is>
      </c>
      <c r="C7" s="66" t="inlineStr">
        <is>
          <t>Date</t>
        </is>
      </c>
      <c r="D7" s="66" t="inlineStr">
        <is>
          <t>Travel time</t>
        </is>
      </c>
      <c r="E7" s="66" t="inlineStr">
        <is>
          <t>Unit cost (3 ppl)</t>
        </is>
      </c>
      <c r="F7" s="66" t="inlineStr">
        <is>
          <t>Currency</t>
        </is>
      </c>
      <c r="G7" s="66" t="inlineStr">
        <is>
          <t>Qty (3 ppl)</t>
        </is>
      </c>
      <c r="H7" s="66" t="inlineStr">
        <is>
          <t>Total MNT – 3 people</t>
        </is>
      </c>
      <c r="I7" s="66" t="inlineStr">
        <is>
          <t>Unit cost (4 ppl)</t>
        </is>
      </c>
      <c r="J7" s="66" t="inlineStr">
        <is>
          <t>Qty (4 ppl)</t>
        </is>
      </c>
      <c r="K7" s="66" t="inlineStr">
        <is>
          <t>Total MNT – 4 people</t>
        </is>
      </c>
      <c r="L7" s="66" t="inlineStr">
        <is>
          <t>Source / notes</t>
        </is>
      </c>
    </row>
    <row r="8" s="56">
      <c r="A8" s="77" t="inlineStr">
        <is>
          <t>PAID BY UNIVERSITY</t>
        </is>
      </c>
      <c r="B8" s="78" t="n"/>
      <c r="C8" s="78" t="n"/>
      <c r="D8" s="78" t="n"/>
      <c r="E8" s="78" t="n"/>
      <c r="F8" s="78" t="n"/>
      <c r="G8" s="78" t="n"/>
      <c r="H8" s="78" t="n"/>
      <c r="I8" s="78" t="n"/>
      <c r="J8" s="78" t="n"/>
      <c r="K8" s="78" t="n"/>
      <c r="L8" s="78" t="n"/>
    </row>
    <row r="9" s="56">
      <c r="A9" s="79" t="inlineStr">
        <is>
          <t>Flights</t>
        </is>
      </c>
      <c r="B9" s="80" t="n"/>
      <c r="C9" s="80" t="n"/>
      <c r="D9" s="80" t="n"/>
      <c r="E9" s="80" t="n"/>
      <c r="F9" s="80" t="n"/>
      <c r="G9" s="80" t="n"/>
      <c r="H9" s="80" t="n"/>
      <c r="I9" s="80" t="n"/>
      <c r="J9" s="80" t="n"/>
      <c r="K9" s="80" t="n"/>
      <c r="L9" s="80" t="n"/>
    </row>
    <row r="10" ht="30" customHeight="1" s="56">
      <c r="B10" s="111" t="inlineStr">
        <is>
          <t>Hunnu Air MR801 Ulaanbaatar 17:55 → Beijing Daxing (PKX) 20:15, nonstop</t>
        </is>
      </c>
      <c r="C10" s="83" t="inlineStr">
        <is>
          <t>Fri 13 Nov</t>
        </is>
      </c>
      <c r="D10" s="84" t="n">
        <v>0.09722222222222222</v>
      </c>
      <c r="E10" s="85" t="n">
        <v>921</v>
      </c>
      <c r="F10" s="86" t="inlineStr">
        <is>
          <t>CNY</t>
        </is>
      </c>
      <c r="G10" s="87">
        <f>Compare!$B$6</f>
        <v/>
      </c>
      <c r="H10" s="88">
        <f>E10*G10*IF(F10="USD",Compare!$B$8,IF(F10="CNY",Compare!$B$9,IF(F10="HKD",Compare!$B$10,1)))</f>
        <v/>
      </c>
      <c r="I10" s="89">
        <f>E10</f>
        <v/>
      </c>
      <c r="J10" s="87">
        <f>Compare!$B$7</f>
        <v/>
      </c>
      <c r="K10" s="88">
        <f>I10*J10*IF(F10="USD",Compare!$B$8,IF(F10="CNY",Compare!$B$9,IF(F10="HKD",Compare!$B$10,1)))</f>
        <v/>
      </c>
      <c r="L10" s="112" t="inlineStr">
        <is>
          <t>Ctrip 22 Oct: ¥921 (SlickTrip $186; MIAT 17:15 ¥975, Air China 16:10 ¥1,031 the same day). Checked bag ~20 kg per travel guides (not confirmed).</t>
        </is>
      </c>
    </row>
    <row r="11" ht="39" customHeight="1" s="56">
      <c r="B11" s="111" t="inlineStr">
        <is>
          <t>Air China CA955 Beijing Capital (PEK) 12:55 → Ulaanbaatar 15:05, nonstop</t>
        </is>
      </c>
      <c r="C11" s="83" t="inlineStr">
        <is>
          <t>16 Nov</t>
        </is>
      </c>
      <c r="D11" s="84" t="n">
        <v>0.09027777777777778</v>
      </c>
      <c r="E11" s="85" t="n">
        <v>171</v>
      </c>
      <c r="F11" s="86" t="inlineStr">
        <is>
          <t>USD</t>
        </is>
      </c>
      <c r="G11" s="87">
        <f>Compare!$B$6</f>
        <v/>
      </c>
      <c r="H11" s="88">
        <f>E11*G11*IF(F11="USD",Compare!$B$8,IF(F11="CNY",Compare!$B$9,IF(F11="HKD",Compare!$B$10,1)))</f>
        <v/>
      </c>
      <c r="I11" s="89">
        <f>E11</f>
        <v/>
      </c>
      <c r="J11" s="87">
        <f>Compare!$B$7</f>
        <v/>
      </c>
      <c r="K11" s="88">
        <f>I11*J11*IF(F11="USD",Compare!$B$8,IF(F11="CNY",Compare!$B$9,IF(F11="HKD",Compare!$B$10,1)))</f>
        <v/>
      </c>
      <c r="L11" s="112" t="inlineStr">
        <is>
          <t>Trip.com 22 Oct: US$171 pp, cheapest that day (MIAT OM224 11:30 US$193 on Trip.com / $176 on SlickTrip; Air China 08:25 $215; Capital + Hunnu via Erenhot $196)</t>
        </is>
      </c>
    </row>
    <row r="12" s="56">
      <c r="A12" s="79" t="inlineStr">
        <is>
          <t>Trains</t>
        </is>
      </c>
      <c r="B12" s="80" t="n"/>
      <c r="C12" s="80" t="n"/>
      <c r="D12" s="80" t="n"/>
      <c r="E12" s="80" t="n"/>
      <c r="F12" s="80" t="n"/>
      <c r="G12" s="80" t="n"/>
      <c r="H12" s="80" t="n"/>
      <c r="I12" s="80" t="n"/>
      <c r="J12" s="80" t="n"/>
      <c r="K12" s="80" t="n"/>
      <c r="L12" s="80" t="n"/>
    </row>
    <row r="13" ht="39" customHeight="1" s="56">
      <c r="B13" s="111" t="inlineStr">
        <is>
          <t>Overnight train K341 Beijing 23:00 → Shenyang 08:47, hard seat</t>
        </is>
      </c>
      <c r="C13" s="83" t="inlineStr">
        <is>
          <t>13–14 Nov</t>
        </is>
      </c>
      <c r="D13" s="84" t="n">
        <v>0.4076388888888889</v>
      </c>
      <c r="E13" s="85" t="n">
        <v>112</v>
      </c>
      <c r="F13" s="86" t="inlineStr">
        <is>
          <t>CNY</t>
        </is>
      </c>
      <c r="G13" s="87">
        <f>Compare!$B$6</f>
        <v/>
      </c>
      <c r="H13" s="88">
        <f>E13*G13*IF(F13="USD",Compare!$B$8,IF(F13="CNY",Compare!$B$9,IF(F13="HKD",Compare!$B$10,1)))</f>
        <v/>
      </c>
      <c r="I13" s="89">
        <f>E13</f>
        <v/>
      </c>
      <c r="J13" s="87">
        <f>Compare!$B$7</f>
        <v/>
      </c>
      <c r="K13" s="88">
        <f>I13*J13*IF(F13="USD",Compare!$B$8,IF(F13="CNY",Compare!$B$9,IF(F13="HKD",Compare!$B$10,1)))</f>
        <v/>
      </c>
      <c r="L13" s="112" t="inlineStr">
        <is>
          <t>12306 (5 Nov query): seat ¥112, hard sleeper ¥194. ChinaTicketOnline confirms 13 Nov, on sale 30 Oct 10:00. Fallback if late: G-trains from Beijing Chaoyang next morning (¥355–369, e.g. G101 08:00).</t>
        </is>
      </c>
    </row>
    <row r="14" ht="51" customHeight="1" s="56">
      <c r="B14" s="111" t="inlineStr">
        <is>
          <t>Overnight train K28 Shenyang 22:24 → Beijing 08:40, hard seat (after the contest)</t>
        </is>
      </c>
      <c r="C14" s="83" t="inlineStr">
        <is>
          <t>15 Nov (night)</t>
        </is>
      </c>
      <c r="D14" s="84" t="n">
        <v>0.4277777777777778</v>
      </c>
      <c r="E14" s="85" t="n">
        <v>112</v>
      </c>
      <c r="F14" s="86" t="inlineStr">
        <is>
          <t>CNY</t>
        </is>
      </c>
      <c r="G14" s="87">
        <f>Compare!$B$6</f>
        <v/>
      </c>
      <c r="H14" s="88">
        <f>E14*G14*IF(F14="USD",Compare!$B$8,IF(F14="CNY",Compare!$B$9,IF(F14="HKD",Compare!$B$10,1)))</f>
        <v/>
      </c>
      <c r="I14" s="89">
        <f>E14</f>
        <v/>
      </c>
      <c r="J14" s="87">
        <f>Compare!$B$7</f>
        <v/>
      </c>
      <c r="K14" s="88">
        <f>I14*J14*IF(F14="USD",Compare!$B$8,IF(F14="CNY",Compare!$B$9,IF(F14="HKD",Compare!$B$10,1)))</f>
        <v/>
      </c>
      <c r="L14" s="112" t="inlineStr">
        <is>
          <t>12306 (5 Nov query): hard seat ¥112 (hard sleeper ¥194). Cheapest train that still makes the 12:55 flight (K96 23:39 ¥102 arrives 11:19 – too late). Lie-flat upgrade: K54 Shenyang North 22:00 → 06:58 hard sleeper ¥171 (+¥59 pp). On sale 1 Nov 09:30 (ChinaTicketOnline confirms 15 Nov).</t>
        </is>
      </c>
    </row>
    <row r="15" s="56">
      <c r="A15" s="79" t="inlineStr">
        <is>
          <t>Accommodation</t>
        </is>
      </c>
      <c r="B15" s="80" t="n"/>
      <c r="C15" s="80" t="n"/>
      <c r="D15" s="80" t="n"/>
      <c r="E15" s="80" t="n"/>
      <c r="F15" s="80" t="n"/>
      <c r="G15" s="80" t="n"/>
      <c r="H15" s="80" t="n"/>
      <c r="I15" s="80" t="n"/>
      <c r="J15" s="80" t="n"/>
      <c r="K15" s="80" t="n"/>
      <c r="L15" s="80" t="n"/>
    </row>
    <row r="16" ht="60" customHeight="1" s="56">
      <c r="B16" s="111" t="inlineStr">
        <is>
          <t>Ji Hotel Sanhao Street, 55 Sanhao St (~940 m to NEU Nanhu, ~15 min walk): 2 Budget Twin rooms, King Koil mattresses, windows, floors 4–16 – a bed each</t>
        </is>
      </c>
      <c r="C16" s="83" t="inlineStr">
        <is>
          <t>14–15 Nov (1 night)</t>
        </is>
      </c>
      <c r="D16" s="84" t="n"/>
      <c r="E16" s="85" t="n">
        <v>457</v>
      </c>
      <c r="F16" s="86" t="inlineStr">
        <is>
          <t>CNY</t>
        </is>
      </c>
      <c r="G16" s="91" t="n">
        <v>1</v>
      </c>
      <c r="H16" s="88">
        <f>E16*G16*IF(F16="USD",Compare!$B$8,IF(F16="CNY",Compare!$B$9,IF(F16="HKD",Compare!$B$10,1)))</f>
        <v/>
      </c>
      <c r="I16" s="85" t="n">
        <v>457</v>
      </c>
      <c r="J16" s="91" t="n">
        <v>1</v>
      </c>
      <c r="K16" s="88">
        <f>I16*J16*IF(F16="USD",Compare!$B$8,IF(F16="CNY",Compare!$B$9,IF(F16="HKD",Compare!$B$10,1)))</f>
        <v/>
      </c>
      <c r="L16" s="112" t="inlineStr">
        <is>
          <t>Trip.com 22 Oct: ¥457 for 2 Budget Twin rooms × 1 night (14–15 Nov) incl. taxes, free cancellation until 18:00 on 13 Nov; same hotel as 'Sleep value' (9.0, King Koil mattresses).</t>
        </is>
      </c>
    </row>
    <row r="17" s="56">
      <c r="A17" s="79" t="inlineStr">
        <is>
          <t>Meals &amp; local transport</t>
        </is>
      </c>
      <c r="B17" s="80" t="n"/>
      <c r="C17" s="80" t="n"/>
      <c r="D17" s="80" t="n"/>
      <c r="E17" s="80" t="n"/>
      <c r="F17" s="80" t="n"/>
      <c r="G17" s="80" t="n"/>
      <c r="H17" s="80" t="n"/>
      <c r="I17" s="80" t="n"/>
      <c r="J17" s="80" t="n"/>
      <c r="K17" s="80" t="n"/>
      <c r="L17" s="80" t="n"/>
    </row>
    <row r="18" ht="30" customHeight="1" s="56">
      <c r="B18" s="111" t="inlineStr">
        <is>
          <t>Meals</t>
        </is>
      </c>
      <c r="C18" s="83" t="inlineStr">
        <is>
          <t>in destination</t>
        </is>
      </c>
      <c r="D18" s="84" t="n"/>
      <c r="E18" s="113" t="n">
        <v>80</v>
      </c>
      <c r="F18" s="86" t="inlineStr">
        <is>
          <t>CNY</t>
        </is>
      </c>
      <c r="G18" s="87">
        <f>Compare!$B$6*$B$4</f>
        <v/>
      </c>
      <c r="H18" s="88">
        <f>E18*G18*IF(F18="USD",Compare!$B$8,IF(F18="CNY",Compare!$B$9,IF(F18="HKD",Compare!$B$10,1)))</f>
        <v/>
      </c>
      <c r="I18" s="114">
        <f>E18</f>
        <v/>
      </c>
      <c r="J18" s="87">
        <f>Compare!$B$7*$B$4</f>
        <v/>
      </c>
      <c r="K18" s="88">
        <f>I18*J18*IF(F18="USD",Compare!$B$8,IF(F18="CNY",Compare!$B$9,IF(F18="HKD",Compare!$B$10,1)))</f>
        <v/>
      </c>
      <c r="L18" s="112" t="inlineStr">
        <is>
          <t>ASSUMPTION 80 CNY/person/day; hosts usually provide some meals on contest days</t>
        </is>
      </c>
    </row>
    <row r="19" ht="30" customHeight="1" s="56">
      <c r="B19" s="111" t="inlineStr">
        <is>
          <t>Local transport (metro, taxis)</t>
        </is>
      </c>
      <c r="C19" s="83" t="inlineStr">
        <is>
          <t>in destination</t>
        </is>
      </c>
      <c r="D19" s="84" t="n"/>
      <c r="E19" s="113" t="n">
        <v>30</v>
      </c>
      <c r="F19" s="86" t="inlineStr">
        <is>
          <t>CNY</t>
        </is>
      </c>
      <c r="G19" s="87">
        <f>Compare!$B$6*$B$4</f>
        <v/>
      </c>
      <c r="H19" s="88">
        <f>E19*G19*IF(F19="USD",Compare!$B$8,IF(F19="CNY",Compare!$B$9,IF(F19="HKD",Compare!$B$10,1)))</f>
        <v/>
      </c>
      <c r="I19" s="114">
        <f>E19</f>
        <v/>
      </c>
      <c r="J19" s="87">
        <f>Compare!$B$7*$B$4</f>
        <v/>
      </c>
      <c r="K19" s="88">
        <f>I19*J19*IF(F19="USD",Compare!$B$8,IF(F19="CNY",Compare!$B$9,IF(F19="HKD",Compare!$B$10,1)))</f>
        <v/>
      </c>
      <c r="L19" s="112" t="inlineStr">
        <is>
          <t>ASSUMPTION 30 CNY/person/day</t>
        </is>
      </c>
    </row>
    <row r="20" ht="30" customHeight="1" s="56">
      <c r="B20" s="111" t="inlineStr">
        <is>
          <t>Daxing Airport Express + metro to Beijing station</t>
        </is>
      </c>
      <c r="C20" s="83" t="inlineStr">
        <is>
          <t>13 Nov</t>
        </is>
      </c>
      <c r="D20" s="84" t="n"/>
      <c r="E20" s="113" t="n">
        <v>40</v>
      </c>
      <c r="F20" s="86" t="inlineStr">
        <is>
          <t>CNY</t>
        </is>
      </c>
      <c r="G20" s="87">
        <f>Compare!$B$6</f>
        <v/>
      </c>
      <c r="H20" s="88">
        <f>E20*G20*IF(F20="USD",Compare!$B$8,IF(F20="CNY",Compare!$B$9,IF(F20="HKD",Compare!$B$10,1)))</f>
        <v/>
      </c>
      <c r="I20" s="114">
        <f>E20</f>
        <v/>
      </c>
      <c r="J20" s="87">
        <f>Compare!$B$7</f>
        <v/>
      </c>
      <c r="K20" s="88">
        <f>I20*J20*IF(F20="USD",Compare!$B$8,IF(F20="CNY",Compare!$B$9,IF(F20="HKD",Compare!$B$10,1)))</f>
        <v/>
      </c>
      <c r="L20" s="112" t="inlineStr">
        <is>
          <t>ASSUMPTION ~¥35 + ¥5 pp, ~1 h 15 min</t>
        </is>
      </c>
    </row>
    <row r="21" ht="30" customHeight="1" s="56">
      <c r="B21" s="111" t="inlineStr">
        <is>
          <t>Metro line 2 + Airport Express, Beijing station → PEK T3</t>
        </is>
      </c>
      <c r="C21" s="83" t="inlineStr">
        <is>
          <t>16 Nov</t>
        </is>
      </c>
      <c r="D21" s="84" t="n"/>
      <c r="E21" s="113" t="n">
        <v>30</v>
      </c>
      <c r="F21" s="86" t="inlineStr">
        <is>
          <t>CNY</t>
        </is>
      </c>
      <c r="G21" s="87">
        <f>Compare!$B$6</f>
        <v/>
      </c>
      <c r="H21" s="88">
        <f>E21*G21*IF(F21="USD",Compare!$B$8,IF(F21="CNY",Compare!$B$9,IF(F21="HKD",Compare!$B$10,1)))</f>
        <v/>
      </c>
      <c r="I21" s="114">
        <f>E21</f>
        <v/>
      </c>
      <c r="J21" s="87">
        <f>Compare!$B$7</f>
        <v/>
      </c>
      <c r="K21" s="88">
        <f>I21*J21*IF(F21="USD",Compare!$B$8,IF(F21="CNY",Compare!$B$9,IF(F21="HKD",Compare!$B$10,1)))</f>
        <v/>
      </c>
      <c r="L21" s="112" t="inlineStr">
        <is>
          <t>ASSUMPTION Airport Express ¥25 + metro ¥4–5 pp</t>
        </is>
      </c>
    </row>
    <row r="22" s="56">
      <c r="A22" s="94" t="inlineStr">
        <is>
          <t>PAID PERSONALLY (university won't cover)</t>
        </is>
      </c>
      <c r="B22" s="95" t="n"/>
      <c r="C22" s="95" t="n"/>
      <c r="D22" s="95" t="n"/>
      <c r="E22" s="95" t="n"/>
      <c r="F22" s="95" t="n"/>
      <c r="G22" s="95" t="n"/>
      <c r="H22" s="95" t="n"/>
      <c r="I22" s="95" t="n"/>
      <c r="J22" s="95" t="n"/>
      <c r="K22" s="95" t="n"/>
      <c r="L22" s="95" t="n"/>
    </row>
    <row r="23" s="56">
      <c r="A23" s="79" t="inlineStr">
        <is>
          <t>Contest fee</t>
        </is>
      </c>
      <c r="B23" s="80" t="n"/>
      <c r="C23" s="80" t="n"/>
      <c r="D23" s="80" t="n"/>
      <c r="E23" s="80" t="n"/>
      <c r="F23" s="80" t="n"/>
      <c r="G23" s="80" t="n"/>
      <c r="H23" s="80" t="n"/>
      <c r="I23" s="80" t="n"/>
      <c r="J23" s="80" t="n"/>
      <c r="K23" s="80" t="n"/>
      <c r="L23" s="80" t="n"/>
    </row>
    <row r="24" ht="30" customHeight="1" s="56">
      <c r="B24" s="111" t="inlineStr">
        <is>
          <t>Shenyang regional registration fee (per team)</t>
        </is>
      </c>
      <c r="C24" s="83" t="inlineStr">
        <is>
          <t>pay when invited</t>
        </is>
      </c>
      <c r="D24" s="84" t="n"/>
      <c r="E24" s="113" t="n">
        <v>1500</v>
      </c>
      <c r="F24" s="86" t="inlineStr">
        <is>
          <t>CNY</t>
        </is>
      </c>
      <c r="G24" s="91" t="n">
        <v>1</v>
      </c>
      <c r="H24" s="88">
        <f>E24*G24*IF(F24="USD",Compare!$B$8,IF(F24="CNY",Compare!$B$9,IF(F24="HKD",Compare!$B$10,1)))</f>
        <v/>
      </c>
      <c r="I24" s="114">
        <f>E24</f>
        <v/>
      </c>
      <c r="J24" s="91" t="n">
        <v>1</v>
      </c>
      <c r="K24" s="88">
        <f>I24*J24*IF(F24="USD",Compare!$B$8,IF(F24="CNY",Compare!$B$9,IF(F24="HKD",Compare!$B$10,1)))</f>
        <v/>
      </c>
      <c r="L24" s="112" t="inlineStr">
        <is>
          <t>ASSUMPTION: 1,500 CNY/team like recent EC regionals; the 2026 Shenyang invitation was not found on 22 Oct</t>
        </is>
      </c>
    </row>
    <row r="25" s="56">
      <c r="A25" s="79" t="inlineStr">
        <is>
          <t>Other</t>
        </is>
      </c>
      <c r="B25" s="80" t="n"/>
      <c r="C25" s="80" t="n"/>
      <c r="D25" s="80" t="n"/>
      <c r="E25" s="80" t="n"/>
      <c r="F25" s="80" t="n"/>
      <c r="G25" s="80" t="n"/>
      <c r="H25" s="80" t="n"/>
      <c r="I25" s="80" t="n"/>
      <c r="J25" s="80" t="n"/>
      <c r="K25" s="80" t="n"/>
      <c r="L25" s="80" t="n"/>
    </row>
    <row r="26" ht="30" customHeight="1" s="56">
      <c r="B26" s="111" t="inlineStr">
        <is>
          <t>Taxi to/from Chinggis Khaan airport (UB), per trip</t>
        </is>
      </c>
      <c r="C26" s="83" t="inlineStr">
        <is>
          <t>out &amp; back</t>
        </is>
      </c>
      <c r="D26" s="84" t="n">
        <v>0.04166666666666666</v>
      </c>
      <c r="E26" s="113" t="n">
        <v>100000</v>
      </c>
      <c r="F26" s="86" t="inlineStr">
        <is>
          <t>MNT</t>
        </is>
      </c>
      <c r="G26" s="91" t="n">
        <v>2</v>
      </c>
      <c r="H26" s="88">
        <f>E26*G26*IF(F26="USD",Compare!$B$8,IF(F26="CNY",Compare!$B$9,IF(F26="HKD",Compare!$B$10,1)))</f>
        <v/>
      </c>
      <c r="I26" s="114">
        <f>E26</f>
        <v/>
      </c>
      <c r="J26" s="91" t="n">
        <v>2</v>
      </c>
      <c r="K26" s="88">
        <f>I26*J26*IF(F26="USD",Compare!$B$8,IF(F26="CNY",Compare!$B$9,IF(F26="HKD",Compare!$B$10,1)))</f>
        <v/>
      </c>
      <c r="L26" s="112" t="inlineStr">
        <is>
          <t>ASSUMPTION 100k MNT per trip for the group</t>
        </is>
      </c>
    </row>
    <row r="27" ht="30" customHeight="1" s="56">
      <c r="B27" s="111" t="inlineStr">
        <is>
          <t>Travel medical insurance</t>
        </is>
      </c>
      <c r="C27" s="83" t="n"/>
      <c r="D27" s="84" t="n"/>
      <c r="E27" s="113" t="n">
        <v>30000</v>
      </c>
      <c r="F27" s="86" t="inlineStr">
        <is>
          <t>MNT</t>
        </is>
      </c>
      <c r="G27" s="87">
        <f>Compare!$B$6</f>
        <v/>
      </c>
      <c r="H27" s="88">
        <f>E27*G27*IF(F27="USD",Compare!$B$8,IF(F27="CNY",Compare!$B$9,IF(F27="HKD",Compare!$B$10,1)))</f>
        <v/>
      </c>
      <c r="I27" s="114">
        <f>E27</f>
        <v/>
      </c>
      <c r="J27" s="87">
        <f>Compare!$B$7</f>
        <v/>
      </c>
      <c r="K27" s="88">
        <f>I27*J27*IF(F27="USD",Compare!$B$8,IF(F27="CNY",Compare!$B$9,IF(F27="HKD",Compare!$B$10,1)))</f>
        <v/>
      </c>
      <c r="L27" s="112" t="inlineStr">
        <is>
          <t>ASSUMPTION ~30k MNT per person, Mongolian insurer</t>
        </is>
      </c>
    </row>
    <row r="28" ht="30" customHeight="1" s="56">
      <c r="B28" s="111" t="inlineStr">
        <is>
          <t>Mobile data eSIM</t>
        </is>
      </c>
      <c r="C28" s="83" t="n"/>
      <c r="D28" s="84" t="n"/>
      <c r="E28" s="113" t="n">
        <v>10</v>
      </c>
      <c r="F28" s="86" t="inlineStr">
        <is>
          <t>USD</t>
        </is>
      </c>
      <c r="G28" s="87">
        <f>Compare!$B$6</f>
        <v/>
      </c>
      <c r="H28" s="88">
        <f>E28*G28*IF(F28="USD",Compare!$B$8,IF(F28="CNY",Compare!$B$9,IF(F28="HKD",Compare!$B$10,1)))</f>
        <v/>
      </c>
      <c r="I28" s="114">
        <f>E28</f>
        <v/>
      </c>
      <c r="J28" s="87">
        <f>Compare!$B$7</f>
        <v/>
      </c>
      <c r="K28" s="88">
        <f>I28*J28*IF(F28="USD",Compare!$B$8,IF(F28="CNY",Compare!$B$9,IF(F28="HKD",Compare!$B$10,1)))</f>
        <v/>
      </c>
      <c r="L28" s="112" t="inlineStr">
        <is>
          <t>ASSUMPTION ~$10 pp</t>
        </is>
      </c>
    </row>
    <row r="29" ht="30" customHeight="1" s="56">
      <c r="B29" s="111" t="inlineStr">
        <is>
          <t>Visa</t>
        </is>
      </c>
      <c r="C29" s="83" t="n"/>
      <c r="D29" s="84" t="n"/>
      <c r="E29" s="85" t="n">
        <v>0</v>
      </c>
      <c r="F29" s="86" t="inlineStr">
        <is>
          <t>MNT</t>
        </is>
      </c>
      <c r="G29" s="87">
        <f>Compare!$B$6</f>
        <v/>
      </c>
      <c r="H29" s="88">
        <f>E29*G29*IF(F29="USD",Compare!$B$8,IF(F29="CNY",Compare!$B$9,IF(F29="HKD",Compare!$B$10,1)))</f>
        <v/>
      </c>
      <c r="I29" s="89">
        <f>E29</f>
        <v/>
      </c>
      <c r="J29" s="87">
        <f>Compare!$B$7</f>
        <v/>
      </c>
      <c r="K29" s="88">
        <f>I29*J29*IF(F29="USD",Compare!$B$8,IF(F29="CNY",Compare!$B$9,IF(F29="HKD",Compare!$B$10,1)))</f>
        <v/>
      </c>
      <c r="L29" s="112" t="inlineStr">
        <is>
          <t>Mongolian passports: visa-free (mainland China up to 30 days; Hong Kong up to 14 days)</t>
        </is>
      </c>
    </row>
    <row r="30" s="56"/>
    <row r="31" s="56">
      <c r="G31" s="60" t="n"/>
      <c r="H31" s="96" t="inlineStr">
        <is>
          <t>3 people – UNFUNDED</t>
        </is>
      </c>
      <c r="K31" s="96" t="inlineStr">
        <is>
          <t>4 people – FUNDED ₮12M</t>
        </is>
      </c>
    </row>
    <row r="32" s="56">
      <c r="G32" s="97" t="inlineStr">
        <is>
          <t>University-paid subtotal</t>
        </is>
      </c>
      <c r="H32" s="98">
        <f>SUM(H9:H21)</f>
        <v/>
      </c>
      <c r="K32" s="98">
        <f>SUM(K9:K21)</f>
        <v/>
      </c>
    </row>
    <row r="33" s="56">
      <c r="G33" s="99" t="inlineStr">
        <is>
          <t>Contingency</t>
        </is>
      </c>
      <c r="H33" s="100">
        <f>H32*Compare!$B$11</f>
        <v/>
      </c>
      <c r="K33" s="100">
        <f>K32*Compare!$B$11</f>
        <v/>
      </c>
    </row>
    <row r="34" s="56">
      <c r="G34" s="97" t="inlineStr">
        <is>
          <t>University-paid total incl. contingency</t>
        </is>
      </c>
      <c r="H34" s="98">
        <f>H32+H33</f>
        <v/>
      </c>
      <c r="K34" s="98">
        <f>K32+K33</f>
        <v/>
      </c>
    </row>
    <row r="35" s="56">
      <c r="G35" s="97" t="inlineStr">
        <is>
          <t>Funding left (negative = over)</t>
        </is>
      </c>
      <c r="H35" s="101">
        <f>Compare!$B$12-H34</f>
        <v/>
      </c>
      <c r="K35" s="101">
        <f>Compare!$B$5-K34</f>
        <v/>
      </c>
    </row>
    <row r="36" s="56">
      <c r="G36" s="97" t="inlineStr">
        <is>
          <t>Personal costs – team</t>
        </is>
      </c>
      <c r="H36" s="102">
        <f>SUM(H23:H29)</f>
        <v/>
      </c>
      <c r="K36" s="102">
        <f>SUM(K23:K29)</f>
        <v/>
      </c>
    </row>
    <row r="37" s="56">
      <c r="G37" s="97" t="inlineStr">
        <is>
          <t>Out-of-pocket per person (personal + any overrun)</t>
        </is>
      </c>
      <c r="H37" s="102">
        <f>(H36+MAX(0,-H35))/Compare!$B$6</f>
        <v/>
      </c>
      <c r="K37" s="102">
        <f>(K36+MAX(0,-K35))/Compare!$B$7</f>
        <v/>
      </c>
    </row>
    <row r="38" s="56">
      <c r="G38" s="97" t="inlineStr">
        <is>
          <t>Whole trip cost (university + personal)</t>
        </is>
      </c>
      <c r="H38" s="103">
        <f>H34+H36</f>
        <v/>
      </c>
      <c r="K38" s="103">
        <f>K34+K36</f>
        <v/>
      </c>
    </row>
    <row r="39" s="56">
      <c r="G39" s="99" t="inlineStr">
        <is>
          <t>Time in planes &amp; trains</t>
        </is>
      </c>
      <c r="H39" s="104">
        <f>SUM(D10:D11)+SUM(D13:D14)</f>
        <v/>
      </c>
      <c r="K39" s="104">
        <f>SUM(D10:D11)+SUM(D13:D14)</f>
        <v/>
      </c>
    </row>
    <row r="40" s="56"/>
    <row r="41" s="56">
      <c r="A41" s="72" t="inlineStr">
        <is>
          <t>Key facts</t>
        </is>
      </c>
    </row>
    <row r="42" ht="30" customHeight="1" s="56">
      <c r="A42" s="75" t="inlineStr">
        <is>
          <t>Contest</t>
        </is>
      </c>
      <c r="B42" s="74" t="inlineStr">
        <is>
          <t>Asia Shenyang Regional, 14–15 Nov 2026 (provisional; the 2026 invitation was not found on 22 Oct), Northeastern University Nanhu campus (2024 and 2025 venue). Assumed: day 1 registration + practice, contest 15 Nov 09:00–14:00, awards ~17:00.</t>
        </is>
      </c>
    </row>
    <row r="43" ht="30" customHeight="1" s="56">
      <c r="A43" s="75" t="inlineStr">
        <is>
          <t>Why this plan</t>
        </is>
      </c>
      <c r="B43" s="74" t="inlineStr">
        <is>
          <t>~₮0.58M per person to Shenyang and only one hotel night and three days of meals. Cheaper way out than the Air China + G153 route of 'Sleep value' (₮0.91M per person); the rest of the trip is the same (Ji Hotel twin rooms, K28 hard seat + Air China 12:55 home), with hotel nights set by the arrival time.</t>
        </is>
      </c>
    </row>
    <row r="44" ht="30" customHeight="1" s="56">
      <c r="A44" s="75" t="inlineStr">
        <is>
          <t>Trade-off</t>
        </is>
      </c>
      <c r="B44" s="74" t="inlineStr">
        <is>
          <t>The night before day 1 is spent sitting up on K341 (POOR for sleep) and you arrive on registration morning. Only 45–60 min between landing and the 23:00 train; if it is missed, take a G-train next morning (¥355–369). Daxing is ~1 h 15 min from Beijing station.</t>
        </is>
      </c>
    </row>
    <row r="45" ht="15" customHeight="1" s="56">
      <c r="A45" s="75" t="inlineStr">
        <is>
          <t>Book</t>
        </is>
      </c>
      <c r="B45" s="74" t="inlineStr">
        <is>
          <t>Hunnu on Ctrip now; K341 on 12306 at 10:00 on 30 Oct; K28 on 12306 at 09:30 on 1 Nov; Air China home on Trip.com.</t>
        </is>
      </c>
    </row>
    <row r="46" s="56"/>
    <row r="47" s="56">
      <c r="A47" s="72" t="inlineStr">
        <is>
          <t>Day-by-day plan</t>
        </is>
      </c>
    </row>
    <row r="48" s="56">
      <c r="A48" s="96" t="inlineStr">
        <is>
          <t>Date</t>
        </is>
      </c>
      <c r="B48" s="96" t="inlineStr">
        <is>
          <t>Sleep in</t>
        </is>
      </c>
      <c r="C48" s="96" t="inlineStr">
        <is>
          <t>What happens</t>
        </is>
      </c>
    </row>
    <row r="49" ht="15" customHeight="1" s="56">
      <c r="A49" s="74" t="inlineStr">
        <is>
          <t>Fri 13 Nov</t>
        </is>
      </c>
      <c r="B49" s="74" t="inlineStr">
        <is>
          <t>Train (seat)</t>
        </is>
      </c>
      <c r="C49" s="74" t="inlineStr">
        <is>
          <t>Hunnu MR801 UB 17:55 → Beijing Daxing 20:15; Daxing Airport Express + metro to Beijing station; K341 23:00 → Shenyang (overnight).</t>
        </is>
      </c>
    </row>
    <row r="50" ht="15" customHeight="1" s="56">
      <c r="A50" s="74" t="inlineStr">
        <is>
          <t>Sat 14 Nov</t>
        </is>
      </c>
      <c r="B50" s="74" t="inlineStr">
        <is>
          <t>Shenyang</t>
        </is>
      </c>
      <c r="C50" s="74" t="inlineStr">
        <is>
          <t>Arrive Shenyang 08:47; taxi to NEU Nanhu for registration and practice; check in at Ji Hotel. Lights out ~22:30.</t>
        </is>
      </c>
    </row>
    <row r="51" ht="30" customHeight="1" s="56">
      <c r="A51" s="74" t="inlineStr">
        <is>
          <t>Sun 15 Nov</t>
        </is>
      </c>
      <c r="B51" s="74" t="inlineStr">
        <is>
          <t>Train (seat)</t>
        </is>
      </c>
      <c r="C51" s="74" t="inlineStr">
        <is>
          <t>CONTEST. Wake ~06:50, walk ~15 min. Check out before leaving, luggage stored at the hotel. Awards ~17:00; taxi to Shenyang station; K28 22:24 hard seat → Beijing 08:40.</t>
        </is>
      </c>
    </row>
    <row r="52" ht="15" customHeight="1" s="56">
      <c r="A52" s="74" t="inlineStr">
        <is>
          <t>Mon 16 Nov</t>
        </is>
      </c>
      <c r="B52" s="74" t="inlineStr">
        <is>
          <t>Home</t>
        </is>
      </c>
      <c r="C52" s="74" t="inlineStr">
        <is>
          <t>Metro line 2 + Airport Express to PEK T3 (~1 h). Air China 12:55 → UB 15:05.</t>
        </is>
      </c>
    </row>
    <row r="53" s="56"/>
    <row r="54" s="56">
      <c r="A54" s="72" t="inlineStr">
        <is>
          <t>Door-to-door travel times</t>
        </is>
      </c>
    </row>
    <row r="55" s="56">
      <c r="A55" s="96" t="inlineStr">
        <is>
          <t>Date</t>
        </is>
      </c>
      <c r="B55" s="96" t="inlineStr">
        <is>
          <t>Leg</t>
        </is>
      </c>
      <c r="C55" s="96" t="inlineStr">
        <is>
          <t>Mode</t>
        </is>
      </c>
      <c r="D55" s="96" t="inlineStr">
        <is>
          <t>Expected time</t>
        </is>
      </c>
      <c r="E55" s="96" t="inlineStr">
        <is>
          <t>Notes</t>
        </is>
      </c>
    </row>
    <row r="56" s="56">
      <c r="A56" s="105" t="inlineStr">
        <is>
          <t>13 Nov</t>
        </is>
      </c>
      <c r="B56" s="105" t="inlineStr">
        <is>
          <t>Home → Chinggis Khaan airport</t>
        </is>
      </c>
      <c r="C56" s="82" t="inlineStr">
        <is>
          <t>Taxi (~50 km)</t>
        </is>
      </c>
      <c r="D56" s="104" t="n">
        <v>0.04166666666666666</v>
      </c>
      <c r="E56" s="106" t="inlineStr">
        <is>
          <t>Leave ~15:00</t>
        </is>
      </c>
      <c r="F56" s="107" t="n"/>
      <c r="G56" s="107" t="n"/>
      <c r="H56" s="107" t="n"/>
      <c r="I56" s="107" t="n"/>
      <c r="J56" s="107" t="n"/>
      <c r="K56" s="107" t="n"/>
      <c r="L56" s="107" t="n"/>
    </row>
    <row r="57" s="56">
      <c r="A57" s="105" t="inlineStr">
        <is>
          <t>13 Nov</t>
        </is>
      </c>
      <c r="B57" s="105" t="inlineStr">
        <is>
          <t>Ulaanbaatar → Beijing Daxing</t>
        </is>
      </c>
      <c r="C57" s="82" t="inlineStr">
        <is>
          <t>Hunnu MR801 17:55–20:15</t>
        </is>
      </c>
      <c r="D57" s="104" t="n">
        <v>0.09722222222222222</v>
      </c>
      <c r="E57" s="106" t="n"/>
      <c r="F57" s="107" t="n"/>
      <c r="G57" s="107" t="n"/>
      <c r="H57" s="107" t="n"/>
      <c r="I57" s="107" t="n"/>
      <c r="J57" s="107" t="n"/>
      <c r="K57" s="107" t="n"/>
      <c r="L57" s="107" t="n"/>
    </row>
    <row r="58" s="56">
      <c r="A58" s="105" t="inlineStr">
        <is>
          <t>13 Nov</t>
        </is>
      </c>
      <c r="B58" s="105" t="inlineStr">
        <is>
          <t>PKX arrival: immigration, bags</t>
        </is>
      </c>
      <c r="C58" s="82" t="inlineStr">
        <is>
          <t>—</t>
        </is>
      </c>
      <c r="D58" s="104" t="n">
        <v>0.03125</v>
      </c>
      <c r="E58" s="106" t="inlineStr">
        <is>
          <t>Estimate</t>
        </is>
      </c>
      <c r="F58" s="107" t="n"/>
      <c r="G58" s="107" t="n"/>
      <c r="H58" s="107" t="n"/>
      <c r="I58" s="107" t="n"/>
      <c r="J58" s="107" t="n"/>
      <c r="K58" s="107" t="n"/>
      <c r="L58" s="107" t="n"/>
    </row>
    <row r="59" s="56">
      <c r="A59" s="105" t="inlineStr">
        <is>
          <t>13 Nov</t>
        </is>
      </c>
      <c r="B59" s="105" t="inlineStr">
        <is>
          <t>Daxing → Beijing station</t>
        </is>
      </c>
      <c r="C59" s="82" t="inlineStr">
        <is>
          <t>Daxing Airport Express + metro</t>
        </is>
      </c>
      <c r="D59" s="104" t="n">
        <v>0.05208333333333334</v>
      </c>
      <c r="E59" s="106" t="inlineStr">
        <is>
          <t>Estimate; ~45 min spare</t>
        </is>
      </c>
      <c r="F59" s="107" t="n"/>
      <c r="G59" s="107" t="n"/>
      <c r="H59" s="107" t="n"/>
      <c r="I59" s="107" t="n"/>
      <c r="J59" s="107" t="n"/>
      <c r="K59" s="107" t="n"/>
      <c r="L59" s="107" t="n"/>
    </row>
    <row r="60" s="56">
      <c r="A60" s="105" t="inlineStr">
        <is>
          <t>13–14 Nov</t>
        </is>
      </c>
      <c r="B60" s="105" t="inlineStr">
        <is>
          <t>Beijing → Shenyang</t>
        </is>
      </c>
      <c r="C60" s="82" t="inlineStr">
        <is>
          <t>K341 hard seat 23:00–08:47</t>
        </is>
      </c>
      <c r="D60" s="104" t="n">
        <v>0.4076388888888889</v>
      </c>
      <c r="E60" s="106" t="inlineStr">
        <is>
          <t>Overnight</t>
        </is>
      </c>
      <c r="F60" s="107" t="n"/>
      <c r="G60" s="107" t="n"/>
      <c r="H60" s="107" t="n"/>
      <c r="I60" s="107" t="n"/>
      <c r="J60" s="107" t="n"/>
      <c r="K60" s="107" t="n"/>
      <c r="L60" s="107" t="n"/>
    </row>
    <row r="61" s="56">
      <c r="A61" s="105" t="inlineStr">
        <is>
          <t>14 Nov</t>
        </is>
      </c>
      <c r="B61" s="105" t="inlineStr">
        <is>
          <t>Shenyang station → NEU Nanhu</t>
        </is>
      </c>
      <c r="C61" s="82" t="inlineStr">
        <is>
          <t>Taxi</t>
        </is>
      </c>
      <c r="D61" s="104" t="n">
        <v>0.01388888888888889</v>
      </c>
      <c r="E61" s="106" t="inlineStr">
        <is>
          <t>Registration day</t>
        </is>
      </c>
      <c r="F61" s="107" t="n"/>
      <c r="G61" s="107" t="n"/>
      <c r="H61" s="107" t="n"/>
      <c r="I61" s="107" t="n"/>
      <c r="J61" s="107" t="n"/>
      <c r="K61" s="107" t="n"/>
      <c r="L61" s="107" t="n"/>
    </row>
    <row r="62" s="56">
      <c r="A62" s="105" t="inlineStr">
        <is>
          <t>15 Nov</t>
        </is>
      </c>
      <c r="B62" s="105" t="inlineStr">
        <is>
          <t>NEU Nanhu → Shenyang station</t>
        </is>
      </c>
      <c r="C62" s="82" t="inlineStr">
        <is>
          <t>Taxi</t>
        </is>
      </c>
      <c r="D62" s="104" t="n">
        <v>0.01388888888888889</v>
      </c>
      <c r="E62" s="106" t="n"/>
      <c r="F62" s="107" t="n"/>
      <c r="G62" s="107" t="n"/>
      <c r="H62" s="107" t="n"/>
      <c r="I62" s="107" t="n"/>
      <c r="J62" s="107" t="n"/>
      <c r="K62" s="107" t="n"/>
      <c r="L62" s="107" t="n"/>
    </row>
    <row r="63" s="56">
      <c r="A63" s="105" t="inlineStr">
        <is>
          <t>15–16 Nov</t>
        </is>
      </c>
      <c r="B63" s="105" t="inlineStr">
        <is>
          <t>Shenyang → Beijing</t>
        </is>
      </c>
      <c r="C63" s="82" t="inlineStr">
        <is>
          <t>K28 hard seat 22:24–08:40</t>
        </is>
      </c>
      <c r="D63" s="104" t="n">
        <v>0.4277777777777778</v>
      </c>
      <c r="E63" s="106" t="inlineStr">
        <is>
          <t>Overnight, after the contest</t>
        </is>
      </c>
      <c r="F63" s="107" t="n"/>
      <c r="G63" s="107" t="n"/>
      <c r="H63" s="107" t="n"/>
      <c r="I63" s="107" t="n"/>
      <c r="J63" s="107" t="n"/>
      <c r="K63" s="107" t="n"/>
      <c r="L63" s="107" t="n"/>
    </row>
    <row r="64" s="56">
      <c r="A64" s="105" t="inlineStr">
        <is>
          <t>16 Nov</t>
        </is>
      </c>
      <c r="B64" s="105" t="inlineStr">
        <is>
          <t>Beijing station → PEK</t>
        </is>
      </c>
      <c r="C64" s="82" t="inlineStr">
        <is>
          <t>Metro line 2 + Airport Express</t>
        </is>
      </c>
      <c r="D64" s="104" t="n">
        <v>0.04166666666666666</v>
      </c>
      <c r="E64" s="106" t="inlineStr">
        <is>
          <t>Be at PEK by ~10:55</t>
        </is>
      </c>
      <c r="F64" s="107" t="n"/>
      <c r="G64" s="107" t="n"/>
      <c r="H64" s="107" t="n"/>
      <c r="I64" s="107" t="n"/>
      <c r="J64" s="107" t="n"/>
      <c r="K64" s="107" t="n"/>
      <c r="L64" s="107" t="n"/>
    </row>
    <row r="65" s="56">
      <c r="A65" s="105" t="inlineStr">
        <is>
          <t>16 Nov</t>
        </is>
      </c>
      <c r="B65" s="105" t="inlineStr">
        <is>
          <t>Beijing (PEK) → Ulaanbaatar</t>
        </is>
      </c>
      <c r="C65" s="82" t="inlineStr">
        <is>
          <t>Air China 12:55–15:05</t>
        </is>
      </c>
      <c r="D65" s="104" t="n">
        <v>0.09027777777777778</v>
      </c>
      <c r="E65" s="106" t="n"/>
      <c r="F65" s="107" t="n"/>
      <c r="G65" s="107" t="n"/>
      <c r="H65" s="107" t="n"/>
      <c r="I65" s="107" t="n"/>
      <c r="J65" s="107" t="n"/>
      <c r="K65" s="107" t="n"/>
      <c r="L65" s="107" t="n"/>
    </row>
    <row r="66" s="56">
      <c r="A66" s="105" t="inlineStr">
        <is>
          <t>16 Nov</t>
        </is>
      </c>
      <c r="B66" s="105" t="inlineStr">
        <is>
          <t>Chinggis Khaan airport → home</t>
        </is>
      </c>
      <c r="C66" s="82" t="inlineStr">
        <is>
          <t>Taxi</t>
        </is>
      </c>
      <c r="D66" s="104" t="n">
        <v>0.04166666666666666</v>
      </c>
      <c r="E66" s="106" t="n"/>
      <c r="F66" s="107" t="n"/>
      <c r="G66" s="107" t="n"/>
      <c r="H66" s="107" t="n"/>
      <c r="I66" s="107" t="n"/>
      <c r="J66" s="107" t="n"/>
      <c r="K66" s="107" t="n"/>
      <c r="L66" s="107" t="n"/>
    </row>
    <row r="67" s="56"/>
    <row r="68" s="56">
      <c r="C68" s="59" t="inlineStr">
        <is>
          <t>Total door-to-door</t>
        </is>
      </c>
      <c r="D68" s="109">
        <f>SUM(D56:D66)</f>
        <v/>
      </c>
    </row>
    <row r="69" s="56"/>
    <row r="70" s="56"/>
    <row r="71" s="56"/>
  </sheetData>
  <mergeCells count="19">
    <mergeCell ref="E56:L56"/>
    <mergeCell ref="E58:L58"/>
    <mergeCell ref="C52:L52"/>
    <mergeCell ref="E62:L62"/>
    <mergeCell ref="B43:L43"/>
    <mergeCell ref="E64:L64"/>
    <mergeCell ref="C49:L49"/>
    <mergeCell ref="E63:L63"/>
    <mergeCell ref="B42:L42"/>
    <mergeCell ref="E60:L60"/>
    <mergeCell ref="E65:L65"/>
    <mergeCell ref="B44:L44"/>
    <mergeCell ref="E59:L59"/>
    <mergeCell ref="C50:L50"/>
    <mergeCell ref="E61:L61"/>
    <mergeCell ref="E57:L57"/>
    <mergeCell ref="E66:L66"/>
    <mergeCell ref="C51:L51"/>
    <mergeCell ref="B45:L45"/>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68"/>
  <sheetViews>
    <sheetView workbookViewId="0">
      <selection activeCell="A1" sqref="A1"/>
    </sheetView>
  </sheetViews>
  <sheetFormatPr baseColWidth="8" defaultRowHeight="15"/>
  <cols>
    <col width="26" customWidth="1" style="56" min="1" max="1"/>
    <col width="52" customWidth="1" style="56" min="2" max="2"/>
    <col width="20" customWidth="1" style="56" min="3" max="3"/>
    <col width="15" customWidth="1" style="56" min="4" max="4"/>
    <col width="13" customWidth="1" style="56" min="5" max="5"/>
    <col width="9" customWidth="1" style="56" min="6" max="6"/>
    <col width="17" customWidth="1" style="56" min="8" max="8"/>
    <col width="13" customWidth="1" style="56" min="9" max="9"/>
    <col width="9" customWidth="1" style="56" min="10" max="10"/>
    <col width="17" customWidth="1" style="56" min="11" max="11"/>
    <col width="58" customWidth="1" style="56" min="12" max="12"/>
  </cols>
  <sheetData>
    <row r="1" ht="17.35" customHeight="1" s="56">
      <c r="A1" s="57" t="inlineStr">
        <is>
          <t>Shenyang – MIAT 13 Nov + K341</t>
        </is>
      </c>
    </row>
    <row r="2" ht="15" customHeight="1" s="56">
      <c r="A2" s="62" t="inlineStr">
        <is>
          <t>MIAT to Beijing Capital on Fri 13 Nov 17:15, K341 overnight to Shenyang in a hard seat; arrive on day 1 morning, one hotel night; K28 seat + Air China home.</t>
        </is>
      </c>
    </row>
    <row r="4" ht="15" customHeight="1" s="56">
      <c r="A4" s="60" t="inlineStr">
        <is>
          <t>Days in destination (meals &amp; local transport)</t>
        </is>
      </c>
      <c r="B4" s="76" t="n">
        <v>3</v>
      </c>
      <c r="C4" s="62" t="inlineStr">
        <is>
          <t>13 Nov evening → 16 Nov midday</t>
        </is>
      </c>
    </row>
    <row r="5" ht="15" customHeight="1" s="56">
      <c r="A5" s="62" t="inlineStr">
        <is>
          <t>Shared inputs are on the Compare sheet. Scroll down for the day-by-day plan and door-to-door travel times.</t>
        </is>
      </c>
    </row>
    <row r="7" ht="31.5" customHeight="1" s="56">
      <c r="A7" s="66" t="inlineStr">
        <is>
          <t>Category</t>
        </is>
      </c>
      <c r="B7" s="66" t="inlineStr">
        <is>
          <t>Item</t>
        </is>
      </c>
      <c r="C7" s="66" t="inlineStr">
        <is>
          <t>Date</t>
        </is>
      </c>
      <c r="D7" s="66" t="inlineStr">
        <is>
          <t>Travel time</t>
        </is>
      </c>
      <c r="E7" s="66" t="inlineStr">
        <is>
          <t>Unit cost (3 ppl)</t>
        </is>
      </c>
      <c r="F7" s="66" t="inlineStr">
        <is>
          <t>Currency</t>
        </is>
      </c>
      <c r="G7" s="66" t="inlineStr">
        <is>
          <t>Qty (3 ppl)</t>
        </is>
      </c>
      <c r="H7" s="66" t="inlineStr">
        <is>
          <t>Total MNT – 3 people</t>
        </is>
      </c>
      <c r="I7" s="66" t="inlineStr">
        <is>
          <t>Unit cost (4 ppl)</t>
        </is>
      </c>
      <c r="J7" s="66" t="inlineStr">
        <is>
          <t>Qty (4 ppl)</t>
        </is>
      </c>
      <c r="K7" s="66" t="inlineStr">
        <is>
          <t>Total MNT – 4 people</t>
        </is>
      </c>
      <c r="L7" s="66" t="inlineStr">
        <is>
          <t>Source / notes</t>
        </is>
      </c>
    </row>
    <row r="8" s="56">
      <c r="A8" s="77" t="inlineStr">
        <is>
          <t>PAID BY UNIVERSITY</t>
        </is>
      </c>
      <c r="B8" s="78" t="n"/>
      <c r="C8" s="78" t="n"/>
      <c r="D8" s="78" t="n"/>
      <c r="E8" s="78" t="n"/>
      <c r="F8" s="78" t="n"/>
      <c r="G8" s="78" t="n"/>
      <c r="H8" s="78" t="n"/>
      <c r="I8" s="78" t="n"/>
      <c r="J8" s="78" t="n"/>
      <c r="K8" s="78" t="n"/>
      <c r="L8" s="78" t="n"/>
    </row>
    <row r="9" s="56">
      <c r="A9" s="79" t="inlineStr">
        <is>
          <t>Flights</t>
        </is>
      </c>
      <c r="B9" s="80" t="n"/>
      <c r="C9" s="80" t="n"/>
      <c r="D9" s="80" t="n"/>
      <c r="E9" s="80" t="n"/>
      <c r="F9" s="80" t="n"/>
      <c r="G9" s="80" t="n"/>
      <c r="H9" s="80" t="n"/>
      <c r="I9" s="80" t="n"/>
      <c r="J9" s="80" t="n"/>
      <c r="K9" s="80" t="n"/>
      <c r="L9" s="80" t="n"/>
    </row>
    <row r="10" ht="30" customHeight="1" s="56">
      <c r="B10" s="111" t="inlineStr">
        <is>
          <t>MIAT OM223 Ulaanbaatar 17:15 → Beijing Capital (PEK) 19:30, nonstop</t>
        </is>
      </c>
      <c r="C10" s="83" t="inlineStr">
        <is>
          <t>Fri 13 Nov</t>
        </is>
      </c>
      <c r="D10" s="84" t="n">
        <v>0.09375</v>
      </c>
      <c r="E10" s="85" t="n">
        <v>975</v>
      </c>
      <c r="F10" s="86" t="inlineStr">
        <is>
          <t>CNY</t>
        </is>
      </c>
      <c r="G10" s="87">
        <f>Compare!$B$6</f>
        <v/>
      </c>
      <c r="H10" s="88">
        <f>E10*G10*IF(F10="USD",Compare!$B$8,IF(F10="CNY",Compare!$B$9,IF(F10="HKD",Compare!$B$10,1)))</f>
        <v/>
      </c>
      <c r="I10" s="89">
        <f>E10</f>
        <v/>
      </c>
      <c r="J10" s="87">
        <f>Compare!$B$7</f>
        <v/>
      </c>
      <c r="K10" s="88">
        <f>I10*J10*IF(F10="USD",Compare!$B$8,IF(F10="CNY",Compare!$B$9,IF(F10="HKD",Compare!$B$10,1)))</f>
        <v/>
      </c>
      <c r="L10" s="112" t="inlineStr">
        <is>
          <t>Ctrip 22 Oct: ¥975 (SlickTrip $154; Trip.com $151 on 30 Sep). Checked bag included.</t>
        </is>
      </c>
    </row>
    <row r="11" ht="39" customHeight="1" s="56">
      <c r="B11" s="111" t="inlineStr">
        <is>
          <t>Air China CA955 Beijing Capital (PEK) 12:55 → Ulaanbaatar 15:05, nonstop</t>
        </is>
      </c>
      <c r="C11" s="83" t="inlineStr">
        <is>
          <t>16 Nov</t>
        </is>
      </c>
      <c r="D11" s="84" t="n">
        <v>0.09027777777777778</v>
      </c>
      <c r="E11" s="85" t="n">
        <v>171</v>
      </c>
      <c r="F11" s="86" t="inlineStr">
        <is>
          <t>USD</t>
        </is>
      </c>
      <c r="G11" s="87">
        <f>Compare!$B$6</f>
        <v/>
      </c>
      <c r="H11" s="88">
        <f>E11*G11*IF(F11="USD",Compare!$B$8,IF(F11="CNY",Compare!$B$9,IF(F11="HKD",Compare!$B$10,1)))</f>
        <v/>
      </c>
      <c r="I11" s="89">
        <f>E11</f>
        <v/>
      </c>
      <c r="J11" s="87">
        <f>Compare!$B$7</f>
        <v/>
      </c>
      <c r="K11" s="88">
        <f>I11*J11*IF(F11="USD",Compare!$B$8,IF(F11="CNY",Compare!$B$9,IF(F11="HKD",Compare!$B$10,1)))</f>
        <v/>
      </c>
      <c r="L11" s="112" t="inlineStr">
        <is>
          <t>Trip.com 22 Oct: US$171 pp, cheapest that day (MIAT OM224 11:30 US$193 on Trip.com / $176 on SlickTrip; Air China 08:25 $215; Capital + Hunnu via Erenhot $196)</t>
        </is>
      </c>
    </row>
    <row r="12" s="56">
      <c r="A12" s="79" t="inlineStr">
        <is>
          <t>Trains</t>
        </is>
      </c>
      <c r="B12" s="80" t="n"/>
      <c r="C12" s="80" t="n"/>
      <c r="D12" s="80" t="n"/>
      <c r="E12" s="80" t="n"/>
      <c r="F12" s="80" t="n"/>
      <c r="G12" s="80" t="n"/>
      <c r="H12" s="80" t="n"/>
      <c r="I12" s="80" t="n"/>
      <c r="J12" s="80" t="n"/>
      <c r="K12" s="80" t="n"/>
      <c r="L12" s="80" t="n"/>
    </row>
    <row r="13" ht="39" customHeight="1" s="56">
      <c r="B13" s="111" t="inlineStr">
        <is>
          <t>Overnight train K341 Beijing 23:00 → Shenyang 08:47, hard seat</t>
        </is>
      </c>
      <c r="C13" s="83" t="inlineStr">
        <is>
          <t>13–14 Nov</t>
        </is>
      </c>
      <c r="D13" s="84" t="n">
        <v>0.4076388888888889</v>
      </c>
      <c r="E13" s="85" t="n">
        <v>112</v>
      </c>
      <c r="F13" s="86" t="inlineStr">
        <is>
          <t>CNY</t>
        </is>
      </c>
      <c r="G13" s="87">
        <f>Compare!$B$6</f>
        <v/>
      </c>
      <c r="H13" s="88">
        <f>E13*G13*IF(F13="USD",Compare!$B$8,IF(F13="CNY",Compare!$B$9,IF(F13="HKD",Compare!$B$10,1)))</f>
        <v/>
      </c>
      <c r="I13" s="89">
        <f>E13</f>
        <v/>
      </c>
      <c r="J13" s="87">
        <f>Compare!$B$7</f>
        <v/>
      </c>
      <c r="K13" s="88">
        <f>I13*J13*IF(F13="USD",Compare!$B$8,IF(F13="CNY",Compare!$B$9,IF(F13="HKD",Compare!$B$10,1)))</f>
        <v/>
      </c>
      <c r="L13" s="112" t="inlineStr">
        <is>
          <t>12306 (5 Nov query): seat ¥112, hard sleeper ¥194. ChinaTicketOnline confirms 13 Nov, on sale 30 Oct 10:00. Fallback if late: G-trains from Beijing Chaoyang next morning (¥355–369, e.g. G101 08:00).</t>
        </is>
      </c>
    </row>
    <row r="14" ht="51" customHeight="1" s="56">
      <c r="B14" s="111" t="inlineStr">
        <is>
          <t>Overnight train K28 Shenyang 22:24 → Beijing 08:40, hard seat (after the contest)</t>
        </is>
      </c>
      <c r="C14" s="83" t="inlineStr">
        <is>
          <t>15 Nov (night)</t>
        </is>
      </c>
      <c r="D14" s="84" t="n">
        <v>0.4277777777777778</v>
      </c>
      <c r="E14" s="85" t="n">
        <v>112</v>
      </c>
      <c r="F14" s="86" t="inlineStr">
        <is>
          <t>CNY</t>
        </is>
      </c>
      <c r="G14" s="87">
        <f>Compare!$B$6</f>
        <v/>
      </c>
      <c r="H14" s="88">
        <f>E14*G14*IF(F14="USD",Compare!$B$8,IF(F14="CNY",Compare!$B$9,IF(F14="HKD",Compare!$B$10,1)))</f>
        <v/>
      </c>
      <c r="I14" s="89">
        <f>E14</f>
        <v/>
      </c>
      <c r="J14" s="87">
        <f>Compare!$B$7</f>
        <v/>
      </c>
      <c r="K14" s="88">
        <f>I14*J14*IF(F14="USD",Compare!$B$8,IF(F14="CNY",Compare!$B$9,IF(F14="HKD",Compare!$B$10,1)))</f>
        <v/>
      </c>
      <c r="L14" s="112" t="inlineStr">
        <is>
          <t>12306 (5 Nov query): hard seat ¥112 (hard sleeper ¥194). Cheapest train that still makes the 12:55 flight (K96 23:39 ¥102 arrives 11:19 – too late). Lie-flat upgrade: K54 Shenyang North 22:00 → 06:58 hard sleeper ¥171 (+¥59 pp). On sale 1 Nov 09:30 (ChinaTicketOnline confirms 15 Nov).</t>
        </is>
      </c>
    </row>
    <row r="15" s="56">
      <c r="A15" s="79" t="inlineStr">
        <is>
          <t>Accommodation</t>
        </is>
      </c>
      <c r="B15" s="80" t="n"/>
      <c r="C15" s="80" t="n"/>
      <c r="D15" s="80" t="n"/>
      <c r="E15" s="80" t="n"/>
      <c r="F15" s="80" t="n"/>
      <c r="G15" s="80" t="n"/>
      <c r="H15" s="80" t="n"/>
      <c r="I15" s="80" t="n"/>
      <c r="J15" s="80" t="n"/>
      <c r="K15" s="80" t="n"/>
      <c r="L15" s="80" t="n"/>
    </row>
    <row r="16" ht="60" customHeight="1" s="56">
      <c r="B16" s="111" t="inlineStr">
        <is>
          <t>Ji Hotel Sanhao Street, 55 Sanhao St (~940 m to NEU Nanhu, ~15 min walk): 2 Budget Twin rooms, King Koil mattresses, windows, floors 4–16 – a bed each</t>
        </is>
      </c>
      <c r="C16" s="83" t="inlineStr">
        <is>
          <t>14–15 Nov (1 night)</t>
        </is>
      </c>
      <c r="D16" s="84" t="n"/>
      <c r="E16" s="85" t="n">
        <v>457</v>
      </c>
      <c r="F16" s="86" t="inlineStr">
        <is>
          <t>CNY</t>
        </is>
      </c>
      <c r="G16" s="91" t="n">
        <v>1</v>
      </c>
      <c r="H16" s="88">
        <f>E16*G16*IF(F16="USD",Compare!$B$8,IF(F16="CNY",Compare!$B$9,IF(F16="HKD",Compare!$B$10,1)))</f>
        <v/>
      </c>
      <c r="I16" s="85" t="n">
        <v>457</v>
      </c>
      <c r="J16" s="91" t="n">
        <v>1</v>
      </c>
      <c r="K16" s="88">
        <f>I16*J16*IF(F16="USD",Compare!$B$8,IF(F16="CNY",Compare!$B$9,IF(F16="HKD",Compare!$B$10,1)))</f>
        <v/>
      </c>
      <c r="L16" s="112" t="inlineStr">
        <is>
          <t>Trip.com 22 Oct: ¥457 for 2 Budget Twin rooms × 1 night (14–15 Nov) incl. taxes, free cancellation until 18:00 on 13 Nov; same hotel as 'Sleep value' (9.0, King Koil mattresses).</t>
        </is>
      </c>
    </row>
    <row r="17" s="56">
      <c r="A17" s="79" t="inlineStr">
        <is>
          <t>Meals &amp; local transport</t>
        </is>
      </c>
      <c r="B17" s="80" t="n"/>
      <c r="C17" s="80" t="n"/>
      <c r="D17" s="80" t="n"/>
      <c r="E17" s="80" t="n"/>
      <c r="F17" s="80" t="n"/>
      <c r="G17" s="80" t="n"/>
      <c r="H17" s="80" t="n"/>
      <c r="I17" s="80" t="n"/>
      <c r="J17" s="80" t="n"/>
      <c r="K17" s="80" t="n"/>
      <c r="L17" s="80" t="n"/>
    </row>
    <row r="18" ht="30" customHeight="1" s="56">
      <c r="B18" s="111" t="inlineStr">
        <is>
          <t>Meals</t>
        </is>
      </c>
      <c r="C18" s="83" t="inlineStr">
        <is>
          <t>in destination</t>
        </is>
      </c>
      <c r="D18" s="84" t="n"/>
      <c r="E18" s="113" t="n">
        <v>80</v>
      </c>
      <c r="F18" s="86" t="inlineStr">
        <is>
          <t>CNY</t>
        </is>
      </c>
      <c r="G18" s="87">
        <f>Compare!$B$6*$B$4</f>
        <v/>
      </c>
      <c r="H18" s="88">
        <f>E18*G18*IF(F18="USD",Compare!$B$8,IF(F18="CNY",Compare!$B$9,IF(F18="HKD",Compare!$B$10,1)))</f>
        <v/>
      </c>
      <c r="I18" s="114">
        <f>E18</f>
        <v/>
      </c>
      <c r="J18" s="87">
        <f>Compare!$B$7*$B$4</f>
        <v/>
      </c>
      <c r="K18" s="88">
        <f>I18*J18*IF(F18="USD",Compare!$B$8,IF(F18="CNY",Compare!$B$9,IF(F18="HKD",Compare!$B$10,1)))</f>
        <v/>
      </c>
      <c r="L18" s="112" t="inlineStr">
        <is>
          <t>ASSUMPTION 80 CNY/person/day; hosts usually provide some meals on contest days</t>
        </is>
      </c>
    </row>
    <row r="19" ht="30" customHeight="1" s="56">
      <c r="B19" s="111" t="inlineStr">
        <is>
          <t>Local transport (metro, taxis)</t>
        </is>
      </c>
      <c r="C19" s="83" t="inlineStr">
        <is>
          <t>in destination</t>
        </is>
      </c>
      <c r="D19" s="84" t="n"/>
      <c r="E19" s="113" t="n">
        <v>30</v>
      </c>
      <c r="F19" s="86" t="inlineStr">
        <is>
          <t>CNY</t>
        </is>
      </c>
      <c r="G19" s="87">
        <f>Compare!$B$6*$B$4</f>
        <v/>
      </c>
      <c r="H19" s="88">
        <f>E19*G19*IF(F19="USD",Compare!$B$8,IF(F19="CNY",Compare!$B$9,IF(F19="HKD",Compare!$B$10,1)))</f>
        <v/>
      </c>
      <c r="I19" s="114">
        <f>E19</f>
        <v/>
      </c>
      <c r="J19" s="87">
        <f>Compare!$B$7*$B$4</f>
        <v/>
      </c>
      <c r="K19" s="88">
        <f>I19*J19*IF(F19="USD",Compare!$B$8,IF(F19="CNY",Compare!$B$9,IF(F19="HKD",Compare!$B$10,1)))</f>
        <v/>
      </c>
      <c r="L19" s="112" t="inlineStr">
        <is>
          <t>ASSUMPTION 30 CNY/person/day</t>
        </is>
      </c>
    </row>
    <row r="20" ht="30" customHeight="1" s="56">
      <c r="B20" s="111" t="inlineStr">
        <is>
          <t>Airport Express + metro line 2, PEK → Beijing station</t>
        </is>
      </c>
      <c r="C20" s="83" t="inlineStr">
        <is>
          <t>13 Nov</t>
        </is>
      </c>
      <c r="D20" s="84" t="n"/>
      <c r="E20" s="113" t="n">
        <v>30</v>
      </c>
      <c r="F20" s="86" t="inlineStr">
        <is>
          <t>CNY</t>
        </is>
      </c>
      <c r="G20" s="87">
        <f>Compare!$B$6</f>
        <v/>
      </c>
      <c r="H20" s="88">
        <f>E20*G20*IF(F20="USD",Compare!$B$8,IF(F20="CNY",Compare!$B$9,IF(F20="HKD",Compare!$B$10,1)))</f>
        <v/>
      </c>
      <c r="I20" s="114">
        <f>E20</f>
        <v/>
      </c>
      <c r="J20" s="87">
        <f>Compare!$B$7</f>
        <v/>
      </c>
      <c r="K20" s="88">
        <f>I20*J20*IF(F20="USD",Compare!$B$8,IF(F20="CNY",Compare!$B$9,IF(F20="HKD",Compare!$B$10,1)))</f>
        <v/>
      </c>
      <c r="L20" s="112" t="inlineStr">
        <is>
          <t>ASSUMPTION Airport Express ¥25 + metro ¥4–5 pp, ~1 h</t>
        </is>
      </c>
    </row>
    <row r="21" ht="30" customHeight="1" s="56">
      <c r="B21" s="111" t="inlineStr">
        <is>
          <t>Metro line 2 + Airport Express, Beijing station → PEK T3</t>
        </is>
      </c>
      <c r="C21" s="83" t="inlineStr">
        <is>
          <t>16 Nov</t>
        </is>
      </c>
      <c r="D21" s="84" t="n"/>
      <c r="E21" s="113" t="n">
        <v>30</v>
      </c>
      <c r="F21" s="86" t="inlineStr">
        <is>
          <t>CNY</t>
        </is>
      </c>
      <c r="G21" s="87">
        <f>Compare!$B$6</f>
        <v/>
      </c>
      <c r="H21" s="88">
        <f>E21*G21*IF(F21="USD",Compare!$B$8,IF(F21="CNY",Compare!$B$9,IF(F21="HKD",Compare!$B$10,1)))</f>
        <v/>
      </c>
      <c r="I21" s="114">
        <f>E21</f>
        <v/>
      </c>
      <c r="J21" s="87">
        <f>Compare!$B$7</f>
        <v/>
      </c>
      <c r="K21" s="88">
        <f>I21*J21*IF(F21="USD",Compare!$B$8,IF(F21="CNY",Compare!$B$9,IF(F21="HKD",Compare!$B$10,1)))</f>
        <v/>
      </c>
      <c r="L21" s="112" t="inlineStr">
        <is>
          <t>ASSUMPTION Airport Express ¥25 + metro ¥4–5 pp</t>
        </is>
      </c>
    </row>
    <row r="22" s="56">
      <c r="A22" s="94" t="inlineStr">
        <is>
          <t>PAID PERSONALLY (university won't cover)</t>
        </is>
      </c>
      <c r="B22" s="95" t="n"/>
      <c r="C22" s="95" t="n"/>
      <c r="D22" s="95" t="n"/>
      <c r="E22" s="95" t="n"/>
      <c r="F22" s="95" t="n"/>
      <c r="G22" s="95" t="n"/>
      <c r="H22" s="95" t="n"/>
      <c r="I22" s="95" t="n"/>
      <c r="J22" s="95" t="n"/>
      <c r="K22" s="95" t="n"/>
      <c r="L22" s="95" t="n"/>
    </row>
    <row r="23" s="56">
      <c r="A23" s="79" t="inlineStr">
        <is>
          <t>Contest fee</t>
        </is>
      </c>
      <c r="B23" s="80" t="n"/>
      <c r="C23" s="80" t="n"/>
      <c r="D23" s="80" t="n"/>
      <c r="E23" s="80" t="n"/>
      <c r="F23" s="80" t="n"/>
      <c r="G23" s="80" t="n"/>
      <c r="H23" s="80" t="n"/>
      <c r="I23" s="80" t="n"/>
      <c r="J23" s="80" t="n"/>
      <c r="K23" s="80" t="n"/>
      <c r="L23" s="80" t="n"/>
    </row>
    <row r="24" ht="30" customHeight="1" s="56">
      <c r="B24" s="111" t="inlineStr">
        <is>
          <t>Shenyang regional registration fee (per team)</t>
        </is>
      </c>
      <c r="C24" s="83" t="inlineStr">
        <is>
          <t>pay when invited</t>
        </is>
      </c>
      <c r="D24" s="84" t="n"/>
      <c r="E24" s="113" t="n">
        <v>1500</v>
      </c>
      <c r="F24" s="86" t="inlineStr">
        <is>
          <t>CNY</t>
        </is>
      </c>
      <c r="G24" s="91" t="n">
        <v>1</v>
      </c>
      <c r="H24" s="88">
        <f>E24*G24*IF(F24="USD",Compare!$B$8,IF(F24="CNY",Compare!$B$9,IF(F24="HKD",Compare!$B$10,1)))</f>
        <v/>
      </c>
      <c r="I24" s="114">
        <f>E24</f>
        <v/>
      </c>
      <c r="J24" s="91" t="n">
        <v>1</v>
      </c>
      <c r="K24" s="88">
        <f>I24*J24*IF(F24="USD",Compare!$B$8,IF(F24="CNY",Compare!$B$9,IF(F24="HKD",Compare!$B$10,1)))</f>
        <v/>
      </c>
      <c r="L24" s="112" t="inlineStr">
        <is>
          <t>ASSUMPTION: 1,500 CNY/team like recent EC regionals; the 2026 Shenyang invitation was not found on 22 Oct</t>
        </is>
      </c>
    </row>
    <row r="25" s="56">
      <c r="A25" s="79" t="inlineStr">
        <is>
          <t>Other</t>
        </is>
      </c>
      <c r="B25" s="80" t="n"/>
      <c r="C25" s="80" t="n"/>
      <c r="D25" s="80" t="n"/>
      <c r="E25" s="80" t="n"/>
      <c r="F25" s="80" t="n"/>
      <c r="G25" s="80" t="n"/>
      <c r="H25" s="80" t="n"/>
      <c r="I25" s="80" t="n"/>
      <c r="J25" s="80" t="n"/>
      <c r="K25" s="80" t="n"/>
      <c r="L25" s="80" t="n"/>
    </row>
    <row r="26" ht="30" customHeight="1" s="56">
      <c r="B26" s="111" t="inlineStr">
        <is>
          <t>Taxi to/from Chinggis Khaan airport (UB), per trip</t>
        </is>
      </c>
      <c r="C26" s="83" t="inlineStr">
        <is>
          <t>out &amp; back</t>
        </is>
      </c>
      <c r="D26" s="84" t="n">
        <v>0.04166666666666666</v>
      </c>
      <c r="E26" s="113" t="n">
        <v>100000</v>
      </c>
      <c r="F26" s="86" t="inlineStr">
        <is>
          <t>MNT</t>
        </is>
      </c>
      <c r="G26" s="91" t="n">
        <v>2</v>
      </c>
      <c r="H26" s="88">
        <f>E26*G26*IF(F26="USD",Compare!$B$8,IF(F26="CNY",Compare!$B$9,IF(F26="HKD",Compare!$B$10,1)))</f>
        <v/>
      </c>
      <c r="I26" s="114">
        <f>E26</f>
        <v/>
      </c>
      <c r="J26" s="91" t="n">
        <v>2</v>
      </c>
      <c r="K26" s="88">
        <f>I26*J26*IF(F26="USD",Compare!$B$8,IF(F26="CNY",Compare!$B$9,IF(F26="HKD",Compare!$B$10,1)))</f>
        <v/>
      </c>
      <c r="L26" s="112" t="inlineStr">
        <is>
          <t>ASSUMPTION 100k MNT per trip for the group</t>
        </is>
      </c>
    </row>
    <row r="27" ht="30" customHeight="1" s="56">
      <c r="B27" s="111" t="inlineStr">
        <is>
          <t>Travel medical insurance</t>
        </is>
      </c>
      <c r="C27" s="83" t="n"/>
      <c r="D27" s="84" t="n"/>
      <c r="E27" s="113" t="n">
        <v>30000</v>
      </c>
      <c r="F27" s="86" t="inlineStr">
        <is>
          <t>MNT</t>
        </is>
      </c>
      <c r="G27" s="87">
        <f>Compare!$B$6</f>
        <v/>
      </c>
      <c r="H27" s="88">
        <f>E27*G27*IF(F27="USD",Compare!$B$8,IF(F27="CNY",Compare!$B$9,IF(F27="HKD",Compare!$B$10,1)))</f>
        <v/>
      </c>
      <c r="I27" s="114">
        <f>E27</f>
        <v/>
      </c>
      <c r="J27" s="87">
        <f>Compare!$B$7</f>
        <v/>
      </c>
      <c r="K27" s="88">
        <f>I27*J27*IF(F27="USD",Compare!$B$8,IF(F27="CNY",Compare!$B$9,IF(F27="HKD",Compare!$B$10,1)))</f>
        <v/>
      </c>
      <c r="L27" s="112" t="inlineStr">
        <is>
          <t>ASSUMPTION ~30k MNT per person, Mongolian insurer</t>
        </is>
      </c>
    </row>
    <row r="28" ht="30" customHeight="1" s="56">
      <c r="B28" s="111" t="inlineStr">
        <is>
          <t>Mobile data eSIM</t>
        </is>
      </c>
      <c r="C28" s="83" t="n"/>
      <c r="D28" s="84" t="n"/>
      <c r="E28" s="113" t="n">
        <v>10</v>
      </c>
      <c r="F28" s="86" t="inlineStr">
        <is>
          <t>USD</t>
        </is>
      </c>
      <c r="G28" s="87">
        <f>Compare!$B$6</f>
        <v/>
      </c>
      <c r="H28" s="88">
        <f>E28*G28*IF(F28="USD",Compare!$B$8,IF(F28="CNY",Compare!$B$9,IF(F28="HKD",Compare!$B$10,1)))</f>
        <v/>
      </c>
      <c r="I28" s="114">
        <f>E28</f>
        <v/>
      </c>
      <c r="J28" s="87">
        <f>Compare!$B$7</f>
        <v/>
      </c>
      <c r="K28" s="88">
        <f>I28*J28*IF(F28="USD",Compare!$B$8,IF(F28="CNY",Compare!$B$9,IF(F28="HKD",Compare!$B$10,1)))</f>
        <v/>
      </c>
      <c r="L28" s="112" t="inlineStr">
        <is>
          <t>ASSUMPTION ~$10 pp</t>
        </is>
      </c>
    </row>
    <row r="29" ht="30" customHeight="1" s="56">
      <c r="B29" s="111" t="inlineStr">
        <is>
          <t>Visa</t>
        </is>
      </c>
      <c r="C29" s="83" t="n"/>
      <c r="D29" s="84" t="n"/>
      <c r="E29" s="85" t="n">
        <v>0</v>
      </c>
      <c r="F29" s="86" t="inlineStr">
        <is>
          <t>MNT</t>
        </is>
      </c>
      <c r="G29" s="87">
        <f>Compare!$B$6</f>
        <v/>
      </c>
      <c r="H29" s="88">
        <f>E29*G29*IF(F29="USD",Compare!$B$8,IF(F29="CNY",Compare!$B$9,IF(F29="HKD",Compare!$B$10,1)))</f>
        <v/>
      </c>
      <c r="I29" s="89">
        <f>E29</f>
        <v/>
      </c>
      <c r="J29" s="87">
        <f>Compare!$B$7</f>
        <v/>
      </c>
      <c r="K29" s="88">
        <f>I29*J29*IF(F29="USD",Compare!$B$8,IF(F29="CNY",Compare!$B$9,IF(F29="HKD",Compare!$B$10,1)))</f>
        <v/>
      </c>
      <c r="L29" s="112" t="inlineStr">
        <is>
          <t>Mongolian passports: visa-free (mainland China up to 30 days; Hong Kong up to 14 days)</t>
        </is>
      </c>
    </row>
    <row r="30" s="56"/>
    <row r="31" s="56">
      <c r="G31" s="60" t="n"/>
      <c r="H31" s="96" t="inlineStr">
        <is>
          <t>3 people – UNFUNDED</t>
        </is>
      </c>
      <c r="K31" s="96" t="inlineStr">
        <is>
          <t>4 people – FUNDED ₮12M</t>
        </is>
      </c>
    </row>
    <row r="32" s="56">
      <c r="G32" s="97" t="inlineStr">
        <is>
          <t>University-paid subtotal</t>
        </is>
      </c>
      <c r="H32" s="98">
        <f>SUM(H9:H21)</f>
        <v/>
      </c>
      <c r="K32" s="98">
        <f>SUM(K9:K21)</f>
        <v/>
      </c>
    </row>
    <row r="33" s="56">
      <c r="G33" s="99" t="inlineStr">
        <is>
          <t>Contingency</t>
        </is>
      </c>
      <c r="H33" s="100">
        <f>H32*Compare!$B$11</f>
        <v/>
      </c>
      <c r="K33" s="100">
        <f>K32*Compare!$B$11</f>
        <v/>
      </c>
    </row>
    <row r="34" s="56">
      <c r="G34" s="97" t="inlineStr">
        <is>
          <t>University-paid total incl. contingency</t>
        </is>
      </c>
      <c r="H34" s="98">
        <f>H32+H33</f>
        <v/>
      </c>
      <c r="K34" s="98">
        <f>K32+K33</f>
        <v/>
      </c>
    </row>
    <row r="35" s="56">
      <c r="G35" s="97" t="inlineStr">
        <is>
          <t>Funding left (negative = over)</t>
        </is>
      </c>
      <c r="H35" s="101">
        <f>Compare!$B$12-H34</f>
        <v/>
      </c>
      <c r="K35" s="101">
        <f>Compare!$B$5-K34</f>
        <v/>
      </c>
    </row>
    <row r="36" s="56">
      <c r="G36" s="97" t="inlineStr">
        <is>
          <t>Personal costs – team</t>
        </is>
      </c>
      <c r="H36" s="102">
        <f>SUM(H23:H29)</f>
        <v/>
      </c>
      <c r="K36" s="102">
        <f>SUM(K23:K29)</f>
        <v/>
      </c>
    </row>
    <row r="37" s="56">
      <c r="G37" s="97" t="inlineStr">
        <is>
          <t>Out-of-pocket per person (personal + any overrun)</t>
        </is>
      </c>
      <c r="H37" s="102">
        <f>(H36+MAX(0,-H35))/Compare!$B$6</f>
        <v/>
      </c>
      <c r="K37" s="102">
        <f>(K36+MAX(0,-K35))/Compare!$B$7</f>
        <v/>
      </c>
    </row>
    <row r="38" s="56">
      <c r="G38" s="97" t="inlineStr">
        <is>
          <t>Whole trip cost (university + personal)</t>
        </is>
      </c>
      <c r="H38" s="103">
        <f>H34+H36</f>
        <v/>
      </c>
      <c r="K38" s="103">
        <f>K34+K36</f>
        <v/>
      </c>
    </row>
    <row r="39" s="56">
      <c r="G39" s="99" t="inlineStr">
        <is>
          <t>Time in planes &amp; trains</t>
        </is>
      </c>
      <c r="H39" s="104">
        <f>SUM(D10:D11)+SUM(D13:D14)</f>
        <v/>
      </c>
      <c r="K39" s="104">
        <f>SUM(D10:D11)+SUM(D13:D14)</f>
        <v/>
      </c>
    </row>
    <row r="40" s="56"/>
    <row r="41" s="56">
      <c r="A41" s="72" t="inlineStr">
        <is>
          <t>Key facts</t>
        </is>
      </c>
    </row>
    <row r="42" ht="30" customHeight="1" s="56">
      <c r="A42" s="75" t="inlineStr">
        <is>
          <t>Contest</t>
        </is>
      </c>
      <c r="B42" s="74" t="inlineStr">
        <is>
          <t>Asia Shenyang Regional, 14–15 Nov 2026 (provisional; the 2026 invitation was not found on 22 Oct), Northeastern University Nanhu campus (2024 and 2025 venue). Assumed: day 1 registration + practice, contest 15 Nov 09:00–14:00, awards ~17:00.</t>
        </is>
      </c>
    </row>
    <row r="43" ht="30" customHeight="1" s="56">
      <c r="A43" s="75" t="inlineStr">
        <is>
          <t>Why this plan</t>
        </is>
      </c>
      <c r="B43" s="74" t="inlineStr">
        <is>
          <t>~₮0.60M per person to Shenyang; Beijing Capital is closer to the station than Daxing. Cheaper way out than the Air China + G153 route of 'Sleep value' (₮0.91M per person); the rest of the trip is the same (Ji Hotel twin rooms, K28 hard seat + Air China 12:55 home), with hotel nights set by the arrival time.</t>
        </is>
      </c>
    </row>
    <row r="44" ht="30" customHeight="1" s="56">
      <c r="A44" s="75" t="inlineStr">
        <is>
          <t>Trade-off</t>
        </is>
      </c>
      <c r="B44" s="74" t="inlineStr">
        <is>
          <t>The night before day 1 is spent sitting up on K341 (POOR for sleep) and you arrive on registration morning. Only 45–60 min between landing and the 23:00 train; if it is missed, take a G-train next morning (¥355–369).</t>
        </is>
      </c>
    </row>
    <row r="45" ht="15" customHeight="1" s="56">
      <c r="A45" s="75" t="inlineStr">
        <is>
          <t>Book</t>
        </is>
      </c>
      <c r="B45" s="74" t="inlineStr">
        <is>
          <t>MIAT on Ctrip now; K341 on 12306 at 10:00 on 30 Oct; K28 on 12306 at 09:30 on 1 Nov; Air China home on Trip.com.</t>
        </is>
      </c>
    </row>
    <row r="46" s="56"/>
    <row r="47" s="56">
      <c r="A47" s="72" t="inlineStr">
        <is>
          <t>Day-by-day plan</t>
        </is>
      </c>
    </row>
    <row r="48" s="56">
      <c r="A48" s="96" t="inlineStr">
        <is>
          <t>Date</t>
        </is>
      </c>
      <c r="B48" s="96" t="inlineStr">
        <is>
          <t>Sleep in</t>
        </is>
      </c>
      <c r="C48" s="96" t="inlineStr">
        <is>
          <t>What happens</t>
        </is>
      </c>
    </row>
    <row r="49" ht="15" customHeight="1" s="56">
      <c r="A49" s="74" t="inlineStr">
        <is>
          <t>Fri 13 Nov</t>
        </is>
      </c>
      <c r="B49" s="74" t="inlineStr">
        <is>
          <t>Train (seat)</t>
        </is>
      </c>
      <c r="C49" s="74" t="inlineStr">
        <is>
          <t>MIAT OM223 UB 17:15 → Beijing Capital 19:30; Airport Express + metro to Beijing station; K341 23:00 → Shenyang (overnight).</t>
        </is>
      </c>
    </row>
    <row r="50" ht="15" customHeight="1" s="56">
      <c r="A50" s="74" t="inlineStr">
        <is>
          <t>Sat 14 Nov</t>
        </is>
      </c>
      <c r="B50" s="74" t="inlineStr">
        <is>
          <t>Shenyang</t>
        </is>
      </c>
      <c r="C50" s="74" t="inlineStr">
        <is>
          <t>Arrive Shenyang 08:47; taxi to NEU Nanhu for registration and practice; check in at Ji Hotel. Lights out ~22:30.</t>
        </is>
      </c>
    </row>
    <row r="51" ht="30" customHeight="1" s="56">
      <c r="A51" s="74" t="inlineStr">
        <is>
          <t>Sun 15 Nov</t>
        </is>
      </c>
      <c r="B51" s="74" t="inlineStr">
        <is>
          <t>Train (seat)</t>
        </is>
      </c>
      <c r="C51" s="74" t="inlineStr">
        <is>
          <t>CONTEST. Wake ~06:50, walk ~15 min. Check out before leaving, luggage stored at the hotel. Awards ~17:00; taxi to Shenyang station; K28 22:24 hard seat → Beijing 08:40.</t>
        </is>
      </c>
    </row>
    <row r="52" ht="15" customHeight="1" s="56">
      <c r="A52" s="74" t="inlineStr">
        <is>
          <t>Mon 16 Nov</t>
        </is>
      </c>
      <c r="B52" s="74" t="inlineStr">
        <is>
          <t>Home</t>
        </is>
      </c>
      <c r="C52" s="74" t="inlineStr">
        <is>
          <t>Metro line 2 + Airport Express to PEK T3 (~1 h). Air China 12:55 → UB 15:05.</t>
        </is>
      </c>
    </row>
    <row r="53" s="56"/>
    <row r="54" s="56">
      <c r="A54" s="72" t="inlineStr">
        <is>
          <t>Door-to-door travel times</t>
        </is>
      </c>
    </row>
    <row r="55" s="56">
      <c r="A55" s="96" t="inlineStr">
        <is>
          <t>Date</t>
        </is>
      </c>
      <c r="B55" s="96" t="inlineStr">
        <is>
          <t>Leg</t>
        </is>
      </c>
      <c r="C55" s="96" t="inlineStr">
        <is>
          <t>Mode</t>
        </is>
      </c>
      <c r="D55" s="96" t="inlineStr">
        <is>
          <t>Expected time</t>
        </is>
      </c>
      <c r="E55" s="96" t="inlineStr">
        <is>
          <t>Notes</t>
        </is>
      </c>
    </row>
    <row r="56" s="56">
      <c r="A56" s="105" t="inlineStr">
        <is>
          <t>13 Nov</t>
        </is>
      </c>
      <c r="B56" s="105" t="inlineStr">
        <is>
          <t>Home → Chinggis Khaan airport</t>
        </is>
      </c>
      <c r="C56" s="82" t="inlineStr">
        <is>
          <t>Taxi (~50 km)</t>
        </is>
      </c>
      <c r="D56" s="104" t="n">
        <v>0.04166666666666666</v>
      </c>
      <c r="E56" s="106" t="inlineStr">
        <is>
          <t>Leave ~14:15</t>
        </is>
      </c>
      <c r="F56" s="107" t="n"/>
      <c r="G56" s="107" t="n"/>
      <c r="H56" s="107" t="n"/>
      <c r="I56" s="107" t="n"/>
      <c r="J56" s="107" t="n"/>
      <c r="K56" s="107" t="n"/>
      <c r="L56" s="107" t="n"/>
    </row>
    <row r="57" s="56">
      <c r="A57" s="105" t="inlineStr">
        <is>
          <t>13 Nov</t>
        </is>
      </c>
      <c r="B57" s="105" t="inlineStr">
        <is>
          <t>Ulaanbaatar → Beijing (PEK)</t>
        </is>
      </c>
      <c r="C57" s="82" t="inlineStr">
        <is>
          <t>MIAT OM223 17:15–19:30</t>
        </is>
      </c>
      <c r="D57" s="104" t="n">
        <v>0.09375</v>
      </c>
      <c r="E57" s="106" t="n"/>
      <c r="F57" s="107" t="n"/>
      <c r="G57" s="107" t="n"/>
      <c r="H57" s="107" t="n"/>
      <c r="I57" s="107" t="n"/>
      <c r="J57" s="107" t="n"/>
      <c r="K57" s="107" t="n"/>
      <c r="L57" s="107" t="n"/>
    </row>
    <row r="58" s="56">
      <c r="A58" s="105" t="inlineStr">
        <is>
          <t>13 Nov</t>
        </is>
      </c>
      <c r="B58" s="105" t="inlineStr">
        <is>
          <t>PEK arrival: immigration, bags</t>
        </is>
      </c>
      <c r="C58" s="82" t="inlineStr">
        <is>
          <t>—</t>
        </is>
      </c>
      <c r="D58" s="104" t="n">
        <v>0.03125</v>
      </c>
      <c r="E58" s="106" t="inlineStr">
        <is>
          <t>Estimate</t>
        </is>
      </c>
      <c r="F58" s="107" t="n"/>
      <c r="G58" s="107" t="n"/>
      <c r="H58" s="107" t="n"/>
      <c r="I58" s="107" t="n"/>
      <c r="J58" s="107" t="n"/>
      <c r="K58" s="107" t="n"/>
      <c r="L58" s="107" t="n"/>
    </row>
    <row r="59" s="56">
      <c r="A59" s="105" t="inlineStr">
        <is>
          <t>13 Nov</t>
        </is>
      </c>
      <c r="B59" s="105" t="inlineStr">
        <is>
          <t>PEK → Beijing station</t>
        </is>
      </c>
      <c r="C59" s="82" t="inlineStr">
        <is>
          <t>Airport Express + metro line 2</t>
        </is>
      </c>
      <c r="D59" s="104" t="n">
        <v>0.04166666666666666</v>
      </c>
      <c r="E59" s="106" t="inlineStr">
        <is>
          <t>Estimate</t>
        </is>
      </c>
      <c r="F59" s="107" t="n"/>
      <c r="G59" s="107" t="n"/>
      <c r="H59" s="107" t="n"/>
      <c r="I59" s="107" t="n"/>
      <c r="J59" s="107" t="n"/>
      <c r="K59" s="107" t="n"/>
      <c r="L59" s="107" t="n"/>
    </row>
    <row r="60" s="56">
      <c r="A60" s="105" t="inlineStr">
        <is>
          <t>13–14 Nov</t>
        </is>
      </c>
      <c r="B60" s="105" t="inlineStr">
        <is>
          <t>Beijing → Shenyang</t>
        </is>
      </c>
      <c r="C60" s="82" t="inlineStr">
        <is>
          <t>K341 hard seat 23:00–08:47</t>
        </is>
      </c>
      <c r="D60" s="104" t="n">
        <v>0.4076388888888889</v>
      </c>
      <c r="E60" s="106" t="inlineStr">
        <is>
          <t>Overnight</t>
        </is>
      </c>
      <c r="F60" s="107" t="n"/>
      <c r="G60" s="107" t="n"/>
      <c r="H60" s="107" t="n"/>
      <c r="I60" s="107" t="n"/>
      <c r="J60" s="107" t="n"/>
      <c r="K60" s="107" t="n"/>
      <c r="L60" s="107" t="n"/>
    </row>
    <row r="61" s="56">
      <c r="A61" s="105" t="inlineStr">
        <is>
          <t>14 Nov</t>
        </is>
      </c>
      <c r="B61" s="105" t="inlineStr">
        <is>
          <t>Shenyang station → NEU Nanhu</t>
        </is>
      </c>
      <c r="C61" s="82" t="inlineStr">
        <is>
          <t>Taxi</t>
        </is>
      </c>
      <c r="D61" s="104" t="n">
        <v>0.01388888888888889</v>
      </c>
      <c r="E61" s="106" t="inlineStr">
        <is>
          <t>Registration day</t>
        </is>
      </c>
      <c r="F61" s="107" t="n"/>
      <c r="G61" s="107" t="n"/>
      <c r="H61" s="107" t="n"/>
      <c r="I61" s="107" t="n"/>
      <c r="J61" s="107" t="n"/>
      <c r="K61" s="107" t="n"/>
      <c r="L61" s="107" t="n"/>
    </row>
    <row r="62" s="56">
      <c r="A62" s="105" t="inlineStr">
        <is>
          <t>15 Nov</t>
        </is>
      </c>
      <c r="B62" s="105" t="inlineStr">
        <is>
          <t>NEU Nanhu → Shenyang station</t>
        </is>
      </c>
      <c r="C62" s="82" t="inlineStr">
        <is>
          <t>Taxi</t>
        </is>
      </c>
      <c r="D62" s="104" t="n">
        <v>0.01388888888888889</v>
      </c>
      <c r="E62" s="106" t="n"/>
      <c r="F62" s="107" t="n"/>
      <c r="G62" s="107" t="n"/>
      <c r="H62" s="107" t="n"/>
      <c r="I62" s="107" t="n"/>
      <c r="J62" s="107" t="n"/>
      <c r="K62" s="107" t="n"/>
      <c r="L62" s="107" t="n"/>
    </row>
    <row r="63" s="56">
      <c r="A63" s="105" t="inlineStr">
        <is>
          <t>15–16 Nov</t>
        </is>
      </c>
      <c r="B63" s="105" t="inlineStr">
        <is>
          <t>Shenyang → Beijing</t>
        </is>
      </c>
      <c r="C63" s="82" t="inlineStr">
        <is>
          <t>K28 hard seat 22:24–08:40</t>
        </is>
      </c>
      <c r="D63" s="104" t="n">
        <v>0.4277777777777778</v>
      </c>
      <c r="E63" s="106" t="inlineStr">
        <is>
          <t>Overnight, after the contest</t>
        </is>
      </c>
      <c r="F63" s="107" t="n"/>
      <c r="G63" s="107" t="n"/>
      <c r="H63" s="107" t="n"/>
      <c r="I63" s="107" t="n"/>
      <c r="J63" s="107" t="n"/>
      <c r="K63" s="107" t="n"/>
      <c r="L63" s="107" t="n"/>
    </row>
    <row r="64" s="56">
      <c r="A64" s="105" t="inlineStr">
        <is>
          <t>16 Nov</t>
        </is>
      </c>
      <c r="B64" s="105" t="inlineStr">
        <is>
          <t>Beijing station → PEK</t>
        </is>
      </c>
      <c r="C64" s="82" t="inlineStr">
        <is>
          <t>Metro line 2 + Airport Express</t>
        </is>
      </c>
      <c r="D64" s="104" t="n">
        <v>0.04166666666666666</v>
      </c>
      <c r="E64" s="106" t="inlineStr">
        <is>
          <t>Be at PEK by ~10:55</t>
        </is>
      </c>
      <c r="F64" s="107" t="n"/>
      <c r="G64" s="107" t="n"/>
      <c r="H64" s="107" t="n"/>
      <c r="I64" s="107" t="n"/>
      <c r="J64" s="107" t="n"/>
      <c r="K64" s="107" t="n"/>
      <c r="L64" s="107" t="n"/>
    </row>
    <row r="65" s="56">
      <c r="A65" s="105" t="inlineStr">
        <is>
          <t>16 Nov</t>
        </is>
      </c>
      <c r="B65" s="105" t="inlineStr">
        <is>
          <t>Beijing (PEK) → Ulaanbaatar</t>
        </is>
      </c>
      <c r="C65" s="82" t="inlineStr">
        <is>
          <t>Air China 12:55–15:05</t>
        </is>
      </c>
      <c r="D65" s="104" t="n">
        <v>0.09027777777777778</v>
      </c>
      <c r="E65" s="106" t="n"/>
      <c r="F65" s="107" t="n"/>
      <c r="G65" s="107" t="n"/>
      <c r="H65" s="107" t="n"/>
      <c r="I65" s="107" t="n"/>
      <c r="J65" s="107" t="n"/>
      <c r="K65" s="107" t="n"/>
      <c r="L65" s="107" t="n"/>
    </row>
    <row r="66" s="56">
      <c r="A66" s="105" t="inlineStr">
        <is>
          <t>16 Nov</t>
        </is>
      </c>
      <c r="B66" s="105" t="inlineStr">
        <is>
          <t>Chinggis Khaan airport → home</t>
        </is>
      </c>
      <c r="C66" s="82" t="inlineStr">
        <is>
          <t>Taxi</t>
        </is>
      </c>
      <c r="D66" s="104" t="n">
        <v>0.04166666666666666</v>
      </c>
      <c r="E66" s="106" t="n"/>
      <c r="F66" s="107" t="n"/>
      <c r="G66" s="107" t="n"/>
      <c r="H66" s="107" t="n"/>
      <c r="I66" s="107" t="n"/>
      <c r="J66" s="107" t="n"/>
      <c r="K66" s="107" t="n"/>
      <c r="L66" s="107" t="n"/>
    </row>
    <row r="67" s="56"/>
    <row r="68" s="56">
      <c r="C68" s="59" t="inlineStr">
        <is>
          <t>Total door-to-door</t>
        </is>
      </c>
      <c r="D68" s="109">
        <f>SUM(D56:D66)</f>
        <v/>
      </c>
    </row>
    <row r="69" s="56"/>
    <row r="70" s="56"/>
    <row r="71" s="56"/>
  </sheetData>
  <mergeCells count="19">
    <mergeCell ref="E56:L56"/>
    <mergeCell ref="E58:L58"/>
    <mergeCell ref="C52:L52"/>
    <mergeCell ref="E62:L62"/>
    <mergeCell ref="B43:L43"/>
    <mergeCell ref="E64:L64"/>
    <mergeCell ref="C49:L49"/>
    <mergeCell ref="E63:L63"/>
    <mergeCell ref="B42:L42"/>
    <mergeCell ref="E60:L60"/>
    <mergeCell ref="E65:L65"/>
    <mergeCell ref="B44:L44"/>
    <mergeCell ref="E59:L59"/>
    <mergeCell ref="C50:L50"/>
    <mergeCell ref="E61:L61"/>
    <mergeCell ref="E57:L57"/>
    <mergeCell ref="E66:L66"/>
    <mergeCell ref="C51:L51"/>
    <mergeCell ref="B45:L45"/>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69"/>
  <sheetViews>
    <sheetView workbookViewId="0">
      <selection activeCell="A1" sqref="A1"/>
    </sheetView>
  </sheetViews>
  <sheetFormatPr baseColWidth="8" defaultRowHeight="15"/>
  <cols>
    <col width="26" customWidth="1" style="56" min="1" max="1"/>
    <col width="52" customWidth="1" style="56" min="2" max="2"/>
    <col width="20" customWidth="1" style="56" min="3" max="3"/>
    <col width="15" customWidth="1" style="56" min="4" max="4"/>
    <col width="13" customWidth="1" style="56" min="5" max="5"/>
    <col width="9" customWidth="1" style="56" min="6" max="6"/>
    <col width="17" customWidth="1" style="56" min="8" max="8"/>
    <col width="13" customWidth="1" style="56" min="9" max="9"/>
    <col width="9" customWidth="1" style="56" min="10" max="10"/>
    <col width="17" customWidth="1" style="56" min="11" max="11"/>
    <col width="58" customWidth="1" style="56" min="12" max="12"/>
  </cols>
  <sheetData>
    <row r="1" ht="17.35" customHeight="1" s="56">
      <c r="A1" s="57" t="inlineStr">
        <is>
          <t>Shenyang – Hunnu Erenhot</t>
        </is>
      </c>
    </row>
    <row r="2" ht="15" customHeight="1" s="56">
      <c r="A2" s="62" t="inlineStr">
        <is>
          <t>Hunnu Air to Erenhot on Fri 13 Nov, then 4654 and the T301 overnight in hard seats; arrive on day 1 morning, one hotel night; K28 seat + Air China home.</t>
        </is>
      </c>
    </row>
    <row r="4" ht="15" customHeight="1" s="56">
      <c r="A4" s="60" t="inlineStr">
        <is>
          <t>Days in destination (meals &amp; local transport)</t>
        </is>
      </c>
      <c r="B4" s="76" t="n">
        <v>3.5</v>
      </c>
      <c r="C4" s="62" t="inlineStr">
        <is>
          <t>13 Nov morning → 16 Nov midday</t>
        </is>
      </c>
    </row>
    <row r="5" ht="15" customHeight="1" s="56">
      <c r="A5" s="62" t="inlineStr">
        <is>
          <t>Shared inputs are on the Compare sheet. Scroll down for the day-by-day plan and door-to-door travel times.</t>
        </is>
      </c>
    </row>
    <row r="7" ht="31.5" customHeight="1" s="56">
      <c r="A7" s="66" t="inlineStr">
        <is>
          <t>Category</t>
        </is>
      </c>
      <c r="B7" s="66" t="inlineStr">
        <is>
          <t>Item</t>
        </is>
      </c>
      <c r="C7" s="66" t="inlineStr">
        <is>
          <t>Date</t>
        </is>
      </c>
      <c r="D7" s="66" t="inlineStr">
        <is>
          <t>Travel time</t>
        </is>
      </c>
      <c r="E7" s="66" t="inlineStr">
        <is>
          <t>Unit cost (3 ppl)</t>
        </is>
      </c>
      <c r="F7" s="66" t="inlineStr">
        <is>
          <t>Currency</t>
        </is>
      </c>
      <c r="G7" s="66" t="inlineStr">
        <is>
          <t>Qty (3 ppl)</t>
        </is>
      </c>
      <c r="H7" s="66" t="inlineStr">
        <is>
          <t>Total MNT – 3 people</t>
        </is>
      </c>
      <c r="I7" s="66" t="inlineStr">
        <is>
          <t>Unit cost (4 ppl)</t>
        </is>
      </c>
      <c r="J7" s="66" t="inlineStr">
        <is>
          <t>Qty (4 ppl)</t>
        </is>
      </c>
      <c r="K7" s="66" t="inlineStr">
        <is>
          <t>Total MNT – 4 people</t>
        </is>
      </c>
      <c r="L7" s="66" t="inlineStr">
        <is>
          <t>Source / notes</t>
        </is>
      </c>
    </row>
    <row r="8" s="56">
      <c r="A8" s="77" t="inlineStr">
        <is>
          <t>PAID BY UNIVERSITY</t>
        </is>
      </c>
      <c r="B8" s="78" t="n"/>
      <c r="C8" s="78" t="n"/>
      <c r="D8" s="78" t="n"/>
      <c r="E8" s="78" t="n"/>
      <c r="F8" s="78" t="n"/>
      <c r="G8" s="78" t="n"/>
      <c r="H8" s="78" t="n"/>
      <c r="I8" s="78" t="n"/>
      <c r="J8" s="78" t="n"/>
      <c r="K8" s="78" t="n"/>
      <c r="L8" s="78" t="n"/>
    </row>
    <row r="9" s="56">
      <c r="A9" s="79" t="inlineStr">
        <is>
          <t>Flights</t>
        </is>
      </c>
      <c r="B9" s="80" t="n"/>
      <c r="C9" s="80" t="n"/>
      <c r="D9" s="80" t="n"/>
      <c r="E9" s="80" t="n"/>
      <c r="F9" s="80" t="n"/>
      <c r="G9" s="80" t="n"/>
      <c r="H9" s="80" t="n"/>
      <c r="I9" s="80" t="n"/>
      <c r="J9" s="80" t="n"/>
      <c r="K9" s="80" t="n"/>
      <c r="L9" s="80" t="n"/>
    </row>
    <row r="10" ht="30" customHeight="1" s="56">
      <c r="B10" s="111" t="inlineStr">
        <is>
          <t>Hunnu Air MR861 Ulaanbaatar 08:45 → Erenhot 10:00, nonstop</t>
        </is>
      </c>
      <c r="C10" s="83" t="inlineStr">
        <is>
          <t>Fri 13 Nov</t>
        </is>
      </c>
      <c r="D10" s="84" t="n">
        <v>0.05208333333333334</v>
      </c>
      <c r="E10" s="85" t="n">
        <v>136</v>
      </c>
      <c r="F10" s="86" t="inlineStr">
        <is>
          <t>USD</t>
        </is>
      </c>
      <c r="G10" s="87">
        <f>Compare!$B$6</f>
        <v/>
      </c>
      <c r="H10" s="88">
        <f>E10*G10*IF(F10="USD",Compare!$B$8,IF(F10="CNY",Compare!$B$9,IF(F10="HKD",Compare!$B$10,1)))</f>
        <v/>
      </c>
      <c r="I10" s="89">
        <f>E10</f>
        <v/>
      </c>
      <c r="J10" s="87">
        <f>Compare!$B$7</f>
        <v/>
      </c>
      <c r="K10" s="88">
        <f>I10*J10*IF(F10="USD",Compare!$B$8,IF(F10="CNY",Compare!$B$9,IF(F10="HKD",Compare!$B$10,1)))</f>
        <v/>
      </c>
      <c r="L10" s="112" t="inlineStr">
        <is>
          <t>SlickTrip 22 Oct: $136 on 11, 12 and 13 Nov (usual $120–140). Checked bag ~20 kg per travel guides (not confirmed).</t>
        </is>
      </c>
    </row>
    <row r="11" ht="39" customHeight="1" s="56">
      <c r="B11" s="111" t="inlineStr">
        <is>
          <t>Air China CA955 Beijing Capital (PEK) 12:55 → Ulaanbaatar 15:05, nonstop</t>
        </is>
      </c>
      <c r="C11" s="83" t="inlineStr">
        <is>
          <t>16 Nov</t>
        </is>
      </c>
      <c r="D11" s="84" t="n">
        <v>0.09027777777777778</v>
      </c>
      <c r="E11" s="85" t="n">
        <v>171</v>
      </c>
      <c r="F11" s="86" t="inlineStr">
        <is>
          <t>USD</t>
        </is>
      </c>
      <c r="G11" s="87">
        <f>Compare!$B$6</f>
        <v/>
      </c>
      <c r="H11" s="88">
        <f>E11*G11*IF(F11="USD",Compare!$B$8,IF(F11="CNY",Compare!$B$9,IF(F11="HKD",Compare!$B$10,1)))</f>
        <v/>
      </c>
      <c r="I11" s="89">
        <f>E11</f>
        <v/>
      </c>
      <c r="J11" s="87">
        <f>Compare!$B$7</f>
        <v/>
      </c>
      <c r="K11" s="88">
        <f>I11*J11*IF(F11="USD",Compare!$B$8,IF(F11="CNY",Compare!$B$9,IF(F11="HKD",Compare!$B$10,1)))</f>
        <v/>
      </c>
      <c r="L11" s="112" t="inlineStr">
        <is>
          <t>Trip.com 22 Oct: US$171 pp, cheapest that day (MIAT OM224 11:30 US$193 on Trip.com / $176 on SlickTrip; Air China 08:25 $215; Capital + Hunnu via Erenhot $196)</t>
        </is>
      </c>
    </row>
    <row r="12" s="56">
      <c r="A12" s="79" t="inlineStr">
        <is>
          <t>Trains &amp; border crossing</t>
        </is>
      </c>
      <c r="B12" s="80" t="n"/>
      <c r="C12" s="80" t="n"/>
      <c r="D12" s="80" t="n"/>
      <c r="E12" s="80" t="n"/>
      <c r="F12" s="80" t="n"/>
      <c r="G12" s="80" t="n"/>
      <c r="H12" s="80" t="n"/>
      <c r="I12" s="80" t="n"/>
      <c r="J12" s="80" t="n"/>
      <c r="K12" s="80" t="n"/>
      <c r="L12" s="80" t="n"/>
    </row>
    <row r="13" ht="30" customHeight="1" s="56">
      <c r="B13" s="111" t="inlineStr">
        <is>
          <t>Train 4654 Erenhot 12:45 → Jining South 18:11, hard seat</t>
        </is>
      </c>
      <c r="C13" s="83" t="inlineStr">
        <is>
          <t>13 Nov</t>
        </is>
      </c>
      <c r="D13" s="84" t="n">
        <v>0.2263888888888889</v>
      </c>
      <c r="E13" s="85" t="n">
        <v>44.5</v>
      </c>
      <c r="F13" s="86" t="inlineStr">
        <is>
          <t>CNY</t>
        </is>
      </c>
      <c r="G13" s="87">
        <f>Compare!$B$6</f>
        <v/>
      </c>
      <c r="H13" s="88">
        <f>E13*G13*IF(F13="USD",Compare!$B$8,IF(F13="CNY",Compare!$B$9,IF(F13="HKD",Compare!$B$10,1)))</f>
        <v/>
      </c>
      <c r="I13" s="89">
        <f>E13</f>
        <v/>
      </c>
      <c r="J13" s="87">
        <f>Compare!$B$7</f>
        <v/>
      </c>
      <c r="K13" s="88">
        <f>I13*J13*IF(F13="USD",Compare!$B$8,IF(F13="CNY",Compare!$B$9,IF(F13="HKD",Compare!$B$10,1)))</f>
        <v/>
      </c>
      <c r="L13" s="112" t="inlineStr">
        <is>
          <t>12306 (5 Nov query): seat ¥44.5, hard sleeper ¥90.5. ChinaTicketOnline confirms 11 and 13 Nov; on sale 30 Oct 15:00 for 13 Nov.</t>
        </is>
      </c>
    </row>
    <row r="14" ht="39" customHeight="1" s="56">
      <c r="B14" s="111" t="inlineStr">
        <is>
          <t>Overnight train T301 Jining South 19:30 → Shenyang 10:16, hard seat</t>
        </is>
      </c>
      <c r="C14" s="83" t="inlineStr">
        <is>
          <t>13–14 Nov</t>
        </is>
      </c>
      <c r="D14" s="84" t="n">
        <v>0.6152777777777778</v>
      </c>
      <c r="E14" s="85" t="n">
        <v>163.5</v>
      </c>
      <c r="F14" s="86" t="inlineStr">
        <is>
          <t>CNY</t>
        </is>
      </c>
      <c r="G14" s="87">
        <f>Compare!$B$6</f>
        <v/>
      </c>
      <c r="H14" s="88">
        <f>E14*G14*IF(F14="USD",Compare!$B$8,IF(F14="CNY",Compare!$B$9,IF(F14="HKD",Compare!$B$10,1)))</f>
        <v/>
      </c>
      <c r="I14" s="89">
        <f>E14</f>
        <v/>
      </c>
      <c r="J14" s="87">
        <f>Compare!$B$7</f>
        <v/>
      </c>
      <c r="K14" s="88">
        <f>I14*J14*IF(F14="USD",Compare!$B$8,IF(F14="CNY",Compare!$B$9,IF(F14="HKD",Compare!$B$10,1)))</f>
        <v/>
      </c>
      <c r="L14" s="112" t="inlineStr">
        <is>
          <t>12306 (5 Nov query): seat ¥163.5, hard sleeper ¥280.5, soft ¥438.5; 1 h 19 min change at Jining South. ChinaTicketOnline confirms 13 Nov, on sale 30 Oct 15:00. Also K1567 17:31 → 09:38 (same fares).</t>
        </is>
      </c>
    </row>
    <row r="15" ht="51" customHeight="1" s="56">
      <c r="B15" s="111" t="inlineStr">
        <is>
          <t>Overnight train K28 Shenyang 22:24 → Beijing 08:40, hard seat (after the contest)</t>
        </is>
      </c>
      <c r="C15" s="83" t="inlineStr">
        <is>
          <t>15 Nov (night)</t>
        </is>
      </c>
      <c r="D15" s="84" t="n">
        <v>0.4277777777777778</v>
      </c>
      <c r="E15" s="85" t="n">
        <v>112</v>
      </c>
      <c r="F15" s="86" t="inlineStr">
        <is>
          <t>CNY</t>
        </is>
      </c>
      <c r="G15" s="87">
        <f>Compare!$B$6</f>
        <v/>
      </c>
      <c r="H15" s="88">
        <f>E15*G15*IF(F15="USD",Compare!$B$8,IF(F15="CNY",Compare!$B$9,IF(F15="HKD",Compare!$B$10,1)))</f>
        <v/>
      </c>
      <c r="I15" s="89">
        <f>E15</f>
        <v/>
      </c>
      <c r="J15" s="87">
        <f>Compare!$B$7</f>
        <v/>
      </c>
      <c r="K15" s="88">
        <f>I15*J15*IF(F15="USD",Compare!$B$8,IF(F15="CNY",Compare!$B$9,IF(F15="HKD",Compare!$B$10,1)))</f>
        <v/>
      </c>
      <c r="L15" s="112" t="inlineStr">
        <is>
          <t>12306 (5 Nov query): hard seat ¥112 (hard sleeper ¥194). Cheapest train that still makes the 12:55 flight (K96 23:39 ¥102 arrives 11:19 – too late). Lie-flat upgrade: K54 Shenyang North 22:00 → 06:58 hard sleeper ¥171 (+¥59 pp). On sale 1 Nov 09:30 (ChinaTicketOnline confirms 15 Nov).</t>
        </is>
      </c>
    </row>
    <row r="16" s="56">
      <c r="A16" s="79" t="inlineStr">
        <is>
          <t>Accommodation</t>
        </is>
      </c>
      <c r="B16" s="80" t="n"/>
      <c r="C16" s="80" t="n"/>
      <c r="D16" s="80" t="n"/>
      <c r="E16" s="80" t="n"/>
      <c r="F16" s="80" t="n"/>
      <c r="G16" s="80" t="n"/>
      <c r="H16" s="80" t="n"/>
      <c r="I16" s="80" t="n"/>
      <c r="J16" s="80" t="n"/>
      <c r="K16" s="80" t="n"/>
      <c r="L16" s="80" t="n"/>
    </row>
    <row r="17" ht="60" customHeight="1" s="56">
      <c r="B17" s="111" t="inlineStr">
        <is>
          <t>Ji Hotel Sanhao Street, 55 Sanhao St (~940 m to NEU Nanhu, ~15 min walk): 2 Budget Twin rooms, King Koil mattresses, windows, floors 4–16 – a bed each</t>
        </is>
      </c>
      <c r="C17" s="83" t="inlineStr">
        <is>
          <t>14–15 Nov (1 night)</t>
        </is>
      </c>
      <c r="D17" s="84" t="n"/>
      <c r="E17" s="85" t="n">
        <v>457</v>
      </c>
      <c r="F17" s="86" t="inlineStr">
        <is>
          <t>CNY</t>
        </is>
      </c>
      <c r="G17" s="91" t="n">
        <v>1</v>
      </c>
      <c r="H17" s="88">
        <f>E17*G17*IF(F17="USD",Compare!$B$8,IF(F17="CNY",Compare!$B$9,IF(F17="HKD",Compare!$B$10,1)))</f>
        <v/>
      </c>
      <c r="I17" s="85" t="n">
        <v>457</v>
      </c>
      <c r="J17" s="91" t="n">
        <v>1</v>
      </c>
      <c r="K17" s="88">
        <f>I17*J17*IF(F17="USD",Compare!$B$8,IF(F17="CNY",Compare!$B$9,IF(F17="HKD",Compare!$B$10,1)))</f>
        <v/>
      </c>
      <c r="L17" s="112" t="inlineStr">
        <is>
          <t>Trip.com 22 Oct: ¥457 for 2 Budget Twin rooms × 1 night (14–15 Nov) incl. taxes, free cancellation until 18:00 on 13 Nov; same hotel as 'Sleep value' (9.0, King Koil mattresses).</t>
        </is>
      </c>
    </row>
    <row r="18" s="56">
      <c r="A18" s="79" t="inlineStr">
        <is>
          <t>Meals &amp; local transport</t>
        </is>
      </c>
      <c r="B18" s="80" t="n"/>
      <c r="C18" s="80" t="n"/>
      <c r="D18" s="80" t="n"/>
      <c r="E18" s="80" t="n"/>
      <c r="F18" s="80" t="n"/>
      <c r="G18" s="80" t="n"/>
      <c r="H18" s="80" t="n"/>
      <c r="I18" s="80" t="n"/>
      <c r="J18" s="80" t="n"/>
      <c r="K18" s="80" t="n"/>
      <c r="L18" s="80" t="n"/>
    </row>
    <row r="19" ht="30" customHeight="1" s="56">
      <c r="B19" s="111" t="inlineStr">
        <is>
          <t>Meals</t>
        </is>
      </c>
      <c r="C19" s="83" t="inlineStr">
        <is>
          <t>in destination</t>
        </is>
      </c>
      <c r="D19" s="84" t="n"/>
      <c r="E19" s="113" t="n">
        <v>80</v>
      </c>
      <c r="F19" s="86" t="inlineStr">
        <is>
          <t>CNY</t>
        </is>
      </c>
      <c r="G19" s="87">
        <f>Compare!$B$6*$B$4</f>
        <v/>
      </c>
      <c r="H19" s="88">
        <f>E19*G19*IF(F19="USD",Compare!$B$8,IF(F19="CNY",Compare!$B$9,IF(F19="HKD",Compare!$B$10,1)))</f>
        <v/>
      </c>
      <c r="I19" s="114">
        <f>E19</f>
        <v/>
      </c>
      <c r="J19" s="87">
        <f>Compare!$B$7*$B$4</f>
        <v/>
      </c>
      <c r="K19" s="88">
        <f>I19*J19*IF(F19="USD",Compare!$B$8,IF(F19="CNY",Compare!$B$9,IF(F19="HKD",Compare!$B$10,1)))</f>
        <v/>
      </c>
      <c r="L19" s="112" t="inlineStr">
        <is>
          <t>ASSUMPTION 80 CNY/person/day; hosts usually provide some meals on contest days</t>
        </is>
      </c>
    </row>
    <row r="20" ht="30" customHeight="1" s="56">
      <c r="B20" s="111" t="inlineStr">
        <is>
          <t>Local transport (metro, taxis)</t>
        </is>
      </c>
      <c r="C20" s="83" t="inlineStr">
        <is>
          <t>in destination</t>
        </is>
      </c>
      <c r="D20" s="84" t="n"/>
      <c r="E20" s="113" t="n">
        <v>30</v>
      </c>
      <c r="F20" s="86" t="inlineStr">
        <is>
          <t>CNY</t>
        </is>
      </c>
      <c r="G20" s="87">
        <f>Compare!$B$6*$B$4</f>
        <v/>
      </c>
      <c r="H20" s="88">
        <f>E20*G20*IF(F20="USD",Compare!$B$8,IF(F20="CNY",Compare!$B$9,IF(F20="HKD",Compare!$B$10,1)))</f>
        <v/>
      </c>
      <c r="I20" s="114">
        <f>E20</f>
        <v/>
      </c>
      <c r="J20" s="87">
        <f>Compare!$B$7*$B$4</f>
        <v/>
      </c>
      <c r="K20" s="88">
        <f>I20*J20*IF(F20="USD",Compare!$B$8,IF(F20="CNY",Compare!$B$9,IF(F20="HKD",Compare!$B$10,1)))</f>
        <v/>
      </c>
      <c r="L20" s="112" t="inlineStr">
        <is>
          <t>ASSUMPTION 30 CNY/person/day</t>
        </is>
      </c>
    </row>
    <row r="21" ht="30" customHeight="1" s="56">
      <c r="B21" s="111" t="inlineStr">
        <is>
          <t>Taxi Erenhot airport → Erenhot station</t>
        </is>
      </c>
      <c r="C21" s="83" t="inlineStr">
        <is>
          <t>13 Nov</t>
        </is>
      </c>
      <c r="D21" s="84" t="n"/>
      <c r="E21" s="113" t="n">
        <v>30</v>
      </c>
      <c r="F21" s="86" t="inlineStr">
        <is>
          <t>CNY</t>
        </is>
      </c>
      <c r="G21" s="91" t="n">
        <v>1</v>
      </c>
      <c r="H21" s="88">
        <f>E21*G21*IF(F21="USD",Compare!$B$8,IF(F21="CNY",Compare!$B$9,IF(F21="HKD",Compare!$B$10,1)))</f>
        <v/>
      </c>
      <c r="I21" s="114">
        <f>E21</f>
        <v/>
      </c>
      <c r="J21" s="91" t="n">
        <v>1</v>
      </c>
      <c r="K21" s="88">
        <f>I21*J21*IF(F21="USD",Compare!$B$8,IF(F21="CNY",Compare!$B$9,IF(F21="HKD",Compare!$B$10,1)))</f>
        <v/>
      </c>
      <c r="L21" s="112" t="inlineStr">
        <is>
          <t>ASSUMPTION ~¥30 per car</t>
        </is>
      </c>
    </row>
    <row r="22" ht="30" customHeight="1" s="56">
      <c r="B22" s="111" t="inlineStr">
        <is>
          <t>Metro line 2 + Airport Express, Beijing station → PEK T3</t>
        </is>
      </c>
      <c r="C22" s="83" t="inlineStr">
        <is>
          <t>16 Nov</t>
        </is>
      </c>
      <c r="D22" s="84" t="n"/>
      <c r="E22" s="113" t="n">
        <v>30</v>
      </c>
      <c r="F22" s="86" t="inlineStr">
        <is>
          <t>CNY</t>
        </is>
      </c>
      <c r="G22" s="87">
        <f>Compare!$B$6</f>
        <v/>
      </c>
      <c r="H22" s="88">
        <f>E22*G22*IF(F22="USD",Compare!$B$8,IF(F22="CNY",Compare!$B$9,IF(F22="HKD",Compare!$B$10,1)))</f>
        <v/>
      </c>
      <c r="I22" s="114">
        <f>E22</f>
        <v/>
      </c>
      <c r="J22" s="87">
        <f>Compare!$B$7</f>
        <v/>
      </c>
      <c r="K22" s="88">
        <f>I22*J22*IF(F22="USD",Compare!$B$8,IF(F22="CNY",Compare!$B$9,IF(F22="HKD",Compare!$B$10,1)))</f>
        <v/>
      </c>
      <c r="L22" s="112" t="inlineStr">
        <is>
          <t>ASSUMPTION Airport Express ¥25 + metro ¥4–5 pp</t>
        </is>
      </c>
    </row>
    <row r="23" s="56">
      <c r="A23" s="94" t="inlineStr">
        <is>
          <t>PAID PERSONALLY (university won't cover)</t>
        </is>
      </c>
      <c r="B23" s="95" t="n"/>
      <c r="C23" s="95" t="n"/>
      <c r="D23" s="95" t="n"/>
      <c r="E23" s="95" t="n"/>
      <c r="F23" s="95" t="n"/>
      <c r="G23" s="95" t="n"/>
      <c r="H23" s="95" t="n"/>
      <c r="I23" s="95" t="n"/>
      <c r="J23" s="95" t="n"/>
      <c r="K23" s="95" t="n"/>
      <c r="L23" s="95" t="n"/>
    </row>
    <row r="24" s="56">
      <c r="A24" s="79" t="inlineStr">
        <is>
          <t>Contest fee</t>
        </is>
      </c>
      <c r="B24" s="80" t="n"/>
      <c r="C24" s="80" t="n"/>
      <c r="D24" s="80" t="n"/>
      <c r="E24" s="80" t="n"/>
      <c r="F24" s="80" t="n"/>
      <c r="G24" s="80" t="n"/>
      <c r="H24" s="80" t="n"/>
      <c r="I24" s="80" t="n"/>
      <c r="J24" s="80" t="n"/>
      <c r="K24" s="80" t="n"/>
      <c r="L24" s="80" t="n"/>
    </row>
    <row r="25" ht="30" customHeight="1" s="56">
      <c r="B25" s="111" t="inlineStr">
        <is>
          <t>Shenyang regional registration fee (per team)</t>
        </is>
      </c>
      <c r="C25" s="83" t="inlineStr">
        <is>
          <t>pay when invited</t>
        </is>
      </c>
      <c r="D25" s="84" t="n"/>
      <c r="E25" s="113" t="n">
        <v>1500</v>
      </c>
      <c r="F25" s="86" t="inlineStr">
        <is>
          <t>CNY</t>
        </is>
      </c>
      <c r="G25" s="91" t="n">
        <v>1</v>
      </c>
      <c r="H25" s="88">
        <f>E25*G25*IF(F25="USD",Compare!$B$8,IF(F25="CNY",Compare!$B$9,IF(F25="HKD",Compare!$B$10,1)))</f>
        <v/>
      </c>
      <c r="I25" s="114">
        <f>E25</f>
        <v/>
      </c>
      <c r="J25" s="91" t="n">
        <v>1</v>
      </c>
      <c r="K25" s="88">
        <f>I25*J25*IF(F25="USD",Compare!$B$8,IF(F25="CNY",Compare!$B$9,IF(F25="HKD",Compare!$B$10,1)))</f>
        <v/>
      </c>
      <c r="L25" s="112" t="inlineStr">
        <is>
          <t>ASSUMPTION: 1,500 CNY/team like recent EC regionals; the 2026 Shenyang invitation was not found on 22 Oct</t>
        </is>
      </c>
    </row>
    <row r="26" s="56">
      <c r="A26" s="79" t="inlineStr">
        <is>
          <t>Other</t>
        </is>
      </c>
      <c r="B26" s="80" t="n"/>
      <c r="C26" s="80" t="n"/>
      <c r="D26" s="80" t="n"/>
      <c r="E26" s="80" t="n"/>
      <c r="F26" s="80" t="n"/>
      <c r="G26" s="80" t="n"/>
      <c r="H26" s="80" t="n"/>
      <c r="I26" s="80" t="n"/>
      <c r="J26" s="80" t="n"/>
      <c r="K26" s="80" t="n"/>
      <c r="L26" s="80" t="n"/>
    </row>
    <row r="27" ht="30" customHeight="1" s="56">
      <c r="B27" s="111" t="inlineStr">
        <is>
          <t>Taxi to/from Chinggis Khaan airport (UB), per trip</t>
        </is>
      </c>
      <c r="C27" s="83" t="inlineStr">
        <is>
          <t>out &amp; back</t>
        </is>
      </c>
      <c r="D27" s="84" t="n">
        <v>0.04166666666666666</v>
      </c>
      <c r="E27" s="113" t="n">
        <v>100000</v>
      </c>
      <c r="F27" s="86" t="inlineStr">
        <is>
          <t>MNT</t>
        </is>
      </c>
      <c r="G27" s="91" t="n">
        <v>2</v>
      </c>
      <c r="H27" s="88">
        <f>E27*G27*IF(F27="USD",Compare!$B$8,IF(F27="CNY",Compare!$B$9,IF(F27="HKD",Compare!$B$10,1)))</f>
        <v/>
      </c>
      <c r="I27" s="114">
        <f>E27</f>
        <v/>
      </c>
      <c r="J27" s="91" t="n">
        <v>2</v>
      </c>
      <c r="K27" s="88">
        <f>I27*J27*IF(F27="USD",Compare!$B$8,IF(F27="CNY",Compare!$B$9,IF(F27="HKD",Compare!$B$10,1)))</f>
        <v/>
      </c>
      <c r="L27" s="112" t="inlineStr">
        <is>
          <t>ASSUMPTION 100k MNT per trip for the group</t>
        </is>
      </c>
    </row>
    <row r="28" ht="30" customHeight="1" s="56">
      <c r="B28" s="111" t="inlineStr">
        <is>
          <t>Travel medical insurance</t>
        </is>
      </c>
      <c r="C28" s="83" t="n"/>
      <c r="D28" s="84" t="n"/>
      <c r="E28" s="113" t="n">
        <v>30000</v>
      </c>
      <c r="F28" s="86" t="inlineStr">
        <is>
          <t>MNT</t>
        </is>
      </c>
      <c r="G28" s="87">
        <f>Compare!$B$6</f>
        <v/>
      </c>
      <c r="H28" s="88">
        <f>E28*G28*IF(F28="USD",Compare!$B$8,IF(F28="CNY",Compare!$B$9,IF(F28="HKD",Compare!$B$10,1)))</f>
        <v/>
      </c>
      <c r="I28" s="114">
        <f>E28</f>
        <v/>
      </c>
      <c r="J28" s="87">
        <f>Compare!$B$7</f>
        <v/>
      </c>
      <c r="K28" s="88">
        <f>I28*J28*IF(F28="USD",Compare!$B$8,IF(F28="CNY",Compare!$B$9,IF(F28="HKD",Compare!$B$10,1)))</f>
        <v/>
      </c>
      <c r="L28" s="112" t="inlineStr">
        <is>
          <t>ASSUMPTION ~30k MNT per person, Mongolian insurer</t>
        </is>
      </c>
    </row>
    <row r="29" ht="30" customHeight="1" s="56">
      <c r="B29" s="111" t="inlineStr">
        <is>
          <t>Mobile data eSIM</t>
        </is>
      </c>
      <c r="C29" s="83" t="n"/>
      <c r="D29" s="84" t="n"/>
      <c r="E29" s="113" t="n">
        <v>10</v>
      </c>
      <c r="F29" s="86" t="inlineStr">
        <is>
          <t>USD</t>
        </is>
      </c>
      <c r="G29" s="87">
        <f>Compare!$B$6</f>
        <v/>
      </c>
      <c r="H29" s="88">
        <f>E29*G29*IF(F29="USD",Compare!$B$8,IF(F29="CNY",Compare!$B$9,IF(F29="HKD",Compare!$B$10,1)))</f>
        <v/>
      </c>
      <c r="I29" s="114">
        <f>E29</f>
        <v/>
      </c>
      <c r="J29" s="87">
        <f>Compare!$B$7</f>
        <v/>
      </c>
      <c r="K29" s="88">
        <f>I29*J29*IF(F29="USD",Compare!$B$8,IF(F29="CNY",Compare!$B$9,IF(F29="HKD",Compare!$B$10,1)))</f>
        <v/>
      </c>
      <c r="L29" s="112" t="inlineStr">
        <is>
          <t>ASSUMPTION ~$10 pp</t>
        </is>
      </c>
    </row>
    <row r="30" ht="30" customHeight="1" s="56">
      <c r="B30" s="111" t="inlineStr">
        <is>
          <t>Visa</t>
        </is>
      </c>
      <c r="C30" s="83" t="n"/>
      <c r="D30" s="84" t="n"/>
      <c r="E30" s="85" t="n">
        <v>0</v>
      </c>
      <c r="F30" s="86" t="inlineStr">
        <is>
          <t>MNT</t>
        </is>
      </c>
      <c r="G30" s="87">
        <f>Compare!$B$6</f>
        <v/>
      </c>
      <c r="H30" s="88">
        <f>E30*G30*IF(F30="USD",Compare!$B$8,IF(F30="CNY",Compare!$B$9,IF(F30="HKD",Compare!$B$10,1)))</f>
        <v/>
      </c>
      <c r="I30" s="89">
        <f>E30</f>
        <v/>
      </c>
      <c r="J30" s="87">
        <f>Compare!$B$7</f>
        <v/>
      </c>
      <c r="K30" s="88">
        <f>I30*J30*IF(F30="USD",Compare!$B$8,IF(F30="CNY",Compare!$B$9,IF(F30="HKD",Compare!$B$10,1)))</f>
        <v/>
      </c>
      <c r="L30" s="112" t="inlineStr">
        <is>
          <t>Mongolian passports: visa-free (mainland China up to 30 days; Hong Kong up to 14 days)</t>
        </is>
      </c>
    </row>
    <row r="31" s="56"/>
    <row r="32" s="56">
      <c r="G32" s="60" t="n"/>
      <c r="H32" s="96" t="inlineStr">
        <is>
          <t>3 people – UNFUNDED</t>
        </is>
      </c>
      <c r="K32" s="96" t="inlineStr">
        <is>
          <t>4 people – FUNDED ₮12M</t>
        </is>
      </c>
    </row>
    <row r="33" s="56">
      <c r="G33" s="97" t="inlineStr">
        <is>
          <t>University-paid subtotal</t>
        </is>
      </c>
      <c r="H33" s="98">
        <f>SUM(H9:H22)</f>
        <v/>
      </c>
      <c r="K33" s="98">
        <f>SUM(K9:K22)</f>
        <v/>
      </c>
    </row>
    <row r="34" s="56">
      <c r="G34" s="99" t="inlineStr">
        <is>
          <t>Contingency</t>
        </is>
      </c>
      <c r="H34" s="100">
        <f>H33*Compare!$B$11</f>
        <v/>
      </c>
      <c r="K34" s="100">
        <f>K33*Compare!$B$11</f>
        <v/>
      </c>
    </row>
    <row r="35" s="56">
      <c r="G35" s="97" t="inlineStr">
        <is>
          <t>University-paid total incl. contingency</t>
        </is>
      </c>
      <c r="H35" s="98">
        <f>H33+H34</f>
        <v/>
      </c>
      <c r="K35" s="98">
        <f>K33+K34</f>
        <v/>
      </c>
    </row>
    <row r="36" s="56">
      <c r="G36" s="97" t="inlineStr">
        <is>
          <t>Funding left (negative = over)</t>
        </is>
      </c>
      <c r="H36" s="101">
        <f>Compare!$B$12-H35</f>
        <v/>
      </c>
      <c r="K36" s="101">
        <f>Compare!$B$5-K35</f>
        <v/>
      </c>
    </row>
    <row r="37" s="56">
      <c r="G37" s="97" t="inlineStr">
        <is>
          <t>Personal costs – team</t>
        </is>
      </c>
      <c r="H37" s="102">
        <f>SUM(H24:H30)</f>
        <v/>
      </c>
      <c r="K37" s="102">
        <f>SUM(K24:K30)</f>
        <v/>
      </c>
    </row>
    <row r="38" s="56">
      <c r="G38" s="97" t="inlineStr">
        <is>
          <t>Out-of-pocket per person (personal + any overrun)</t>
        </is>
      </c>
      <c r="H38" s="102">
        <f>(H37+MAX(0,-H36))/Compare!$B$6</f>
        <v/>
      </c>
      <c r="K38" s="102">
        <f>(K37+MAX(0,-K36))/Compare!$B$7</f>
        <v/>
      </c>
    </row>
    <row r="39" s="56">
      <c r="G39" s="97" t="inlineStr">
        <is>
          <t>Whole trip cost (university + personal)</t>
        </is>
      </c>
      <c r="H39" s="103">
        <f>H35+H37</f>
        <v/>
      </c>
      <c r="K39" s="103">
        <f>K35+K37</f>
        <v/>
      </c>
    </row>
    <row r="40" s="56">
      <c r="G40" s="99" t="inlineStr">
        <is>
          <t>Time in planes &amp; trains</t>
        </is>
      </c>
      <c r="H40" s="104">
        <f>SUM(D10:D11)+SUM(D13:D15)</f>
        <v/>
      </c>
      <c r="K40" s="104">
        <f>SUM(D10:D11)+SUM(D13:D15)</f>
        <v/>
      </c>
    </row>
    <row r="41" s="56"/>
    <row r="42" s="56">
      <c r="A42" s="72" t="inlineStr">
        <is>
          <t>Key facts</t>
        </is>
      </c>
    </row>
    <row r="43" ht="30" customHeight="1" s="56">
      <c r="A43" s="75" t="inlineStr">
        <is>
          <t>Contest</t>
        </is>
      </c>
      <c r="B43" s="74" t="inlineStr">
        <is>
          <t>Asia Shenyang Regional, 14–15 Nov 2026 (provisional; the 2026 invitation was not found on 22 Oct), Northeastern University Nanhu campus (2024 and 2025 venue). Assumed: day 1 registration + practice, contest 15 Nov 09:00–14:00, awards ~17:00.</t>
        </is>
      </c>
    </row>
    <row r="44" ht="45" customHeight="1" s="56">
      <c r="A44" s="75" t="inlineStr">
        <is>
          <t>Why this plan</t>
        </is>
      </c>
      <c r="B44" s="74" t="inlineStr">
        <is>
          <t>Flies over the border instead of the jeep: ~₮0.61M per person, the same trains as the overland plans. Cheaper way out than the Air China + G153 route of 'Sleep value' (₮0.91M per person); the rest of the trip is the same (Ji Hotel twin rooms, K28 hard seat + Air China 12:55 home), with hotel nights set by the arrival time.</t>
        </is>
      </c>
    </row>
    <row r="45" ht="30" customHeight="1" s="56">
      <c r="A45" s="75" t="inlineStr">
        <is>
          <t>Trade-off</t>
        </is>
      </c>
      <c r="B45" s="74" t="inlineStr">
        <is>
          <t>Wake ~05:30 for the 08:45 flight, then a seated night on T301 before day 1 (POOR for sleep). Costs ~₮0.42M pp more than the overland seats for a safer border crossing.</t>
        </is>
      </c>
    </row>
    <row r="46" ht="15" customHeight="1" s="56">
      <c r="A46" s="75" t="inlineStr">
        <is>
          <t>Book</t>
        </is>
      </c>
      <c r="B46" s="74" t="inlineStr">
        <is>
          <t>Hunnu on SlickTrip / Ctrip now; 4654 and T301 on 12306 at 15:00 on 30 Oct; K28 on 12306 at 09:30 on 1 Nov; Air China home on Trip.com.</t>
        </is>
      </c>
    </row>
    <row r="47" s="56"/>
    <row r="48" s="56">
      <c r="A48" s="72" t="inlineStr">
        <is>
          <t>Day-by-day plan</t>
        </is>
      </c>
    </row>
    <row r="49" s="56">
      <c r="A49" s="96" t="inlineStr">
        <is>
          <t>Date</t>
        </is>
      </c>
      <c r="B49" s="96" t="inlineStr">
        <is>
          <t>Sleep in</t>
        </is>
      </c>
      <c r="C49" s="96" t="inlineStr">
        <is>
          <t>What happens</t>
        </is>
      </c>
    </row>
    <row r="50" ht="15" customHeight="1" s="56">
      <c r="A50" s="74" t="inlineStr">
        <is>
          <t>Fri 13 Nov</t>
        </is>
      </c>
      <c r="B50" s="74" t="inlineStr">
        <is>
          <t>Train (seat)</t>
        </is>
      </c>
      <c r="C50" s="74" t="inlineStr">
        <is>
          <t>Hunnu MR861 UB 08:45 → Erenhot 10:00; taxi to Erenhot station; 4654 12:45 → Jining South 18:11; T301 19:30 → Shenyang (overnight).</t>
        </is>
      </c>
    </row>
    <row r="51" ht="15" customHeight="1" s="56">
      <c r="A51" s="74" t="inlineStr">
        <is>
          <t>Sat 14 Nov</t>
        </is>
      </c>
      <c r="B51" s="74" t="inlineStr">
        <is>
          <t>Shenyang</t>
        </is>
      </c>
      <c r="C51" s="74" t="inlineStr">
        <is>
          <t>Taxi from the station to NEU Nanhu for registration and practice; check in at Ji Hotel (twin rooms). Lights out ~22:30.</t>
        </is>
      </c>
    </row>
    <row r="52" ht="30" customHeight="1" s="56">
      <c r="A52" s="74" t="inlineStr">
        <is>
          <t>Sun 15 Nov</t>
        </is>
      </c>
      <c r="B52" s="74" t="inlineStr">
        <is>
          <t>Train (seat)</t>
        </is>
      </c>
      <c r="C52" s="74" t="inlineStr">
        <is>
          <t>CONTEST. Wake ~06:50, walk ~15 min. Check out before leaving, luggage stored at the hotel. Awards ~17:00; taxi to Shenyang station; K28 22:24 hard seat → Beijing 08:40.</t>
        </is>
      </c>
    </row>
    <row r="53" ht="15" customHeight="1" s="56">
      <c r="A53" s="74" t="inlineStr">
        <is>
          <t>Mon 16 Nov</t>
        </is>
      </c>
      <c r="B53" s="74" t="inlineStr">
        <is>
          <t>Home</t>
        </is>
      </c>
      <c r="C53" s="74" t="inlineStr">
        <is>
          <t>Metro line 2 + Airport Express to PEK T3 (~1 h). Air China 12:55 → UB 15:05.</t>
        </is>
      </c>
    </row>
    <row r="54" s="56"/>
    <row r="55" s="56">
      <c r="A55" s="72" t="inlineStr">
        <is>
          <t>Door-to-door travel times</t>
        </is>
      </c>
    </row>
    <row r="56" s="56">
      <c r="A56" s="96" t="inlineStr">
        <is>
          <t>Date</t>
        </is>
      </c>
      <c r="B56" s="96" t="inlineStr">
        <is>
          <t>Leg</t>
        </is>
      </c>
      <c r="C56" s="96" t="inlineStr">
        <is>
          <t>Mode</t>
        </is>
      </c>
      <c r="D56" s="96" t="inlineStr">
        <is>
          <t>Expected time</t>
        </is>
      </c>
      <c r="E56" s="96" t="inlineStr">
        <is>
          <t>Notes</t>
        </is>
      </c>
    </row>
    <row r="57" s="56">
      <c r="A57" s="105" t="inlineStr">
        <is>
          <t>13 Nov</t>
        </is>
      </c>
      <c r="B57" s="105" t="inlineStr">
        <is>
          <t>Home → Chinggis Khaan airport</t>
        </is>
      </c>
      <c r="C57" s="82" t="inlineStr">
        <is>
          <t>Taxi (~50 km)</t>
        </is>
      </c>
      <c r="D57" s="104" t="n">
        <v>0.04166666666666666</v>
      </c>
      <c r="E57" s="106" t="inlineStr">
        <is>
          <t>Leave ~06:15</t>
        </is>
      </c>
      <c r="F57" s="107" t="n"/>
      <c r="G57" s="107" t="n"/>
      <c r="H57" s="107" t="n"/>
      <c r="I57" s="107" t="n"/>
      <c r="J57" s="107" t="n"/>
      <c r="K57" s="107" t="n"/>
      <c r="L57" s="107" t="n"/>
    </row>
    <row r="58" s="56">
      <c r="A58" s="105" t="inlineStr">
        <is>
          <t>13 Nov</t>
        </is>
      </c>
      <c r="B58" s="105" t="inlineStr">
        <is>
          <t>Ulaanbaatar → Erenhot</t>
        </is>
      </c>
      <c r="C58" s="82" t="inlineStr">
        <is>
          <t>Hunnu MR861 08:45–10:00</t>
        </is>
      </c>
      <c r="D58" s="104" t="n">
        <v>0.05208333333333334</v>
      </c>
      <c r="E58" s="106" t="n"/>
      <c r="F58" s="107" t="n"/>
      <c r="G58" s="107" t="n"/>
      <c r="H58" s="107" t="n"/>
      <c r="I58" s="107" t="n"/>
      <c r="J58" s="107" t="n"/>
      <c r="K58" s="107" t="n"/>
      <c r="L58" s="107" t="n"/>
    </row>
    <row r="59" s="56">
      <c r="A59" s="105" t="inlineStr">
        <is>
          <t>13 Nov</t>
        </is>
      </c>
      <c r="B59" s="105" t="inlineStr">
        <is>
          <t>Erenhot arrival + taxi to the station</t>
        </is>
      </c>
      <c r="C59" s="82" t="inlineStr">
        <is>
          <t>Taxi</t>
        </is>
      </c>
      <c r="D59" s="104" t="n">
        <v>0.03125</v>
      </c>
      <c r="E59" s="106" t="inlineStr">
        <is>
          <t>Estimate</t>
        </is>
      </c>
      <c r="F59" s="107" t="n"/>
      <c r="G59" s="107" t="n"/>
      <c r="H59" s="107" t="n"/>
      <c r="I59" s="107" t="n"/>
      <c r="J59" s="107" t="n"/>
      <c r="K59" s="107" t="n"/>
      <c r="L59" s="107" t="n"/>
    </row>
    <row r="60" s="56">
      <c r="A60" s="105" t="inlineStr">
        <is>
          <t>13 Nov</t>
        </is>
      </c>
      <c r="B60" s="105" t="inlineStr">
        <is>
          <t>Erenhot → Jining South</t>
        </is>
      </c>
      <c r="C60" s="82" t="inlineStr">
        <is>
          <t>4654 hard seat 12:45–18:11</t>
        </is>
      </c>
      <c r="D60" s="104" t="n">
        <v>0.2263888888888889</v>
      </c>
      <c r="E60" s="106" t="n"/>
      <c r="F60" s="107" t="n"/>
      <c r="G60" s="107" t="n"/>
      <c r="H60" s="107" t="n"/>
      <c r="I60" s="107" t="n"/>
      <c r="J60" s="107" t="n"/>
      <c r="K60" s="107" t="n"/>
      <c r="L60" s="107" t="n"/>
    </row>
    <row r="61" s="56">
      <c r="A61" s="105" t="inlineStr">
        <is>
          <t>13–14 Nov</t>
        </is>
      </c>
      <c r="B61" s="105" t="inlineStr">
        <is>
          <t>Jining South → Shenyang</t>
        </is>
      </c>
      <c r="C61" s="82" t="inlineStr">
        <is>
          <t>T301 hard seat 19:30–10:16</t>
        </is>
      </c>
      <c r="D61" s="104" t="n">
        <v>0.6152777777777778</v>
      </c>
      <c r="E61" s="106" t="inlineStr">
        <is>
          <t>Overnight</t>
        </is>
      </c>
      <c r="F61" s="107" t="n"/>
      <c r="G61" s="107" t="n"/>
      <c r="H61" s="107" t="n"/>
      <c r="I61" s="107" t="n"/>
      <c r="J61" s="107" t="n"/>
      <c r="K61" s="107" t="n"/>
      <c r="L61" s="107" t="n"/>
    </row>
    <row r="62" s="56">
      <c r="A62" s="105" t="inlineStr">
        <is>
          <t>14 Nov</t>
        </is>
      </c>
      <c r="B62" s="105" t="inlineStr">
        <is>
          <t>Shenyang station → NEU Nanhu</t>
        </is>
      </c>
      <c r="C62" s="82" t="inlineStr">
        <is>
          <t>Taxi</t>
        </is>
      </c>
      <c r="D62" s="104" t="n">
        <v>0.01388888888888889</v>
      </c>
      <c r="E62" s="106" t="inlineStr">
        <is>
          <t>Registration day</t>
        </is>
      </c>
      <c r="F62" s="107" t="n"/>
      <c r="G62" s="107" t="n"/>
      <c r="H62" s="107" t="n"/>
      <c r="I62" s="107" t="n"/>
      <c r="J62" s="107" t="n"/>
      <c r="K62" s="107" t="n"/>
      <c r="L62" s="107" t="n"/>
    </row>
    <row r="63" s="56">
      <c r="A63" s="105" t="inlineStr">
        <is>
          <t>15 Nov</t>
        </is>
      </c>
      <c r="B63" s="105" t="inlineStr">
        <is>
          <t>NEU Nanhu → Shenyang station</t>
        </is>
      </c>
      <c r="C63" s="82" t="inlineStr">
        <is>
          <t>Taxi</t>
        </is>
      </c>
      <c r="D63" s="104" t="n">
        <v>0.01388888888888889</v>
      </c>
      <c r="E63" s="106" t="n"/>
      <c r="F63" s="107" t="n"/>
      <c r="G63" s="107" t="n"/>
      <c r="H63" s="107" t="n"/>
      <c r="I63" s="107" t="n"/>
      <c r="J63" s="107" t="n"/>
      <c r="K63" s="107" t="n"/>
      <c r="L63" s="107" t="n"/>
    </row>
    <row r="64" s="56">
      <c r="A64" s="105" t="inlineStr">
        <is>
          <t>15–16 Nov</t>
        </is>
      </c>
      <c r="B64" s="105" t="inlineStr">
        <is>
          <t>Shenyang → Beijing</t>
        </is>
      </c>
      <c r="C64" s="82" t="inlineStr">
        <is>
          <t>K28 hard seat 22:24–08:40</t>
        </is>
      </c>
      <c r="D64" s="104" t="n">
        <v>0.4277777777777778</v>
      </c>
      <c r="E64" s="106" t="inlineStr">
        <is>
          <t>Overnight, after the contest</t>
        </is>
      </c>
      <c r="F64" s="107" t="n"/>
      <c r="G64" s="107" t="n"/>
      <c r="H64" s="107" t="n"/>
      <c r="I64" s="107" t="n"/>
      <c r="J64" s="107" t="n"/>
      <c r="K64" s="107" t="n"/>
      <c r="L64" s="107" t="n"/>
    </row>
    <row r="65" s="56">
      <c r="A65" s="105" t="inlineStr">
        <is>
          <t>16 Nov</t>
        </is>
      </c>
      <c r="B65" s="105" t="inlineStr">
        <is>
          <t>Beijing station → PEK</t>
        </is>
      </c>
      <c r="C65" s="82" t="inlineStr">
        <is>
          <t>Metro line 2 + Airport Express</t>
        </is>
      </c>
      <c r="D65" s="104" t="n">
        <v>0.04166666666666666</v>
      </c>
      <c r="E65" s="106" t="inlineStr">
        <is>
          <t>Be at PEK by ~10:55</t>
        </is>
      </c>
      <c r="F65" s="107" t="n"/>
      <c r="G65" s="107" t="n"/>
      <c r="H65" s="107" t="n"/>
      <c r="I65" s="107" t="n"/>
      <c r="J65" s="107" t="n"/>
      <c r="K65" s="107" t="n"/>
      <c r="L65" s="107" t="n"/>
    </row>
    <row r="66" s="56">
      <c r="A66" s="105" t="inlineStr">
        <is>
          <t>16 Nov</t>
        </is>
      </c>
      <c r="B66" s="105" t="inlineStr">
        <is>
          <t>Beijing (PEK) → Ulaanbaatar</t>
        </is>
      </c>
      <c r="C66" s="82" t="inlineStr">
        <is>
          <t>Air China 12:55–15:05</t>
        </is>
      </c>
      <c r="D66" s="104" t="n">
        <v>0.09027777777777778</v>
      </c>
      <c r="E66" s="106" t="n"/>
      <c r="F66" s="107" t="n"/>
      <c r="G66" s="107" t="n"/>
      <c r="H66" s="107" t="n"/>
      <c r="I66" s="107" t="n"/>
      <c r="J66" s="107" t="n"/>
      <c r="K66" s="107" t="n"/>
      <c r="L66" s="107" t="n"/>
    </row>
    <row r="67" s="56">
      <c r="A67" s="105" t="inlineStr">
        <is>
          <t>16 Nov</t>
        </is>
      </c>
      <c r="B67" s="105" t="inlineStr">
        <is>
          <t>Chinggis Khaan airport → home</t>
        </is>
      </c>
      <c r="C67" s="82" t="inlineStr">
        <is>
          <t>Taxi</t>
        </is>
      </c>
      <c r="D67" s="104" t="n">
        <v>0.04166666666666666</v>
      </c>
      <c r="E67" s="106" t="n"/>
      <c r="F67" s="107" t="n"/>
      <c r="G67" s="107" t="n"/>
      <c r="H67" s="107" t="n"/>
      <c r="I67" s="107" t="n"/>
      <c r="J67" s="107" t="n"/>
      <c r="K67" s="107" t="n"/>
      <c r="L67" s="107" t="n"/>
    </row>
    <row r="68" s="56"/>
    <row r="69" s="56">
      <c r="C69" s="59" t="inlineStr">
        <is>
          <t>Total door-to-door</t>
        </is>
      </c>
      <c r="D69" s="109">
        <f>SUM(D57:D67)</f>
        <v/>
      </c>
    </row>
    <row r="70" s="56"/>
    <row r="71" s="56"/>
  </sheetData>
  <mergeCells count="19">
    <mergeCell ref="E58:L58"/>
    <mergeCell ref="C52:L52"/>
    <mergeCell ref="E62:L62"/>
    <mergeCell ref="B46:L46"/>
    <mergeCell ref="E67:L67"/>
    <mergeCell ref="B43:L43"/>
    <mergeCell ref="C53:L53"/>
    <mergeCell ref="E64:L64"/>
    <mergeCell ref="E63:L63"/>
    <mergeCell ref="E60:L60"/>
    <mergeCell ref="E65:L65"/>
    <mergeCell ref="B44:L44"/>
    <mergeCell ref="E59:L59"/>
    <mergeCell ref="C50:L50"/>
    <mergeCell ref="E61:L61"/>
    <mergeCell ref="E57:L57"/>
    <mergeCell ref="E66:L66"/>
    <mergeCell ref="C51:L51"/>
    <mergeCell ref="B45:L4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72"/>
  <sheetViews>
    <sheetView workbookViewId="0">
      <selection activeCell="A1" sqref="A1"/>
    </sheetView>
  </sheetViews>
  <sheetFormatPr baseColWidth="8" defaultRowHeight="15"/>
  <cols>
    <col width="26" customWidth="1" style="56" min="1" max="1"/>
    <col width="52" customWidth="1" style="56" min="2" max="2"/>
    <col width="20" customWidth="1" style="56" min="3" max="3"/>
    <col width="15" customWidth="1" style="56" min="4" max="4"/>
    <col width="13" customWidth="1" style="56" min="5" max="5"/>
    <col width="9" customWidth="1" style="56" min="6" max="6"/>
    <col width="17" customWidth="1" style="56" min="8" max="8"/>
    <col width="13" customWidth="1" style="56" min="9" max="9"/>
    <col width="9" customWidth="1" style="56" min="10" max="10"/>
    <col width="17" customWidth="1" style="56" min="11" max="11"/>
    <col width="58" customWidth="1" style="56" min="12" max="12"/>
  </cols>
  <sheetData>
    <row r="1" ht="17.35" customHeight="1" s="56">
      <c r="A1" s="57" t="inlineStr">
        <is>
          <t>Shenyang – Hohhot red-eye</t>
        </is>
      </c>
    </row>
    <row r="2" ht="15" customHeight="1" s="56">
      <c r="A2" s="62" t="inlineStr">
        <is>
          <t>MIAT red-eye to Hohhot (Wed 11 Nov 22:25), a short hotel night, T304 overnight to Shenyang in a hard seat; two hotel nights before the contest; K28 seat + Air China home.</t>
        </is>
      </c>
    </row>
    <row r="4" ht="15" customHeight="1" s="56">
      <c r="A4" s="60" t="inlineStr">
        <is>
          <t>Days in destination (meals &amp; local transport)</t>
        </is>
      </c>
      <c r="B4" s="76" t="n">
        <v>4.5</v>
      </c>
      <c r="C4" s="62" t="inlineStr">
        <is>
          <t>12 Nov → 16 Nov midday</t>
        </is>
      </c>
    </row>
    <row r="5" ht="15" customHeight="1" s="56">
      <c r="A5" s="62" t="inlineStr">
        <is>
          <t>Shared inputs are on the Compare sheet. Scroll down for the day-by-day plan and door-to-door travel times.</t>
        </is>
      </c>
    </row>
    <row r="7" ht="31.5" customHeight="1" s="56">
      <c r="A7" s="66" t="inlineStr">
        <is>
          <t>Category</t>
        </is>
      </c>
      <c r="B7" s="66" t="inlineStr">
        <is>
          <t>Item</t>
        </is>
      </c>
      <c r="C7" s="66" t="inlineStr">
        <is>
          <t>Date</t>
        </is>
      </c>
      <c r="D7" s="66" t="inlineStr">
        <is>
          <t>Travel time</t>
        </is>
      </c>
      <c r="E7" s="66" t="inlineStr">
        <is>
          <t>Unit cost (3 ppl)</t>
        </is>
      </c>
      <c r="F7" s="66" t="inlineStr">
        <is>
          <t>Currency</t>
        </is>
      </c>
      <c r="G7" s="66" t="inlineStr">
        <is>
          <t>Qty (3 ppl)</t>
        </is>
      </c>
      <c r="H7" s="66" t="inlineStr">
        <is>
          <t>Total MNT – 3 people</t>
        </is>
      </c>
      <c r="I7" s="66" t="inlineStr">
        <is>
          <t>Unit cost (4 ppl)</t>
        </is>
      </c>
      <c r="J7" s="66" t="inlineStr">
        <is>
          <t>Qty (4 ppl)</t>
        </is>
      </c>
      <c r="K7" s="66" t="inlineStr">
        <is>
          <t>Total MNT – 4 people</t>
        </is>
      </c>
      <c r="L7" s="66" t="inlineStr">
        <is>
          <t>Source / notes</t>
        </is>
      </c>
    </row>
    <row r="8" s="56">
      <c r="A8" s="77" t="inlineStr">
        <is>
          <t>PAID BY UNIVERSITY</t>
        </is>
      </c>
      <c r="B8" s="78" t="n"/>
      <c r="C8" s="78" t="n"/>
      <c r="D8" s="78" t="n"/>
      <c r="E8" s="78" t="n"/>
      <c r="F8" s="78" t="n"/>
      <c r="G8" s="78" t="n"/>
      <c r="H8" s="78" t="n"/>
      <c r="I8" s="78" t="n"/>
      <c r="J8" s="78" t="n"/>
      <c r="K8" s="78" t="n"/>
      <c r="L8" s="78" t="n"/>
    </row>
    <row r="9" s="56">
      <c r="A9" s="79" t="inlineStr">
        <is>
          <t>Flights</t>
        </is>
      </c>
      <c r="B9" s="80" t="n"/>
      <c r="C9" s="80" t="n"/>
      <c r="D9" s="80" t="n"/>
      <c r="E9" s="80" t="n"/>
      <c r="F9" s="80" t="n"/>
      <c r="G9" s="80" t="n"/>
      <c r="H9" s="80" t="n"/>
      <c r="I9" s="80" t="n"/>
      <c r="J9" s="80" t="n"/>
      <c r="K9" s="80" t="n"/>
      <c r="L9" s="80" t="n"/>
    </row>
    <row r="10" ht="30" customHeight="1" s="56">
      <c r="B10" s="111" t="inlineStr">
        <is>
          <t>MIAT OM257 Ulaanbaatar 22:25 → Hohhot 00:15 (+1), nonstop (red-eye)</t>
        </is>
      </c>
      <c r="C10" s="83" t="inlineStr">
        <is>
          <t>Wed 11 Nov</t>
        </is>
      </c>
      <c r="D10" s="84" t="n">
        <v>0.0763888888888889</v>
      </c>
      <c r="E10" s="85" t="n">
        <v>946</v>
      </c>
      <c r="F10" s="86" t="inlineStr">
        <is>
          <t>CNY</t>
        </is>
      </c>
      <c r="G10" s="87">
        <f>Compare!$B$6</f>
        <v/>
      </c>
      <c r="H10" s="88">
        <f>E10*G10*IF(F10="USD",Compare!$B$8,IF(F10="CNY",Compare!$B$9,IF(F10="HKD",Compare!$B$10,1)))</f>
        <v/>
      </c>
      <c r="I10" s="89">
        <f>E10</f>
        <v/>
      </c>
      <c r="J10" s="87">
        <f>Compare!$B$7</f>
        <v/>
      </c>
      <c r="K10" s="88">
        <f>I10*J10*IF(F10="USD",Compare!$B$8,IF(F10="CNY",Compare!$B$9,IF(F10="HKD",Compare!$B$10,1)))</f>
        <v/>
      </c>
      <c r="L10" s="112" t="inlineStr">
        <is>
          <t>Ctrip 22 Oct: ¥946 on 11 and 13 Nov (SlickTrip $148). Air China CA758 13:00 is ¥1,011.</t>
        </is>
      </c>
    </row>
    <row r="11" ht="39" customHeight="1" s="56">
      <c r="B11" s="111" t="inlineStr">
        <is>
          <t>Air China CA955 Beijing Capital (PEK) 12:55 → Ulaanbaatar 15:05, nonstop</t>
        </is>
      </c>
      <c r="C11" s="83" t="inlineStr">
        <is>
          <t>16 Nov</t>
        </is>
      </c>
      <c r="D11" s="84" t="n">
        <v>0.09027777777777778</v>
      </c>
      <c r="E11" s="85" t="n">
        <v>171</v>
      </c>
      <c r="F11" s="86" t="inlineStr">
        <is>
          <t>USD</t>
        </is>
      </c>
      <c r="G11" s="87">
        <f>Compare!$B$6</f>
        <v/>
      </c>
      <c r="H11" s="88">
        <f>E11*G11*IF(F11="USD",Compare!$B$8,IF(F11="CNY",Compare!$B$9,IF(F11="HKD",Compare!$B$10,1)))</f>
        <v/>
      </c>
      <c r="I11" s="89">
        <f>E11</f>
        <v/>
      </c>
      <c r="J11" s="87">
        <f>Compare!$B$7</f>
        <v/>
      </c>
      <c r="K11" s="88">
        <f>I11*J11*IF(F11="USD",Compare!$B$8,IF(F11="CNY",Compare!$B$9,IF(F11="HKD",Compare!$B$10,1)))</f>
        <v/>
      </c>
      <c r="L11" s="112" t="inlineStr">
        <is>
          <t>Trip.com 22 Oct: US$171 pp, cheapest that day (MIAT OM224 11:30 US$193 on Trip.com / $176 on SlickTrip; Air China 08:25 $215; Capital + Hunnu via Erenhot $196)</t>
        </is>
      </c>
    </row>
    <row r="12" s="56">
      <c r="A12" s="79" t="inlineStr">
        <is>
          <t>Trains</t>
        </is>
      </c>
      <c r="B12" s="80" t="n"/>
      <c r="C12" s="80" t="n"/>
      <c r="D12" s="80" t="n"/>
      <c r="E12" s="80" t="n"/>
      <c r="F12" s="80" t="n"/>
      <c r="G12" s="80" t="n"/>
      <c r="H12" s="80" t="n"/>
      <c r="I12" s="80" t="n"/>
      <c r="J12" s="80" t="n"/>
      <c r="K12" s="80" t="n"/>
      <c r="L12" s="80" t="n"/>
    </row>
    <row r="13" ht="30" customHeight="1" s="56">
      <c r="B13" s="111" t="inlineStr">
        <is>
          <t>Overnight train T304 Hohhot East 17:36 → Shenyang 10:16, hard seat</t>
        </is>
      </c>
      <c r="C13" s="83" t="inlineStr">
        <is>
          <t>12–13 Nov</t>
        </is>
      </c>
      <c r="D13" s="84" t="n">
        <v>0.6944444444444444</v>
      </c>
      <c r="E13" s="85" t="n">
        <v>173.5</v>
      </c>
      <c r="F13" s="86" t="inlineStr">
        <is>
          <t>CNY</t>
        </is>
      </c>
      <c r="G13" s="87">
        <f>Compare!$B$6</f>
        <v/>
      </c>
      <c r="H13" s="88">
        <f>E13*G13*IF(F13="USD",Compare!$B$8,IF(F13="CNY",Compare!$B$9,IF(F13="HKD",Compare!$B$10,1)))</f>
        <v/>
      </c>
      <c r="I13" s="89">
        <f>E13</f>
        <v/>
      </c>
      <c r="J13" s="87">
        <f>Compare!$B$7</f>
        <v/>
      </c>
      <c r="K13" s="88">
        <f>I13*J13*IF(F13="USD",Compare!$B$8,IF(F13="CNY",Compare!$B$9,IF(F13="HKD",Compare!$B$10,1)))</f>
        <v/>
      </c>
      <c r="L13" s="112" t="inlineStr">
        <is>
          <t>12306 (5 Nov query): seat ¥173.5, hard sleeper ¥296.5, soft ¥464.5. ChinaTicketOnline confirms 12 Nov, on sale 29 Oct 14:00.</t>
        </is>
      </c>
    </row>
    <row r="14" ht="51" customHeight="1" s="56">
      <c r="B14" s="111" t="inlineStr">
        <is>
          <t>Overnight train K28 Shenyang 22:24 → Beijing 08:40, hard seat (after the contest)</t>
        </is>
      </c>
      <c r="C14" s="83" t="inlineStr">
        <is>
          <t>15 Nov (night)</t>
        </is>
      </c>
      <c r="D14" s="84" t="n">
        <v>0.4277777777777778</v>
      </c>
      <c r="E14" s="85" t="n">
        <v>112</v>
      </c>
      <c r="F14" s="86" t="inlineStr">
        <is>
          <t>CNY</t>
        </is>
      </c>
      <c r="G14" s="87">
        <f>Compare!$B$6</f>
        <v/>
      </c>
      <c r="H14" s="88">
        <f>E14*G14*IF(F14="USD",Compare!$B$8,IF(F14="CNY",Compare!$B$9,IF(F14="HKD",Compare!$B$10,1)))</f>
        <v/>
      </c>
      <c r="I14" s="89">
        <f>E14</f>
        <v/>
      </c>
      <c r="J14" s="87">
        <f>Compare!$B$7</f>
        <v/>
      </c>
      <c r="K14" s="88">
        <f>I14*J14*IF(F14="USD",Compare!$B$8,IF(F14="CNY",Compare!$B$9,IF(F14="HKD",Compare!$B$10,1)))</f>
        <v/>
      </c>
      <c r="L14" s="112" t="inlineStr">
        <is>
          <t>12306 (5 Nov query): hard seat ¥112 (hard sleeper ¥194). Cheapest train that still makes the 12:55 flight (K96 23:39 ¥102 arrives 11:19 – too late). Lie-flat upgrade: K54 Shenyang North 22:00 → 06:58 hard sleeper ¥171 (+¥59 pp). On sale 1 Nov 09:30 (ChinaTicketOnline confirms 15 Nov).</t>
        </is>
      </c>
    </row>
    <row r="15" s="56">
      <c r="A15" s="79" t="inlineStr">
        <is>
          <t>Accommodation</t>
        </is>
      </c>
      <c r="B15" s="80" t="n"/>
      <c r="C15" s="80" t="n"/>
      <c r="D15" s="80" t="n"/>
      <c r="E15" s="80" t="n"/>
      <c r="F15" s="80" t="n"/>
      <c r="G15" s="80" t="n"/>
      <c r="H15" s="80" t="n"/>
      <c r="I15" s="80" t="n"/>
      <c r="J15" s="80" t="n"/>
      <c r="K15" s="80" t="n"/>
      <c r="L15" s="80" t="n"/>
    </row>
    <row r="16" ht="30" customHeight="1" s="56">
      <c r="B16" s="111" t="inlineStr">
        <is>
          <t>Budget hotel in Hohhot for the rest of the night after the red-eye</t>
        </is>
      </c>
      <c r="C16" s="83" t="inlineStr">
        <is>
          <t>12 Nov (00:30–noon)</t>
        </is>
      </c>
      <c r="D16" s="84" t="n"/>
      <c r="E16" s="113" t="n">
        <v>200</v>
      </c>
      <c r="F16" s="86" t="inlineStr">
        <is>
          <t>CNY</t>
        </is>
      </c>
      <c r="G16" s="91" t="n">
        <v>1</v>
      </c>
      <c r="H16" s="88">
        <f>E16*G16*IF(F16="USD",Compare!$B$8,IF(F16="CNY",Compare!$B$9,IF(F16="HKD",Compare!$B$10,1)))</f>
        <v/>
      </c>
      <c r="I16" s="113" t="n">
        <v>200</v>
      </c>
      <c r="J16" s="91" t="n">
        <v>2</v>
      </c>
      <c r="K16" s="88">
        <f>I16*J16*IF(F16="USD",Compare!$B$8,IF(F16="CNY",Compare!$B$9,IF(F16="HKD",Compare!$B$10,1)))</f>
        <v/>
      </c>
      <c r="L16" s="112" t="inlineStr">
        <is>
          <t>ASSUMPTION ~¥200 per room (1 room for 3, 2 rooms for 4); not searched</t>
        </is>
      </c>
    </row>
    <row r="17" ht="60" customHeight="1" s="56">
      <c r="B17" s="111" t="inlineStr">
        <is>
          <t>Ji Hotel Sanhao Street, 55 Sanhao St (~940 m to NEU Nanhu, ~15 min walk): 2 Budget Twin rooms, King Koil mattresses, windows, floors 4–16 – a bed each</t>
        </is>
      </c>
      <c r="C17" s="83" t="inlineStr">
        <is>
          <t>13–15 Nov (2 nights)</t>
        </is>
      </c>
      <c r="D17" s="84" t="n"/>
      <c r="E17" s="113" t="n">
        <v>457</v>
      </c>
      <c r="F17" s="86" t="inlineStr">
        <is>
          <t>CNY</t>
        </is>
      </c>
      <c r="G17" s="91" t="n">
        <v>2</v>
      </c>
      <c r="H17" s="88">
        <f>E17*G17*IF(F17="USD",Compare!$B$8,IF(F17="CNY",Compare!$B$9,IF(F17="HKD",Compare!$B$10,1)))</f>
        <v/>
      </c>
      <c r="I17" s="113" t="n">
        <v>457</v>
      </c>
      <c r="J17" s="91" t="n">
        <v>2</v>
      </c>
      <c r="K17" s="88">
        <f>I17*J17*IF(F17="USD",Compare!$B$8,IF(F17="CNY",Compare!$B$9,IF(F17="HKD",Compare!$B$10,1)))</f>
        <v/>
      </c>
      <c r="L17" s="112" t="inlineStr">
        <is>
          <t>ASSUMPTION 2 nights at ¥457 per night for 2 Budget Twin rooms (Trip.com 22 Oct: ¥457 for 14–15 Nov, ¥1,371 for 12–15 Nov).</t>
        </is>
      </c>
    </row>
    <row r="18" s="56">
      <c r="A18" s="79" t="inlineStr">
        <is>
          <t>Meals &amp; local transport</t>
        </is>
      </c>
      <c r="B18" s="80" t="n"/>
      <c r="C18" s="80" t="n"/>
      <c r="D18" s="80" t="n"/>
      <c r="E18" s="80" t="n"/>
      <c r="F18" s="80" t="n"/>
      <c r="G18" s="80" t="n"/>
      <c r="H18" s="80" t="n"/>
      <c r="I18" s="80" t="n"/>
      <c r="J18" s="80" t="n"/>
      <c r="K18" s="80" t="n"/>
      <c r="L18" s="80" t="n"/>
    </row>
    <row r="19" ht="30" customHeight="1" s="56">
      <c r="B19" s="111" t="inlineStr">
        <is>
          <t>Meals</t>
        </is>
      </c>
      <c r="C19" s="83" t="inlineStr">
        <is>
          <t>in destination</t>
        </is>
      </c>
      <c r="D19" s="84" t="n"/>
      <c r="E19" s="113" t="n">
        <v>80</v>
      </c>
      <c r="F19" s="86" t="inlineStr">
        <is>
          <t>CNY</t>
        </is>
      </c>
      <c r="G19" s="87">
        <f>Compare!$B$6*$B$4</f>
        <v/>
      </c>
      <c r="H19" s="88">
        <f>E19*G19*IF(F19="USD",Compare!$B$8,IF(F19="CNY",Compare!$B$9,IF(F19="HKD",Compare!$B$10,1)))</f>
        <v/>
      </c>
      <c r="I19" s="114">
        <f>E19</f>
        <v/>
      </c>
      <c r="J19" s="87">
        <f>Compare!$B$7*$B$4</f>
        <v/>
      </c>
      <c r="K19" s="88">
        <f>I19*J19*IF(F19="USD",Compare!$B$8,IF(F19="CNY",Compare!$B$9,IF(F19="HKD",Compare!$B$10,1)))</f>
        <v/>
      </c>
      <c r="L19" s="112" t="inlineStr">
        <is>
          <t>ASSUMPTION 80 CNY/person/day; hosts usually provide some meals on contest days</t>
        </is>
      </c>
    </row>
    <row r="20" ht="30" customHeight="1" s="56">
      <c r="B20" s="111" t="inlineStr">
        <is>
          <t>Local transport (metro, taxis)</t>
        </is>
      </c>
      <c r="C20" s="83" t="inlineStr">
        <is>
          <t>in destination</t>
        </is>
      </c>
      <c r="D20" s="84" t="n"/>
      <c r="E20" s="113" t="n">
        <v>30</v>
      </c>
      <c r="F20" s="86" t="inlineStr">
        <is>
          <t>CNY</t>
        </is>
      </c>
      <c r="G20" s="87">
        <f>Compare!$B$6*$B$4</f>
        <v/>
      </c>
      <c r="H20" s="88">
        <f>E20*G20*IF(F20="USD",Compare!$B$8,IF(F20="CNY",Compare!$B$9,IF(F20="HKD",Compare!$B$10,1)))</f>
        <v/>
      </c>
      <c r="I20" s="114">
        <f>E20</f>
        <v/>
      </c>
      <c r="J20" s="87">
        <f>Compare!$B$7*$B$4</f>
        <v/>
      </c>
      <c r="K20" s="88">
        <f>I20*J20*IF(F20="USD",Compare!$B$8,IF(F20="CNY",Compare!$B$9,IF(F20="HKD",Compare!$B$10,1)))</f>
        <v/>
      </c>
      <c r="L20" s="112" t="inlineStr">
        <is>
          <t>ASSUMPTION 30 CNY/person/day</t>
        </is>
      </c>
    </row>
    <row r="21" ht="30" customHeight="1" s="56">
      <c r="B21" s="111" t="inlineStr">
        <is>
          <t>Taxis Hohhot airport → hotel → Hohhot East station</t>
        </is>
      </c>
      <c r="C21" s="83" t="inlineStr">
        <is>
          <t>12 Nov</t>
        </is>
      </c>
      <c r="D21" s="84" t="n"/>
      <c r="E21" s="113" t="n">
        <v>60</v>
      </c>
      <c r="F21" s="86" t="inlineStr">
        <is>
          <t>CNY</t>
        </is>
      </c>
      <c r="G21" s="91" t="n">
        <v>1</v>
      </c>
      <c r="H21" s="88">
        <f>E21*G21*IF(F21="USD",Compare!$B$8,IF(F21="CNY",Compare!$B$9,IF(F21="HKD",Compare!$B$10,1)))</f>
        <v/>
      </c>
      <c r="I21" s="114">
        <f>E21</f>
        <v/>
      </c>
      <c r="J21" s="91" t="n">
        <v>1</v>
      </c>
      <c r="K21" s="88">
        <f>I21*J21*IF(F21="USD",Compare!$B$8,IF(F21="CNY",Compare!$B$9,IF(F21="HKD",Compare!$B$10,1)))</f>
        <v/>
      </c>
      <c r="L21" s="112" t="inlineStr">
        <is>
          <t>ASSUMPTION ~¥60 per car for both rides</t>
        </is>
      </c>
    </row>
    <row r="22" ht="30" customHeight="1" s="56">
      <c r="B22" s="111" t="inlineStr">
        <is>
          <t>Metro line 2 + Airport Express, Beijing station → PEK T3</t>
        </is>
      </c>
      <c r="C22" s="83" t="inlineStr">
        <is>
          <t>16 Nov</t>
        </is>
      </c>
      <c r="D22" s="84" t="n"/>
      <c r="E22" s="113" t="n">
        <v>30</v>
      </c>
      <c r="F22" s="86" t="inlineStr">
        <is>
          <t>CNY</t>
        </is>
      </c>
      <c r="G22" s="87">
        <f>Compare!$B$6</f>
        <v/>
      </c>
      <c r="H22" s="88">
        <f>E22*G22*IF(F22="USD",Compare!$B$8,IF(F22="CNY",Compare!$B$9,IF(F22="HKD",Compare!$B$10,1)))</f>
        <v/>
      </c>
      <c r="I22" s="114">
        <f>E22</f>
        <v/>
      </c>
      <c r="J22" s="87">
        <f>Compare!$B$7</f>
        <v/>
      </c>
      <c r="K22" s="88">
        <f>I22*J22*IF(F22="USD",Compare!$B$8,IF(F22="CNY",Compare!$B$9,IF(F22="HKD",Compare!$B$10,1)))</f>
        <v/>
      </c>
      <c r="L22" s="112" t="inlineStr">
        <is>
          <t>ASSUMPTION Airport Express ¥25 + metro ¥4–5 pp</t>
        </is>
      </c>
    </row>
    <row r="23" s="56">
      <c r="A23" s="94" t="inlineStr">
        <is>
          <t>PAID PERSONALLY (university won't cover)</t>
        </is>
      </c>
      <c r="B23" s="95" t="n"/>
      <c r="C23" s="95" t="n"/>
      <c r="D23" s="95" t="n"/>
      <c r="E23" s="95" t="n"/>
      <c r="F23" s="95" t="n"/>
      <c r="G23" s="95" t="n"/>
      <c r="H23" s="95" t="n"/>
      <c r="I23" s="95" t="n"/>
      <c r="J23" s="95" t="n"/>
      <c r="K23" s="95" t="n"/>
      <c r="L23" s="95" t="n"/>
    </row>
    <row r="24" s="56">
      <c r="A24" s="79" t="inlineStr">
        <is>
          <t>Contest fee</t>
        </is>
      </c>
      <c r="B24" s="80" t="n"/>
      <c r="C24" s="80" t="n"/>
      <c r="D24" s="80" t="n"/>
      <c r="E24" s="80" t="n"/>
      <c r="F24" s="80" t="n"/>
      <c r="G24" s="80" t="n"/>
      <c r="H24" s="80" t="n"/>
      <c r="I24" s="80" t="n"/>
      <c r="J24" s="80" t="n"/>
      <c r="K24" s="80" t="n"/>
      <c r="L24" s="80" t="n"/>
    </row>
    <row r="25" ht="30" customHeight="1" s="56">
      <c r="B25" s="111" t="inlineStr">
        <is>
          <t>Shenyang regional registration fee (per team)</t>
        </is>
      </c>
      <c r="C25" s="83" t="inlineStr">
        <is>
          <t>pay when invited</t>
        </is>
      </c>
      <c r="D25" s="84" t="n"/>
      <c r="E25" s="113" t="n">
        <v>1500</v>
      </c>
      <c r="F25" s="86" t="inlineStr">
        <is>
          <t>CNY</t>
        </is>
      </c>
      <c r="G25" s="91" t="n">
        <v>1</v>
      </c>
      <c r="H25" s="88">
        <f>E25*G25*IF(F25="USD",Compare!$B$8,IF(F25="CNY",Compare!$B$9,IF(F25="HKD",Compare!$B$10,1)))</f>
        <v/>
      </c>
      <c r="I25" s="114">
        <f>E25</f>
        <v/>
      </c>
      <c r="J25" s="91" t="n">
        <v>1</v>
      </c>
      <c r="K25" s="88">
        <f>I25*J25*IF(F25="USD",Compare!$B$8,IF(F25="CNY",Compare!$B$9,IF(F25="HKD",Compare!$B$10,1)))</f>
        <v/>
      </c>
      <c r="L25" s="112" t="inlineStr">
        <is>
          <t>ASSUMPTION: 1,500 CNY/team like recent EC regionals; the 2026 Shenyang invitation was not found on 22 Oct</t>
        </is>
      </c>
    </row>
    <row r="26" s="56">
      <c r="A26" s="79" t="inlineStr">
        <is>
          <t>Other</t>
        </is>
      </c>
      <c r="B26" s="80" t="n"/>
      <c r="C26" s="80" t="n"/>
      <c r="D26" s="80" t="n"/>
      <c r="E26" s="80" t="n"/>
      <c r="F26" s="80" t="n"/>
      <c r="G26" s="80" t="n"/>
      <c r="H26" s="80" t="n"/>
      <c r="I26" s="80" t="n"/>
      <c r="J26" s="80" t="n"/>
      <c r="K26" s="80" t="n"/>
      <c r="L26" s="80" t="n"/>
    </row>
    <row r="27" ht="30" customHeight="1" s="56">
      <c r="B27" s="111" t="inlineStr">
        <is>
          <t>Taxi to/from Chinggis Khaan airport (UB), per trip</t>
        </is>
      </c>
      <c r="C27" s="83" t="inlineStr">
        <is>
          <t>out &amp; back</t>
        </is>
      </c>
      <c r="D27" s="84" t="n">
        <v>0.04166666666666666</v>
      </c>
      <c r="E27" s="113" t="n">
        <v>100000</v>
      </c>
      <c r="F27" s="86" t="inlineStr">
        <is>
          <t>MNT</t>
        </is>
      </c>
      <c r="G27" s="91" t="n">
        <v>2</v>
      </c>
      <c r="H27" s="88">
        <f>E27*G27*IF(F27="USD",Compare!$B$8,IF(F27="CNY",Compare!$B$9,IF(F27="HKD",Compare!$B$10,1)))</f>
        <v/>
      </c>
      <c r="I27" s="114">
        <f>E27</f>
        <v/>
      </c>
      <c r="J27" s="91" t="n">
        <v>2</v>
      </c>
      <c r="K27" s="88">
        <f>I27*J27*IF(F27="USD",Compare!$B$8,IF(F27="CNY",Compare!$B$9,IF(F27="HKD",Compare!$B$10,1)))</f>
        <v/>
      </c>
      <c r="L27" s="112" t="inlineStr">
        <is>
          <t>ASSUMPTION 100k MNT per trip for the group</t>
        </is>
      </c>
    </row>
    <row r="28" ht="30" customHeight="1" s="56">
      <c r="B28" s="111" t="inlineStr">
        <is>
          <t>Travel medical insurance</t>
        </is>
      </c>
      <c r="C28" s="83" t="n"/>
      <c r="D28" s="84" t="n"/>
      <c r="E28" s="113" t="n">
        <v>30000</v>
      </c>
      <c r="F28" s="86" t="inlineStr">
        <is>
          <t>MNT</t>
        </is>
      </c>
      <c r="G28" s="87">
        <f>Compare!$B$6</f>
        <v/>
      </c>
      <c r="H28" s="88">
        <f>E28*G28*IF(F28="USD",Compare!$B$8,IF(F28="CNY",Compare!$B$9,IF(F28="HKD",Compare!$B$10,1)))</f>
        <v/>
      </c>
      <c r="I28" s="114">
        <f>E28</f>
        <v/>
      </c>
      <c r="J28" s="87">
        <f>Compare!$B$7</f>
        <v/>
      </c>
      <c r="K28" s="88">
        <f>I28*J28*IF(F28="USD",Compare!$B$8,IF(F28="CNY",Compare!$B$9,IF(F28="HKD",Compare!$B$10,1)))</f>
        <v/>
      </c>
      <c r="L28" s="112" t="inlineStr">
        <is>
          <t>ASSUMPTION ~30k MNT per person, Mongolian insurer</t>
        </is>
      </c>
    </row>
    <row r="29" ht="30" customHeight="1" s="56">
      <c r="B29" s="111" t="inlineStr">
        <is>
          <t>Mobile data eSIM</t>
        </is>
      </c>
      <c r="C29" s="83" t="n"/>
      <c r="D29" s="84" t="n"/>
      <c r="E29" s="113" t="n">
        <v>10</v>
      </c>
      <c r="F29" s="86" t="inlineStr">
        <is>
          <t>USD</t>
        </is>
      </c>
      <c r="G29" s="87">
        <f>Compare!$B$6</f>
        <v/>
      </c>
      <c r="H29" s="88">
        <f>E29*G29*IF(F29="USD",Compare!$B$8,IF(F29="CNY",Compare!$B$9,IF(F29="HKD",Compare!$B$10,1)))</f>
        <v/>
      </c>
      <c r="I29" s="114">
        <f>E29</f>
        <v/>
      </c>
      <c r="J29" s="87">
        <f>Compare!$B$7</f>
        <v/>
      </c>
      <c r="K29" s="88">
        <f>I29*J29*IF(F29="USD",Compare!$B$8,IF(F29="CNY",Compare!$B$9,IF(F29="HKD",Compare!$B$10,1)))</f>
        <v/>
      </c>
      <c r="L29" s="112" t="inlineStr">
        <is>
          <t>ASSUMPTION ~$10 pp</t>
        </is>
      </c>
    </row>
    <row r="30" ht="30" customHeight="1" s="56">
      <c r="B30" s="111" t="inlineStr">
        <is>
          <t>Visa</t>
        </is>
      </c>
      <c r="C30" s="83" t="n"/>
      <c r="D30" s="84" t="n"/>
      <c r="E30" s="85" t="n">
        <v>0</v>
      </c>
      <c r="F30" s="86" t="inlineStr">
        <is>
          <t>MNT</t>
        </is>
      </c>
      <c r="G30" s="87">
        <f>Compare!$B$6</f>
        <v/>
      </c>
      <c r="H30" s="88">
        <f>E30*G30*IF(F30="USD",Compare!$B$8,IF(F30="CNY",Compare!$B$9,IF(F30="HKD",Compare!$B$10,1)))</f>
        <v/>
      </c>
      <c r="I30" s="89">
        <f>E30</f>
        <v/>
      </c>
      <c r="J30" s="87">
        <f>Compare!$B$7</f>
        <v/>
      </c>
      <c r="K30" s="88">
        <f>I30*J30*IF(F30="USD",Compare!$B$8,IF(F30="CNY",Compare!$B$9,IF(F30="HKD",Compare!$B$10,1)))</f>
        <v/>
      </c>
      <c r="L30" s="112" t="inlineStr">
        <is>
          <t>Mongolian passports: visa-free (mainland China up to 30 days; Hong Kong up to 14 days)</t>
        </is>
      </c>
    </row>
    <row r="31" s="56"/>
    <row r="32" s="56">
      <c r="G32" s="60" t="n"/>
      <c r="H32" s="96" t="inlineStr">
        <is>
          <t>3 people – UNFUNDED</t>
        </is>
      </c>
      <c r="K32" s="96" t="inlineStr">
        <is>
          <t>4 people – FUNDED ₮12M</t>
        </is>
      </c>
    </row>
    <row r="33" s="56">
      <c r="G33" s="97" t="inlineStr">
        <is>
          <t>University-paid subtotal</t>
        </is>
      </c>
      <c r="H33" s="98">
        <f>SUM(H9:H22)</f>
        <v/>
      </c>
      <c r="K33" s="98">
        <f>SUM(K9:K22)</f>
        <v/>
      </c>
    </row>
    <row r="34" s="56">
      <c r="G34" s="99" t="inlineStr">
        <is>
          <t>Contingency</t>
        </is>
      </c>
      <c r="H34" s="100">
        <f>H33*Compare!$B$11</f>
        <v/>
      </c>
      <c r="K34" s="100">
        <f>K33*Compare!$B$11</f>
        <v/>
      </c>
    </row>
    <row r="35" s="56">
      <c r="G35" s="97" t="inlineStr">
        <is>
          <t>University-paid total incl. contingency</t>
        </is>
      </c>
      <c r="H35" s="98">
        <f>H33+H34</f>
        <v/>
      </c>
      <c r="K35" s="98">
        <f>K33+K34</f>
        <v/>
      </c>
    </row>
    <row r="36" s="56">
      <c r="G36" s="97" t="inlineStr">
        <is>
          <t>Funding left (negative = over)</t>
        </is>
      </c>
      <c r="H36" s="101">
        <f>Compare!$B$12-H35</f>
        <v/>
      </c>
      <c r="K36" s="101">
        <f>Compare!$B$5-K35</f>
        <v/>
      </c>
    </row>
    <row r="37" s="56">
      <c r="G37" s="97" t="inlineStr">
        <is>
          <t>Personal costs – team</t>
        </is>
      </c>
      <c r="H37" s="102">
        <f>SUM(H24:H30)</f>
        <v/>
      </c>
      <c r="K37" s="102">
        <f>SUM(K24:K30)</f>
        <v/>
      </c>
    </row>
    <row r="38" s="56">
      <c r="G38" s="97" t="inlineStr">
        <is>
          <t>Out-of-pocket per person (personal + any overrun)</t>
        </is>
      </c>
      <c r="H38" s="102">
        <f>(H37+MAX(0,-H36))/Compare!$B$6</f>
        <v/>
      </c>
      <c r="K38" s="102">
        <f>(K37+MAX(0,-K36))/Compare!$B$7</f>
        <v/>
      </c>
    </row>
    <row r="39" s="56">
      <c r="G39" s="97" t="inlineStr">
        <is>
          <t>Whole trip cost (university + personal)</t>
        </is>
      </c>
      <c r="H39" s="103">
        <f>H35+H37</f>
        <v/>
      </c>
      <c r="K39" s="103">
        <f>K35+K37</f>
        <v/>
      </c>
    </row>
    <row r="40" s="56">
      <c r="G40" s="99" t="inlineStr">
        <is>
          <t>Time in planes &amp; trains</t>
        </is>
      </c>
      <c r="H40" s="104">
        <f>SUM(D10:D11)+SUM(D13:D14)</f>
        <v/>
      </c>
      <c r="K40" s="104">
        <f>SUM(D10:D11)+SUM(D13:D14)</f>
        <v/>
      </c>
    </row>
    <row r="41" s="56"/>
    <row r="42" s="56">
      <c r="A42" s="72" t="inlineStr">
        <is>
          <t>Key facts</t>
        </is>
      </c>
    </row>
    <row r="43" ht="30" customHeight="1" s="56">
      <c r="A43" s="75" t="inlineStr">
        <is>
          <t>Contest</t>
        </is>
      </c>
      <c r="B43" s="74" t="inlineStr">
        <is>
          <t>Asia Shenyang Regional, 14–15 Nov 2026 (provisional; the 2026 invitation was not found on 22 Oct), Northeastern University Nanhu campus (2024 and 2025 venue). Assumed: day 1 registration + practice, contest 15 Nov 09:00–14:00, awards ~17:00.</t>
        </is>
      </c>
    </row>
    <row r="44" ht="30" customHeight="1" s="56">
      <c r="A44" s="75" t="inlineStr">
        <is>
          <t>Why this plan</t>
        </is>
      </c>
      <c r="B44" s="74" t="inlineStr">
        <is>
          <t>~₮0.61M per person to Shenyang by the cheapest flight into Hohhot. Cheaper way out than the Air China + G153 route of 'Sleep value' (₮0.91M per person); the rest of the trip is the same (Ji Hotel twin rooms, K28 hard seat + Air China 12:55 home), with hotel nights set by the arrival time.</t>
        </is>
      </c>
    </row>
    <row r="45" ht="15" customHeight="1" s="56">
      <c r="A45" s="75" t="inlineStr">
        <is>
          <t>Trade-off</t>
        </is>
      </c>
      <c r="B45" s="74" t="inlineStr">
        <is>
          <t>Red-eye landing at 00:15 (bed ~01:30) and a seated night on T304 three nights before the contest; two hotel nights after it. Hohhot hotel price is a guess.</t>
        </is>
      </c>
    </row>
    <row r="46" ht="15" customHeight="1" s="56">
      <c r="A46" s="75" t="inlineStr">
        <is>
          <t>Book</t>
        </is>
      </c>
      <c r="B46" s="74" t="inlineStr">
        <is>
          <t>MIAT on Ctrip now; T304 on 12306 at 14:00 on 29 Oct; K28 on 12306 at 09:30 on 1 Nov; Air China home on Trip.com.</t>
        </is>
      </c>
    </row>
    <row r="47" s="56"/>
    <row r="48" s="56">
      <c r="A48" s="72" t="inlineStr">
        <is>
          <t>Day-by-day plan</t>
        </is>
      </c>
    </row>
    <row r="49" s="56">
      <c r="A49" s="96" t="inlineStr">
        <is>
          <t>Date</t>
        </is>
      </c>
      <c r="B49" s="96" t="inlineStr">
        <is>
          <t>Sleep in</t>
        </is>
      </c>
      <c r="C49" s="96" t="inlineStr">
        <is>
          <t>What happens</t>
        </is>
      </c>
    </row>
    <row r="50" ht="15" customHeight="1" s="56">
      <c r="A50" s="74" t="inlineStr">
        <is>
          <t>Wed 11 Nov</t>
        </is>
      </c>
      <c r="B50" s="74" t="inlineStr">
        <is>
          <t>Hohhot (budget hotel)</t>
        </is>
      </c>
      <c r="C50" s="74" t="inlineStr">
        <is>
          <t>MIAT OM257 UB 22:25 → Hohhot 00:15; taxi to a budget hotel; bed ~01:30.</t>
        </is>
      </c>
    </row>
    <row r="51" ht="15" customHeight="1" s="56">
      <c r="A51" s="74" t="inlineStr">
        <is>
          <t>Thu 12 Nov</t>
        </is>
      </c>
      <c r="B51" s="74" t="inlineStr">
        <is>
          <t>Train (seat)</t>
        </is>
      </c>
      <c r="C51" s="74" t="inlineStr">
        <is>
          <t>Late morning in Hohhot; taxi to Hohhot East; T304 17:36 → Shenyang (overnight).</t>
        </is>
      </c>
    </row>
    <row r="52" ht="15" customHeight="1" s="56">
      <c r="A52" s="74" t="inlineStr">
        <is>
          <t>Fri 13 Nov</t>
        </is>
      </c>
      <c r="B52" s="74" t="inlineStr">
        <is>
          <t>Shenyang</t>
        </is>
      </c>
      <c r="C52" s="74" t="inlineStr">
        <is>
          <t>Arrive Shenyang 10:16; taxi to Ji Hotel; rest.</t>
        </is>
      </c>
    </row>
    <row r="53" ht="15" customHeight="1" s="56">
      <c r="A53" s="74" t="inlineStr">
        <is>
          <t>Sat 14 Nov</t>
        </is>
      </c>
      <c r="B53" s="74" t="inlineStr">
        <is>
          <t>Shenyang</t>
        </is>
      </c>
      <c r="C53" s="74" t="inlineStr">
        <is>
          <t>Registration, opening and practice at NEU Nanhu. Lights out ~22:30.</t>
        </is>
      </c>
    </row>
    <row r="54" ht="30" customHeight="1" s="56">
      <c r="A54" s="74" t="inlineStr">
        <is>
          <t>Sun 15 Nov</t>
        </is>
      </c>
      <c r="B54" s="74" t="inlineStr">
        <is>
          <t>Train (seat)</t>
        </is>
      </c>
      <c r="C54" s="74" t="inlineStr">
        <is>
          <t>CONTEST. Wake ~06:50, walk ~15 min. Check out before leaving, luggage stored at the hotel. Awards ~17:00; taxi to Shenyang station; K28 22:24 hard seat → Beijing 08:40.</t>
        </is>
      </c>
    </row>
    <row r="55" ht="15" customHeight="1" s="56">
      <c r="A55" s="74" t="inlineStr">
        <is>
          <t>Mon 16 Nov</t>
        </is>
      </c>
      <c r="B55" s="74" t="inlineStr">
        <is>
          <t>Home</t>
        </is>
      </c>
      <c r="C55" s="74" t="inlineStr">
        <is>
          <t>Metro line 2 + Airport Express to PEK T3 (~1 h). Air China 12:55 → UB 15:05.</t>
        </is>
      </c>
    </row>
    <row r="56" s="56"/>
    <row r="57" s="56">
      <c r="A57" s="72" t="inlineStr">
        <is>
          <t>Door-to-door travel times</t>
        </is>
      </c>
    </row>
    <row r="58" s="56">
      <c r="A58" s="96" t="inlineStr">
        <is>
          <t>Date</t>
        </is>
      </c>
      <c r="B58" s="96" t="inlineStr">
        <is>
          <t>Leg</t>
        </is>
      </c>
      <c r="C58" s="96" t="inlineStr">
        <is>
          <t>Mode</t>
        </is>
      </c>
      <c r="D58" s="96" t="inlineStr">
        <is>
          <t>Expected time</t>
        </is>
      </c>
      <c r="E58" s="96" t="inlineStr">
        <is>
          <t>Notes</t>
        </is>
      </c>
    </row>
    <row r="59" s="56">
      <c r="A59" s="105" t="inlineStr">
        <is>
          <t>11 Nov</t>
        </is>
      </c>
      <c r="B59" s="105" t="inlineStr">
        <is>
          <t>Home → Chinggis Khaan airport</t>
        </is>
      </c>
      <c r="C59" s="82" t="inlineStr">
        <is>
          <t>Taxi (~50 km)</t>
        </is>
      </c>
      <c r="D59" s="104" t="n">
        <v>0.04166666666666666</v>
      </c>
      <c r="E59" s="106" t="inlineStr">
        <is>
          <t>Leave ~19:30</t>
        </is>
      </c>
      <c r="F59" s="107" t="n"/>
      <c r="G59" s="107" t="n"/>
      <c r="H59" s="107" t="n"/>
      <c r="I59" s="107" t="n"/>
      <c r="J59" s="107" t="n"/>
      <c r="K59" s="107" t="n"/>
      <c r="L59" s="107" t="n"/>
    </row>
    <row r="60" s="56">
      <c r="A60" s="105" t="inlineStr">
        <is>
          <t>11–12 Nov</t>
        </is>
      </c>
      <c r="B60" s="105" t="inlineStr">
        <is>
          <t>Ulaanbaatar → Hohhot</t>
        </is>
      </c>
      <c r="C60" s="82" t="inlineStr">
        <is>
          <t>MIAT OM257 22:25–00:15</t>
        </is>
      </c>
      <c r="D60" s="104" t="n">
        <v>0.0763888888888889</v>
      </c>
      <c r="E60" s="106" t="inlineStr">
        <is>
          <t>Red-eye</t>
        </is>
      </c>
      <c r="F60" s="107" t="n"/>
      <c r="G60" s="107" t="n"/>
      <c r="H60" s="107" t="n"/>
      <c r="I60" s="107" t="n"/>
      <c r="J60" s="107" t="n"/>
      <c r="K60" s="107" t="n"/>
      <c r="L60" s="107" t="n"/>
    </row>
    <row r="61" s="56">
      <c r="A61" s="105" t="inlineStr">
        <is>
          <t>12 Nov</t>
        </is>
      </c>
      <c r="B61" s="105" t="inlineStr">
        <is>
          <t>HET arrival + taxi to a hotel</t>
        </is>
      </c>
      <c r="C61" s="82" t="inlineStr">
        <is>
          <t>Taxi</t>
        </is>
      </c>
      <c r="D61" s="104" t="n">
        <v>0.04166666666666666</v>
      </c>
      <c r="E61" s="106" t="inlineStr">
        <is>
          <t>Estimate</t>
        </is>
      </c>
      <c r="F61" s="107" t="n"/>
      <c r="G61" s="107" t="n"/>
      <c r="H61" s="107" t="n"/>
      <c r="I61" s="107" t="n"/>
      <c r="J61" s="107" t="n"/>
      <c r="K61" s="107" t="n"/>
      <c r="L61" s="107" t="n"/>
    </row>
    <row r="62" s="56">
      <c r="A62" s="105" t="inlineStr">
        <is>
          <t>12 Nov</t>
        </is>
      </c>
      <c r="B62" s="105" t="inlineStr">
        <is>
          <t>Hotel → Hohhot East station</t>
        </is>
      </c>
      <c r="C62" s="82" t="inlineStr">
        <is>
          <t>Taxi</t>
        </is>
      </c>
      <c r="D62" s="104" t="n">
        <v>0.02083333333333333</v>
      </c>
      <c r="E62" s="106" t="inlineStr">
        <is>
          <t>Estimate</t>
        </is>
      </c>
      <c r="F62" s="107" t="n"/>
      <c r="G62" s="107" t="n"/>
      <c r="H62" s="107" t="n"/>
      <c r="I62" s="107" t="n"/>
      <c r="J62" s="107" t="n"/>
      <c r="K62" s="107" t="n"/>
      <c r="L62" s="107" t="n"/>
    </row>
    <row r="63" s="56">
      <c r="A63" s="105" t="inlineStr">
        <is>
          <t>12–13 Nov</t>
        </is>
      </c>
      <c r="B63" s="105" t="inlineStr">
        <is>
          <t>Hohhot East → Shenyang</t>
        </is>
      </c>
      <c r="C63" s="82" t="inlineStr">
        <is>
          <t>T304 hard seat 17:36–10:16</t>
        </is>
      </c>
      <c r="D63" s="104" t="n">
        <v>0.6944444444444444</v>
      </c>
      <c r="E63" s="106" t="inlineStr">
        <is>
          <t>Overnight</t>
        </is>
      </c>
      <c r="F63" s="107" t="n"/>
      <c r="G63" s="107" t="n"/>
      <c r="H63" s="107" t="n"/>
      <c r="I63" s="107" t="n"/>
      <c r="J63" s="107" t="n"/>
      <c r="K63" s="107" t="n"/>
      <c r="L63" s="107" t="n"/>
    </row>
    <row r="64" s="56">
      <c r="A64" s="105" t="inlineStr">
        <is>
          <t>13 Nov</t>
        </is>
      </c>
      <c r="B64" s="105" t="inlineStr">
        <is>
          <t>Shenyang station → Ji Hotel</t>
        </is>
      </c>
      <c r="C64" s="82" t="inlineStr">
        <is>
          <t>Taxi</t>
        </is>
      </c>
      <c r="D64" s="104" t="n">
        <v>0.01388888888888889</v>
      </c>
      <c r="E64" s="106" t="n"/>
      <c r="F64" s="107" t="n"/>
      <c r="G64" s="107" t="n"/>
      <c r="H64" s="107" t="n"/>
      <c r="I64" s="107" t="n"/>
      <c r="J64" s="107" t="n"/>
      <c r="K64" s="107" t="n"/>
      <c r="L64" s="107" t="n"/>
    </row>
    <row r="65" s="56">
      <c r="A65" s="105" t="inlineStr">
        <is>
          <t>14–15 Nov</t>
        </is>
      </c>
      <c r="B65" s="105" t="inlineStr">
        <is>
          <t>Hotel ↔ NEU Nanhu (each way)</t>
        </is>
      </c>
      <c r="C65" s="82" t="inlineStr">
        <is>
          <t>Walk</t>
        </is>
      </c>
      <c r="D65" s="104" t="inlineStr">
        <is>
          <t>daily</t>
        </is>
      </c>
      <c r="E65" s="106" t="inlineStr">
        <is>
          <t>~15 min walk</t>
        </is>
      </c>
      <c r="F65" s="107" t="n"/>
      <c r="G65" s="107" t="n"/>
      <c r="H65" s="107" t="n"/>
      <c r="I65" s="107" t="n"/>
      <c r="J65" s="107" t="n"/>
      <c r="K65" s="107" t="n"/>
      <c r="L65" s="107" t="n"/>
    </row>
    <row r="66" s="56">
      <c r="A66" s="105" t="inlineStr">
        <is>
          <t>15 Nov</t>
        </is>
      </c>
      <c r="B66" s="105" t="inlineStr">
        <is>
          <t>NEU Nanhu → Shenyang station</t>
        </is>
      </c>
      <c r="C66" s="82" t="inlineStr">
        <is>
          <t>Taxi</t>
        </is>
      </c>
      <c r="D66" s="104" t="n">
        <v>0.01388888888888889</v>
      </c>
      <c r="E66" s="106" t="n"/>
      <c r="F66" s="107" t="n"/>
      <c r="G66" s="107" t="n"/>
      <c r="H66" s="107" t="n"/>
      <c r="I66" s="107" t="n"/>
      <c r="J66" s="107" t="n"/>
      <c r="K66" s="107" t="n"/>
      <c r="L66" s="107" t="n"/>
    </row>
    <row r="67" s="56">
      <c r="A67" s="105" t="inlineStr">
        <is>
          <t>15–16 Nov</t>
        </is>
      </c>
      <c r="B67" s="105" t="inlineStr">
        <is>
          <t>Shenyang → Beijing</t>
        </is>
      </c>
      <c r="C67" s="82" t="inlineStr">
        <is>
          <t>K28 hard seat 22:24–08:40</t>
        </is>
      </c>
      <c r="D67" s="104" t="n">
        <v>0.4277777777777778</v>
      </c>
      <c r="E67" s="106" t="inlineStr">
        <is>
          <t>Overnight, after the contest</t>
        </is>
      </c>
      <c r="F67" s="107" t="n"/>
      <c r="G67" s="107" t="n"/>
      <c r="H67" s="107" t="n"/>
      <c r="I67" s="107" t="n"/>
      <c r="J67" s="107" t="n"/>
      <c r="K67" s="107" t="n"/>
      <c r="L67" s="107" t="n"/>
    </row>
    <row r="68" s="56">
      <c r="A68" s="105" t="inlineStr">
        <is>
          <t>16 Nov</t>
        </is>
      </c>
      <c r="B68" s="105" t="inlineStr">
        <is>
          <t>Beijing station → PEK</t>
        </is>
      </c>
      <c r="C68" s="82" t="inlineStr">
        <is>
          <t>Metro line 2 + Airport Express</t>
        </is>
      </c>
      <c r="D68" s="104" t="n">
        <v>0.04166666666666666</v>
      </c>
      <c r="E68" s="106" t="inlineStr">
        <is>
          <t>Be at PEK by ~10:55</t>
        </is>
      </c>
      <c r="F68" s="107" t="n"/>
      <c r="G68" s="107" t="n"/>
      <c r="H68" s="107" t="n"/>
      <c r="I68" s="107" t="n"/>
      <c r="J68" s="107" t="n"/>
      <c r="K68" s="107" t="n"/>
      <c r="L68" s="107" t="n"/>
    </row>
    <row r="69" s="56">
      <c r="A69" s="105" t="inlineStr">
        <is>
          <t>16 Nov</t>
        </is>
      </c>
      <c r="B69" s="105" t="inlineStr">
        <is>
          <t>Beijing (PEK) → Ulaanbaatar</t>
        </is>
      </c>
      <c r="C69" s="82" t="inlineStr">
        <is>
          <t>Air China 12:55–15:05</t>
        </is>
      </c>
      <c r="D69" s="104" t="n">
        <v>0.09027777777777778</v>
      </c>
      <c r="E69" s="106" t="n"/>
      <c r="F69" s="107" t="n"/>
      <c r="G69" s="107" t="n"/>
      <c r="H69" s="107" t="n"/>
      <c r="I69" s="107" t="n"/>
      <c r="J69" s="107" t="n"/>
      <c r="K69" s="107" t="n"/>
      <c r="L69" s="107" t="n"/>
    </row>
    <row r="70" s="56">
      <c r="A70" s="105" t="inlineStr">
        <is>
          <t>16 Nov</t>
        </is>
      </c>
      <c r="B70" s="105" t="inlineStr">
        <is>
          <t>Chinggis Khaan airport → home</t>
        </is>
      </c>
      <c r="C70" s="82" t="inlineStr">
        <is>
          <t>Taxi</t>
        </is>
      </c>
      <c r="D70" s="104" t="n">
        <v>0.04166666666666666</v>
      </c>
      <c r="E70" s="106" t="n"/>
      <c r="F70" s="107" t="n"/>
      <c r="G70" s="107" t="n"/>
      <c r="H70" s="107" t="n"/>
      <c r="I70" s="107" t="n"/>
      <c r="J70" s="107" t="n"/>
      <c r="K70" s="107" t="n"/>
      <c r="L70" s="107" t="n"/>
    </row>
    <row r="71" s="56"/>
    <row r="72">
      <c r="C72" s="59" t="inlineStr">
        <is>
          <t>Total door-to-door</t>
        </is>
      </c>
      <c r="D72" s="109">
        <f>SUM(D59:D70)</f>
        <v/>
      </c>
    </row>
  </sheetData>
  <mergeCells count="22">
    <mergeCell ref="C52:L52"/>
    <mergeCell ref="E68:L68"/>
    <mergeCell ref="E62:L62"/>
    <mergeCell ref="B46:L46"/>
    <mergeCell ref="E67:L67"/>
    <mergeCell ref="B43:L43"/>
    <mergeCell ref="C53:L53"/>
    <mergeCell ref="E64:L64"/>
    <mergeCell ref="E63:L63"/>
    <mergeCell ref="E60:L60"/>
    <mergeCell ref="E69:L69"/>
    <mergeCell ref="E65:L65"/>
    <mergeCell ref="B44:L44"/>
    <mergeCell ref="E59:L59"/>
    <mergeCell ref="C54:L54"/>
    <mergeCell ref="E70:L70"/>
    <mergeCell ref="C50:L50"/>
    <mergeCell ref="E61:L61"/>
    <mergeCell ref="C55:L55"/>
    <mergeCell ref="E66:L66"/>
    <mergeCell ref="C51:L51"/>
    <mergeCell ref="B45:L4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70"/>
  <sheetViews>
    <sheetView workbookViewId="0">
      <selection activeCell="A1" sqref="A1"/>
    </sheetView>
  </sheetViews>
  <sheetFormatPr baseColWidth="8" defaultRowHeight="15"/>
  <cols>
    <col width="26" customWidth="1" style="56" min="1" max="1"/>
    <col width="52" customWidth="1" style="56" min="2" max="2"/>
    <col width="20" customWidth="1" style="56" min="3" max="3"/>
    <col width="15" customWidth="1" style="56" min="4" max="4"/>
    <col width="13" customWidth="1" style="56" min="5" max="5"/>
    <col width="9" customWidth="1" style="56" min="6" max="6"/>
    <col width="17" customWidth="1" style="56" min="8" max="8"/>
    <col width="13" customWidth="1" style="56" min="9" max="9"/>
    <col width="9" customWidth="1" style="56" min="10" max="10"/>
    <col width="17" customWidth="1" style="56" min="11" max="11"/>
    <col width="58" customWidth="1" style="56" min="12" max="12"/>
  </cols>
  <sheetData>
    <row r="1" ht="17.35" customHeight="1" s="56">
      <c r="A1" s="57" t="inlineStr">
        <is>
          <t>Shenyang – Hohhot + Spring</t>
        </is>
      </c>
    </row>
    <row r="2" ht="15" customHeight="1" s="56">
      <c r="A2" s="62" t="inlineStr">
        <is>
          <t>No early alarm and no night train, like 'Sleep value', but cheaper: Air China to Hohhot and a ¥360 Spring flight to Shenyang (¥220 + taxes, two tickets); three nights in Ji Hotel twin rooms; K28 seat + Air China home.</t>
        </is>
      </c>
    </row>
    <row r="4" ht="15" customHeight="1" s="56">
      <c r="A4" s="60" t="inlineStr">
        <is>
          <t>Days in destination (meals &amp; local transport)</t>
        </is>
      </c>
      <c r="B4" s="76" t="n">
        <v>4</v>
      </c>
      <c r="C4" s="62" t="inlineStr">
        <is>
          <t>12 Nov afternoon → 16 Nov midday</t>
        </is>
      </c>
    </row>
    <row r="5" ht="15" customHeight="1" s="56">
      <c r="A5" s="62" t="inlineStr">
        <is>
          <t>Shared inputs are on the Compare sheet. Scroll down for the day-by-day plan and door-to-door travel times.</t>
        </is>
      </c>
    </row>
    <row r="7" ht="31.5" customHeight="1" s="56">
      <c r="A7" s="66" t="inlineStr">
        <is>
          <t>Category</t>
        </is>
      </c>
      <c r="B7" s="66" t="inlineStr">
        <is>
          <t>Item</t>
        </is>
      </c>
      <c r="C7" s="66" t="inlineStr">
        <is>
          <t>Date</t>
        </is>
      </c>
      <c r="D7" s="66" t="inlineStr">
        <is>
          <t>Travel time</t>
        </is>
      </c>
      <c r="E7" s="66" t="inlineStr">
        <is>
          <t>Unit cost (3 ppl)</t>
        </is>
      </c>
      <c r="F7" s="66" t="inlineStr">
        <is>
          <t>Currency</t>
        </is>
      </c>
      <c r="G7" s="66" t="inlineStr">
        <is>
          <t>Qty (3 ppl)</t>
        </is>
      </c>
      <c r="H7" s="66" t="inlineStr">
        <is>
          <t>Total MNT – 3 people</t>
        </is>
      </c>
      <c r="I7" s="66" t="inlineStr">
        <is>
          <t>Unit cost (4 ppl)</t>
        </is>
      </c>
      <c r="J7" s="66" t="inlineStr">
        <is>
          <t>Qty (4 ppl)</t>
        </is>
      </c>
      <c r="K7" s="66" t="inlineStr">
        <is>
          <t>Total MNT – 4 people</t>
        </is>
      </c>
      <c r="L7" s="66" t="inlineStr">
        <is>
          <t>Source / notes</t>
        </is>
      </c>
    </row>
    <row r="8" s="56">
      <c r="A8" s="77" t="inlineStr">
        <is>
          <t>PAID BY UNIVERSITY</t>
        </is>
      </c>
      <c r="B8" s="78" t="n"/>
      <c r="C8" s="78" t="n"/>
      <c r="D8" s="78" t="n"/>
      <c r="E8" s="78" t="n"/>
      <c r="F8" s="78" t="n"/>
      <c r="G8" s="78" t="n"/>
      <c r="H8" s="78" t="n"/>
      <c r="I8" s="78" t="n"/>
      <c r="J8" s="78" t="n"/>
      <c r="K8" s="78" t="n"/>
      <c r="L8" s="78" t="n"/>
    </row>
    <row r="9" s="56">
      <c r="A9" s="79" t="inlineStr">
        <is>
          <t>Flights</t>
        </is>
      </c>
      <c r="B9" s="80" t="n"/>
      <c r="C9" s="80" t="n"/>
      <c r="D9" s="80" t="n"/>
      <c r="E9" s="80" t="n"/>
      <c r="F9" s="80" t="n"/>
      <c r="G9" s="80" t="n"/>
      <c r="H9" s="80" t="n"/>
      <c r="I9" s="80" t="n"/>
      <c r="J9" s="80" t="n"/>
      <c r="K9" s="80" t="n"/>
      <c r="L9" s="80" t="n"/>
    </row>
    <row r="10" ht="39" customHeight="1" s="56">
      <c r="B10" s="111" t="inlineStr">
        <is>
          <t>Air China CA758 Ulaanbaatar 13:00 → Hohhot 14:40, nonstop, checked bag included</t>
        </is>
      </c>
      <c r="C10" s="83" t="inlineStr">
        <is>
          <t>Thu 12 Nov</t>
        </is>
      </c>
      <c r="D10" s="84" t="n">
        <v>0.06944444444444445</v>
      </c>
      <c r="E10" s="85" t="n">
        <v>1011</v>
      </c>
      <c r="F10" s="86" t="inlineStr">
        <is>
          <t>CNY</t>
        </is>
      </c>
      <c r="G10" s="87">
        <f>Compare!$B$6</f>
        <v/>
      </c>
      <c r="H10" s="88">
        <f>E10*G10*IF(F10="USD",Compare!$B$8,IF(F10="CNY",Compare!$B$9,IF(F10="HKD",Compare!$B$10,1)))</f>
        <v/>
      </c>
      <c r="I10" s="89">
        <f>E10</f>
        <v/>
      </c>
      <c r="J10" s="87">
        <f>Compare!$B$7</f>
        <v/>
      </c>
      <c r="K10" s="88">
        <f>I10*J10*IF(F10="USD",Compare!$B$8,IF(F10="CNY",Compare!$B$9,IF(F10="HKD",Compare!$B$10,1)))</f>
        <v/>
      </c>
      <c r="L10" s="112" t="inlineStr">
        <is>
          <t>Ctrip 27 Oct: ¥1,011 incl. taxes on every day 10–13 Nov (Trip.com ¥1,009; 22 Oct also ¥1,011; SlickTrip $268). Separate ticket from the Spring flight: a 4 h 25 min self-transfer in Hohhot (immigration, collect bags, check in again).</t>
        </is>
      </c>
    </row>
    <row r="11" ht="39" customHeight="1" s="56">
      <c r="B11" s="111" t="inlineStr">
        <is>
          <t>Spring Airlines 9C6782 Hohhot 19:05 → Shenyang Taoxian 21:15, nonstop (A320)</t>
        </is>
      </c>
      <c r="C11" s="83" t="inlineStr">
        <is>
          <t>Thu 12 Nov</t>
        </is>
      </c>
      <c r="D11" s="84" t="n">
        <v>0.09027777777777778</v>
      </c>
      <c r="E11" s="85" t="n">
        <v>360</v>
      </c>
      <c r="F11" s="86" t="inlineStr">
        <is>
          <t>CNY</t>
        </is>
      </c>
      <c r="G11" s="87">
        <f>Compare!$B$6</f>
        <v/>
      </c>
      <c r="H11" s="88">
        <f>E11*G11*IF(F11="USD",Compare!$B$8,IF(F11="CNY",Compare!$B$9,IF(F11="HKD",Compare!$B$10,1)))</f>
        <v/>
      </c>
      <c r="I11" s="89">
        <f>E11</f>
        <v/>
      </c>
      <c r="J11" s="87">
        <f>Compare!$B$7</f>
        <v/>
      </c>
      <c r="K11" s="88">
        <f>I11*J11*IF(F11="USD",Compare!$B$8,IF(F11="CNY",Compare!$B$9,IF(F11="HKD",Compare!$B$10,1)))</f>
        <v/>
      </c>
      <c r="L11" s="112" t="inlineStr">
        <is>
          <t>Ctrip 27 Oct: fare ¥220 (10 and 12 Nov; 11 / 13 Nov ¥400) + ¥50 airport fee + ¥90 fuel surcharge (domestic &gt; 800 km from 10 Oct 2026) = ¥360. Trip.com shows CNY 360 incl. taxes on 10 Nov (12 Nov only a CNY 520 bundle). The 22 Oct ¥290 left the taxes out. Only a 7 kg cabin bag (20×30×40 cm). Booked apart from CA758 – one ticket UB → SHE is ¥1,531 on Ctrip / ¥1,528 on Trip.com (12 Nov).</t>
        </is>
      </c>
    </row>
    <row r="12" ht="30" customHeight="1" s="56">
      <c r="B12" s="111" t="inlineStr">
        <is>
          <t>Spring checked bag, one per person (bought online with the ticket)</t>
        </is>
      </c>
      <c r="C12" s="83" t="inlineStr">
        <is>
          <t>Thu 12 Nov</t>
        </is>
      </c>
      <c r="D12" s="84" t="n"/>
      <c r="E12" s="85" t="n">
        <v>120</v>
      </c>
      <c r="F12" s="86" t="inlineStr">
        <is>
          <t>CNY</t>
        </is>
      </c>
      <c r="G12" s="87">
        <f>Compare!$B$6</f>
        <v/>
      </c>
      <c r="H12" s="88">
        <f>E12*G12*IF(F12="USD",Compare!$B$8,IF(F12="CNY",Compare!$B$9,IF(F12="HKD",Compare!$B$10,1)))</f>
        <v/>
      </c>
      <c r="I12" s="89">
        <f>E12</f>
        <v/>
      </c>
      <c r="J12" s="87">
        <f>Compare!$B$7</f>
        <v/>
      </c>
      <c r="K12" s="88">
        <f>I12*J12*IF(F12="USD",Compare!$B$8,IF(F12="CNY",Compare!$B$9,IF(F12="HKD",Compare!$B$10,1)))</f>
        <v/>
      </c>
      <c r="L12" s="112" t="inlineStr">
        <is>
          <t>Ctrip 27 Oct: the 9C6782 fare with a 20 kg checked bag is ¥340 vs ¥220 without (+¥120, same taxes). Only people who check a bag need it.</t>
        </is>
      </c>
    </row>
    <row r="13" ht="39" customHeight="1" s="56">
      <c r="B13" s="111" t="inlineStr">
        <is>
          <t>Air China CA955 Beijing Capital (PEK) 12:55 → Ulaanbaatar 15:05, nonstop</t>
        </is>
      </c>
      <c r="C13" s="83" t="inlineStr">
        <is>
          <t>16 Nov</t>
        </is>
      </c>
      <c r="D13" s="84" t="n">
        <v>0.09027777777777778</v>
      </c>
      <c r="E13" s="85" t="n">
        <v>171</v>
      </c>
      <c r="F13" s="86" t="inlineStr">
        <is>
          <t>USD</t>
        </is>
      </c>
      <c r="G13" s="87">
        <f>Compare!$B$6</f>
        <v/>
      </c>
      <c r="H13" s="88">
        <f>E13*G13*IF(F13="USD",Compare!$B$8,IF(F13="CNY",Compare!$B$9,IF(F13="HKD",Compare!$B$10,1)))</f>
        <v/>
      </c>
      <c r="I13" s="89">
        <f>E13</f>
        <v/>
      </c>
      <c r="J13" s="87">
        <f>Compare!$B$7</f>
        <v/>
      </c>
      <c r="K13" s="88">
        <f>I13*J13*IF(F13="USD",Compare!$B$8,IF(F13="CNY",Compare!$B$9,IF(F13="HKD",Compare!$B$10,1)))</f>
        <v/>
      </c>
      <c r="L13" s="112" t="inlineStr">
        <is>
          <t>Trip.com 22 Oct: US$171 pp, cheapest that day (MIAT OM224 11:30 US$193 on Trip.com / $176 on SlickTrip; Air China 08:25 $215; Capital + Hunnu via Erenhot $196)</t>
        </is>
      </c>
    </row>
    <row r="14" s="56">
      <c r="A14" s="79" t="inlineStr">
        <is>
          <t>Trains</t>
        </is>
      </c>
      <c r="B14" s="80" t="n"/>
      <c r="C14" s="80" t="n"/>
      <c r="D14" s="80" t="n"/>
      <c r="E14" s="80" t="n"/>
      <c r="F14" s="80" t="n"/>
      <c r="G14" s="80" t="n"/>
      <c r="H14" s="80" t="n"/>
      <c r="I14" s="80" t="n"/>
      <c r="J14" s="80" t="n"/>
      <c r="K14" s="80" t="n"/>
      <c r="L14" s="80" t="n"/>
    </row>
    <row r="15" ht="51" customHeight="1" s="56">
      <c r="B15" s="111" t="inlineStr">
        <is>
          <t>Overnight train K28 Shenyang 22:24 → Beijing 08:40, hard seat (after the contest)</t>
        </is>
      </c>
      <c r="C15" s="83" t="inlineStr">
        <is>
          <t>15 Nov (night)</t>
        </is>
      </c>
      <c r="D15" s="84" t="n">
        <v>0.4277777777777778</v>
      </c>
      <c r="E15" s="85" t="n">
        <v>112</v>
      </c>
      <c r="F15" s="86" t="inlineStr">
        <is>
          <t>CNY</t>
        </is>
      </c>
      <c r="G15" s="87">
        <f>Compare!$B$6</f>
        <v/>
      </c>
      <c r="H15" s="88">
        <f>E15*G15*IF(F15="USD",Compare!$B$8,IF(F15="CNY",Compare!$B$9,IF(F15="HKD",Compare!$B$10,1)))</f>
        <v/>
      </c>
      <c r="I15" s="89">
        <f>E15</f>
        <v/>
      </c>
      <c r="J15" s="87">
        <f>Compare!$B$7</f>
        <v/>
      </c>
      <c r="K15" s="88">
        <f>I15*J15*IF(F15="USD",Compare!$B$8,IF(F15="CNY",Compare!$B$9,IF(F15="HKD",Compare!$B$10,1)))</f>
        <v/>
      </c>
      <c r="L15" s="112" t="inlineStr">
        <is>
          <t>12306 (5 Nov query): hard seat ¥112 (hard sleeper ¥194). Cheapest train that still makes the 12:55 flight (K96 23:39 ¥102 arrives 11:19 – too late). Lie-flat upgrade: K54 Shenyang North 22:00 → 06:58 hard sleeper ¥171 (+¥59 pp). On sale 1 Nov 09:30 (ChinaTicketOnline confirms 15 Nov).</t>
        </is>
      </c>
    </row>
    <row r="16" s="56">
      <c r="A16" s="79" t="inlineStr">
        <is>
          <t>Accommodation</t>
        </is>
      </c>
      <c r="B16" s="80" t="n"/>
      <c r="C16" s="80" t="n"/>
      <c r="D16" s="80" t="n"/>
      <c r="E16" s="80" t="n"/>
      <c r="F16" s="80" t="n"/>
      <c r="G16" s="80" t="n"/>
      <c r="H16" s="80" t="n"/>
      <c r="I16" s="80" t="n"/>
      <c r="J16" s="80" t="n"/>
      <c r="K16" s="80" t="n"/>
      <c r="L16" s="80" t="n"/>
    </row>
    <row r="17" ht="60" customHeight="1" s="56">
      <c r="B17" s="111" t="inlineStr">
        <is>
          <t>Ji Hotel Sanhao Street, 55 Sanhao St (~940 m to NEU Nanhu, ~15 min walk): 2 Budget Twin rooms, King Koil mattresses, windows, floors 4–16 – a bed each</t>
        </is>
      </c>
      <c r="C17" s="83" t="inlineStr">
        <is>
          <t>12–15 Nov (3 nights)</t>
        </is>
      </c>
      <c r="D17" s="84" t="n"/>
      <c r="E17" s="85" t="n">
        <v>457</v>
      </c>
      <c r="F17" s="86" t="inlineStr">
        <is>
          <t>CNY</t>
        </is>
      </c>
      <c r="G17" s="91" t="n">
        <v>3</v>
      </c>
      <c r="H17" s="88">
        <f>E17*G17*IF(F17="USD",Compare!$B$8,IF(F17="CNY",Compare!$B$9,IF(F17="HKD",Compare!$B$10,1)))</f>
        <v/>
      </c>
      <c r="I17" s="85" t="n">
        <v>457</v>
      </c>
      <c r="J17" s="91" t="n">
        <v>3</v>
      </c>
      <c r="K17" s="88">
        <f>I17*J17*IF(F17="USD",Compare!$B$8,IF(F17="CNY",Compare!$B$9,IF(F17="HKD",Compare!$B$10,1)))</f>
        <v/>
      </c>
      <c r="L17" s="112" t="inlineStr">
        <is>
          <t>Trip.com 22 Oct: ¥1,371 for 2 rooms × 3 nights incl. taxes, free cancellation until 18:00 on 11 Nov (prepay); same price for 3 or 4 adults. 9.0 from 1,433 reviews; 16 m² rooms high in an office tower, above the street. Breakfast ¥40 optional.</t>
        </is>
      </c>
    </row>
    <row r="18" s="56">
      <c r="A18" s="79" t="inlineStr">
        <is>
          <t>Meals &amp; local transport</t>
        </is>
      </c>
      <c r="B18" s="80" t="n"/>
      <c r="C18" s="80" t="n"/>
      <c r="D18" s="80" t="n"/>
      <c r="E18" s="80" t="n"/>
      <c r="F18" s="80" t="n"/>
      <c r="G18" s="80" t="n"/>
      <c r="H18" s="80" t="n"/>
      <c r="I18" s="80" t="n"/>
      <c r="J18" s="80" t="n"/>
      <c r="K18" s="80" t="n"/>
      <c r="L18" s="80" t="n"/>
    </row>
    <row r="19" ht="30" customHeight="1" s="56">
      <c r="B19" s="111" t="inlineStr">
        <is>
          <t>Meals</t>
        </is>
      </c>
      <c r="C19" s="83" t="inlineStr">
        <is>
          <t>in destination</t>
        </is>
      </c>
      <c r="D19" s="84" t="n"/>
      <c r="E19" s="113" t="n">
        <v>80</v>
      </c>
      <c r="F19" s="86" t="inlineStr">
        <is>
          <t>CNY</t>
        </is>
      </c>
      <c r="G19" s="87">
        <f>Compare!$B$6*$B$4</f>
        <v/>
      </c>
      <c r="H19" s="88">
        <f>E19*G19*IF(F19="USD",Compare!$B$8,IF(F19="CNY",Compare!$B$9,IF(F19="HKD",Compare!$B$10,1)))</f>
        <v/>
      </c>
      <c r="I19" s="114">
        <f>E19</f>
        <v/>
      </c>
      <c r="J19" s="87">
        <f>Compare!$B$7*$B$4</f>
        <v/>
      </c>
      <c r="K19" s="88">
        <f>I19*J19*IF(F19="USD",Compare!$B$8,IF(F19="CNY",Compare!$B$9,IF(F19="HKD",Compare!$B$10,1)))</f>
        <v/>
      </c>
      <c r="L19" s="112" t="inlineStr">
        <is>
          <t>ASSUMPTION 80 CNY/person/day; hosts usually provide some meals on contest days</t>
        </is>
      </c>
    </row>
    <row r="20" ht="30" customHeight="1" s="56">
      <c r="B20" s="111" t="inlineStr">
        <is>
          <t>Local transport (metro, taxis)</t>
        </is>
      </c>
      <c r="C20" s="83" t="inlineStr">
        <is>
          <t>in destination</t>
        </is>
      </c>
      <c r="D20" s="84" t="n"/>
      <c r="E20" s="113" t="n">
        <v>30</v>
      </c>
      <c r="F20" s="86" t="inlineStr">
        <is>
          <t>CNY</t>
        </is>
      </c>
      <c r="G20" s="87">
        <f>Compare!$B$6*$B$4</f>
        <v/>
      </c>
      <c r="H20" s="88">
        <f>E20*G20*IF(F20="USD",Compare!$B$8,IF(F20="CNY",Compare!$B$9,IF(F20="HKD",Compare!$B$10,1)))</f>
        <v/>
      </c>
      <c r="I20" s="114">
        <f>E20</f>
        <v/>
      </c>
      <c r="J20" s="87">
        <f>Compare!$B$7*$B$4</f>
        <v/>
      </c>
      <c r="K20" s="88">
        <f>I20*J20*IF(F20="USD",Compare!$B$8,IF(F20="CNY",Compare!$B$9,IF(F20="HKD",Compare!$B$10,1)))</f>
        <v/>
      </c>
      <c r="L20" s="112" t="inlineStr">
        <is>
          <t>ASSUMPTION 30 CNY/person/day</t>
        </is>
      </c>
    </row>
    <row r="21" ht="30" customHeight="1" s="56">
      <c r="B21" s="111" t="inlineStr">
        <is>
          <t>Taxi Shenyang Taoxian airport → Ji Hotel</t>
        </is>
      </c>
      <c r="C21" s="83" t="inlineStr">
        <is>
          <t>12 Nov</t>
        </is>
      </c>
      <c r="D21" s="84" t="n"/>
      <c r="E21" s="113" t="n">
        <v>90</v>
      </c>
      <c r="F21" s="86" t="inlineStr">
        <is>
          <t>CNY</t>
        </is>
      </c>
      <c r="G21" s="91" t="n">
        <v>1</v>
      </c>
      <c r="H21" s="88">
        <f>E21*G21*IF(F21="USD",Compare!$B$8,IF(F21="CNY",Compare!$B$9,IF(F21="HKD",Compare!$B$10,1)))</f>
        <v/>
      </c>
      <c r="I21" s="114">
        <f>E21</f>
        <v/>
      </c>
      <c r="J21" s="91" t="n">
        <v>1</v>
      </c>
      <c r="K21" s="88">
        <f>I21*J21*IF(F21="USD",Compare!$B$8,IF(F21="CNY",Compare!$B$9,IF(F21="HKD",Compare!$B$10,1)))</f>
        <v/>
      </c>
      <c r="L21" s="112" t="inlineStr">
        <is>
          <t>ASSUMPTION ~¥90 per car, ~25 km, ~40 min</t>
        </is>
      </c>
    </row>
    <row r="22" ht="30" customHeight="1" s="56">
      <c r="B22" s="111" t="inlineStr">
        <is>
          <t>Metro line 2 + Airport Express, Beijing station → PEK T3</t>
        </is>
      </c>
      <c r="C22" s="83" t="inlineStr">
        <is>
          <t>16 Nov</t>
        </is>
      </c>
      <c r="D22" s="84" t="n"/>
      <c r="E22" s="113" t="n">
        <v>30</v>
      </c>
      <c r="F22" s="86" t="inlineStr">
        <is>
          <t>CNY</t>
        </is>
      </c>
      <c r="G22" s="87">
        <f>Compare!$B$6</f>
        <v/>
      </c>
      <c r="H22" s="88">
        <f>E22*G22*IF(F22="USD",Compare!$B$8,IF(F22="CNY",Compare!$B$9,IF(F22="HKD",Compare!$B$10,1)))</f>
        <v/>
      </c>
      <c r="I22" s="114">
        <f>E22</f>
        <v/>
      </c>
      <c r="J22" s="87">
        <f>Compare!$B$7</f>
        <v/>
      </c>
      <c r="K22" s="88">
        <f>I22*J22*IF(F22="USD",Compare!$B$8,IF(F22="CNY",Compare!$B$9,IF(F22="HKD",Compare!$B$10,1)))</f>
        <v/>
      </c>
      <c r="L22" s="112" t="inlineStr">
        <is>
          <t>ASSUMPTION Airport Express ¥25 + metro ¥4–5 pp</t>
        </is>
      </c>
    </row>
    <row r="23" s="56">
      <c r="A23" s="94" t="inlineStr">
        <is>
          <t>PAID PERSONALLY (university won't cover)</t>
        </is>
      </c>
      <c r="B23" s="95" t="n"/>
      <c r="C23" s="95" t="n"/>
      <c r="D23" s="95" t="n"/>
      <c r="E23" s="95" t="n"/>
      <c r="F23" s="95" t="n"/>
      <c r="G23" s="95" t="n"/>
      <c r="H23" s="95" t="n"/>
      <c r="I23" s="95" t="n"/>
      <c r="J23" s="95" t="n"/>
      <c r="K23" s="95" t="n"/>
      <c r="L23" s="95" t="n"/>
    </row>
    <row r="24" s="56">
      <c r="A24" s="79" t="inlineStr">
        <is>
          <t>Contest fee</t>
        </is>
      </c>
      <c r="B24" s="80" t="n"/>
      <c r="C24" s="80" t="n"/>
      <c r="D24" s="80" t="n"/>
      <c r="E24" s="80" t="n"/>
      <c r="F24" s="80" t="n"/>
      <c r="G24" s="80" t="n"/>
      <c r="H24" s="80" t="n"/>
      <c r="I24" s="80" t="n"/>
      <c r="J24" s="80" t="n"/>
      <c r="K24" s="80" t="n"/>
      <c r="L24" s="80" t="n"/>
    </row>
    <row r="25" ht="30" customHeight="1" s="56">
      <c r="B25" s="111" t="inlineStr">
        <is>
          <t>Shenyang regional registration fee (per team)</t>
        </is>
      </c>
      <c r="C25" s="83" t="inlineStr">
        <is>
          <t>pay when invited</t>
        </is>
      </c>
      <c r="D25" s="84" t="n"/>
      <c r="E25" s="113" t="n">
        <v>1500</v>
      </c>
      <c r="F25" s="86" t="inlineStr">
        <is>
          <t>CNY</t>
        </is>
      </c>
      <c r="G25" s="91" t="n">
        <v>1</v>
      </c>
      <c r="H25" s="88">
        <f>E25*G25*IF(F25="USD",Compare!$B$8,IF(F25="CNY",Compare!$B$9,IF(F25="HKD",Compare!$B$10,1)))</f>
        <v/>
      </c>
      <c r="I25" s="114">
        <f>E25</f>
        <v/>
      </c>
      <c r="J25" s="91" t="n">
        <v>1</v>
      </c>
      <c r="K25" s="88">
        <f>I25*J25*IF(F25="USD",Compare!$B$8,IF(F25="CNY",Compare!$B$9,IF(F25="HKD",Compare!$B$10,1)))</f>
        <v/>
      </c>
      <c r="L25" s="112" t="inlineStr">
        <is>
          <t>ASSUMPTION: 1,500 CNY/team like recent EC regionals; the 2026 Shenyang invitation was not found on 22 Oct</t>
        </is>
      </c>
    </row>
    <row r="26" s="56">
      <c r="A26" s="79" t="inlineStr">
        <is>
          <t>Other</t>
        </is>
      </c>
      <c r="B26" s="80" t="n"/>
      <c r="C26" s="80" t="n"/>
      <c r="D26" s="80" t="n"/>
      <c r="E26" s="80" t="n"/>
      <c r="F26" s="80" t="n"/>
      <c r="G26" s="80" t="n"/>
      <c r="H26" s="80" t="n"/>
      <c r="I26" s="80" t="n"/>
      <c r="J26" s="80" t="n"/>
      <c r="K26" s="80" t="n"/>
      <c r="L26" s="80" t="n"/>
    </row>
    <row r="27" ht="30" customHeight="1" s="56">
      <c r="B27" s="111" t="inlineStr">
        <is>
          <t>Taxi to/from Chinggis Khaan airport (UB), per trip</t>
        </is>
      </c>
      <c r="C27" s="83" t="inlineStr">
        <is>
          <t>out &amp; back</t>
        </is>
      </c>
      <c r="D27" s="84" t="n">
        <v>0.04166666666666666</v>
      </c>
      <c r="E27" s="113" t="n">
        <v>100000</v>
      </c>
      <c r="F27" s="86" t="inlineStr">
        <is>
          <t>MNT</t>
        </is>
      </c>
      <c r="G27" s="91" t="n">
        <v>2</v>
      </c>
      <c r="H27" s="88">
        <f>E27*G27*IF(F27="USD",Compare!$B$8,IF(F27="CNY",Compare!$B$9,IF(F27="HKD",Compare!$B$10,1)))</f>
        <v/>
      </c>
      <c r="I27" s="114">
        <f>E27</f>
        <v/>
      </c>
      <c r="J27" s="91" t="n">
        <v>2</v>
      </c>
      <c r="K27" s="88">
        <f>I27*J27*IF(F27="USD",Compare!$B$8,IF(F27="CNY",Compare!$B$9,IF(F27="HKD",Compare!$B$10,1)))</f>
        <v/>
      </c>
      <c r="L27" s="112" t="inlineStr">
        <is>
          <t>ASSUMPTION 100k MNT per trip for the group</t>
        </is>
      </c>
    </row>
    <row r="28" ht="30" customHeight="1" s="56">
      <c r="B28" s="111" t="inlineStr">
        <is>
          <t>Travel medical insurance</t>
        </is>
      </c>
      <c r="C28" s="83" t="n"/>
      <c r="D28" s="84" t="n"/>
      <c r="E28" s="113" t="n">
        <v>30000</v>
      </c>
      <c r="F28" s="86" t="inlineStr">
        <is>
          <t>MNT</t>
        </is>
      </c>
      <c r="G28" s="87">
        <f>Compare!$B$6</f>
        <v/>
      </c>
      <c r="H28" s="88">
        <f>E28*G28*IF(F28="USD",Compare!$B$8,IF(F28="CNY",Compare!$B$9,IF(F28="HKD",Compare!$B$10,1)))</f>
        <v/>
      </c>
      <c r="I28" s="114">
        <f>E28</f>
        <v/>
      </c>
      <c r="J28" s="87">
        <f>Compare!$B$7</f>
        <v/>
      </c>
      <c r="K28" s="88">
        <f>I28*J28*IF(F28="USD",Compare!$B$8,IF(F28="CNY",Compare!$B$9,IF(F28="HKD",Compare!$B$10,1)))</f>
        <v/>
      </c>
      <c r="L28" s="112" t="inlineStr">
        <is>
          <t>ASSUMPTION ~30k MNT per person, Mongolian insurer</t>
        </is>
      </c>
    </row>
    <row r="29" ht="30" customHeight="1" s="56">
      <c r="B29" s="111" t="inlineStr">
        <is>
          <t>Mobile data eSIM</t>
        </is>
      </c>
      <c r="C29" s="83" t="n"/>
      <c r="D29" s="84" t="n"/>
      <c r="E29" s="113" t="n">
        <v>10</v>
      </c>
      <c r="F29" s="86" t="inlineStr">
        <is>
          <t>USD</t>
        </is>
      </c>
      <c r="G29" s="87">
        <f>Compare!$B$6</f>
        <v/>
      </c>
      <c r="H29" s="88">
        <f>E29*G29*IF(F29="USD",Compare!$B$8,IF(F29="CNY",Compare!$B$9,IF(F29="HKD",Compare!$B$10,1)))</f>
        <v/>
      </c>
      <c r="I29" s="114">
        <f>E29</f>
        <v/>
      </c>
      <c r="J29" s="87">
        <f>Compare!$B$7</f>
        <v/>
      </c>
      <c r="K29" s="88">
        <f>I29*J29*IF(F29="USD",Compare!$B$8,IF(F29="CNY",Compare!$B$9,IF(F29="HKD",Compare!$B$10,1)))</f>
        <v/>
      </c>
      <c r="L29" s="112" t="inlineStr">
        <is>
          <t>ASSUMPTION ~$10 pp</t>
        </is>
      </c>
    </row>
    <row r="30" ht="30" customHeight="1" s="56">
      <c r="B30" s="111" t="inlineStr">
        <is>
          <t>Visa</t>
        </is>
      </c>
      <c r="C30" s="83" t="n"/>
      <c r="D30" s="84" t="n"/>
      <c r="E30" s="85" t="n">
        <v>0</v>
      </c>
      <c r="F30" s="86" t="inlineStr">
        <is>
          <t>MNT</t>
        </is>
      </c>
      <c r="G30" s="87">
        <f>Compare!$B$6</f>
        <v/>
      </c>
      <c r="H30" s="88">
        <f>E30*G30*IF(F30="USD",Compare!$B$8,IF(F30="CNY",Compare!$B$9,IF(F30="HKD",Compare!$B$10,1)))</f>
        <v/>
      </c>
      <c r="I30" s="89">
        <f>E30</f>
        <v/>
      </c>
      <c r="J30" s="87">
        <f>Compare!$B$7</f>
        <v/>
      </c>
      <c r="K30" s="88">
        <f>I30*J30*IF(F30="USD",Compare!$B$8,IF(F30="CNY",Compare!$B$9,IF(F30="HKD",Compare!$B$10,1)))</f>
        <v/>
      </c>
      <c r="L30" s="112" t="inlineStr">
        <is>
          <t>Mongolian passports: visa-free (mainland China up to 30 days; Hong Kong up to 14 days)</t>
        </is>
      </c>
    </row>
    <row r="31" s="56"/>
    <row r="32" s="56">
      <c r="G32" s="60" t="n"/>
      <c r="H32" s="96" t="inlineStr">
        <is>
          <t>3 people – UNFUNDED</t>
        </is>
      </c>
      <c r="K32" s="96" t="inlineStr">
        <is>
          <t>4 people – FUNDED ₮12M</t>
        </is>
      </c>
    </row>
    <row r="33" s="56">
      <c r="G33" s="97" t="inlineStr">
        <is>
          <t>University-paid subtotal</t>
        </is>
      </c>
      <c r="H33" s="98">
        <f>SUM(H9:H22)</f>
        <v/>
      </c>
      <c r="K33" s="98">
        <f>SUM(K9:K22)</f>
        <v/>
      </c>
    </row>
    <row r="34" s="56">
      <c r="G34" s="99" t="inlineStr">
        <is>
          <t>Contingency</t>
        </is>
      </c>
      <c r="H34" s="100">
        <f>H33*Compare!$B$11</f>
        <v/>
      </c>
      <c r="K34" s="100">
        <f>K33*Compare!$B$11</f>
        <v/>
      </c>
    </row>
    <row r="35" s="56">
      <c r="G35" s="97" t="inlineStr">
        <is>
          <t>University-paid total incl. contingency</t>
        </is>
      </c>
      <c r="H35" s="98">
        <f>H33+H34</f>
        <v/>
      </c>
      <c r="K35" s="98">
        <f>K33+K34</f>
        <v/>
      </c>
    </row>
    <row r="36" s="56">
      <c r="G36" s="97" t="inlineStr">
        <is>
          <t>Funding left (negative = over)</t>
        </is>
      </c>
      <c r="H36" s="101">
        <f>Compare!$B$12-H35</f>
        <v/>
      </c>
      <c r="K36" s="101">
        <f>Compare!$B$5-K35</f>
        <v/>
      </c>
    </row>
    <row r="37" s="56">
      <c r="G37" s="97" t="inlineStr">
        <is>
          <t>Personal costs – team</t>
        </is>
      </c>
      <c r="H37" s="102">
        <f>SUM(H24:H30)</f>
        <v/>
      </c>
      <c r="K37" s="102">
        <f>SUM(K24:K30)</f>
        <v/>
      </c>
    </row>
    <row r="38" s="56">
      <c r="G38" s="97" t="inlineStr">
        <is>
          <t>Out-of-pocket per person (personal + any overrun)</t>
        </is>
      </c>
      <c r="H38" s="102">
        <f>(H37+MAX(0,-H36))/Compare!$B$6</f>
        <v/>
      </c>
      <c r="K38" s="102">
        <f>(K37+MAX(0,-K36))/Compare!$B$7</f>
        <v/>
      </c>
    </row>
    <row r="39" s="56">
      <c r="G39" s="97" t="inlineStr">
        <is>
          <t>Whole trip cost (university + personal)</t>
        </is>
      </c>
      <c r="H39" s="103">
        <f>H35+H37</f>
        <v/>
      </c>
      <c r="K39" s="103">
        <f>K35+K37</f>
        <v/>
      </c>
    </row>
    <row r="40" s="56">
      <c r="G40" s="99" t="inlineStr">
        <is>
          <t>Time in planes &amp; trains</t>
        </is>
      </c>
      <c r="H40" s="104">
        <f>SUM(D10:D13)+SUM(D15:D15)</f>
        <v/>
      </c>
      <c r="K40" s="104">
        <f>SUM(D10:D13)+SUM(D15:D15)</f>
        <v/>
      </c>
    </row>
    <row r="41" s="56"/>
    <row r="42" s="56">
      <c r="A42" s="72" t="inlineStr">
        <is>
          <t>Key facts</t>
        </is>
      </c>
    </row>
    <row r="43" ht="30" customHeight="1" s="56">
      <c r="A43" s="75" t="inlineStr">
        <is>
          <t>Contest</t>
        </is>
      </c>
      <c r="B43" s="74" t="inlineStr">
        <is>
          <t>Asia Shenyang Regional, 14–15 Nov 2026 (provisional; the 2026 invitation was not found on 22 Oct), Northeastern University Nanhu campus (2024 and 2025 venue). Assumed: day 1 registration + practice, contest 15 Nov 09:00–14:00, awards ~17:00.</t>
        </is>
      </c>
    </row>
    <row r="44" ht="30" customHeight="1" s="56">
      <c r="A44" s="75" t="inlineStr">
        <is>
          <t>Why this plan</t>
        </is>
      </c>
      <c r="B44" s="74" t="inlineStr">
        <is>
          <t>Same sleep as 'Sleep value' (wake ~08:30, three hotel nights, rest day on 13 Nov, a bed each) for ~₮0.13M per person less: Air China to Hohhot + Spring to Shenyang instead of Air China to Beijing + G153.</t>
        </is>
      </c>
    </row>
    <row r="45" ht="30" customHeight="1" s="56">
      <c r="A45" s="75" t="inlineStr">
        <is>
          <t>Trade-off</t>
        </is>
      </c>
      <c r="B45" s="74" t="inlineStr">
        <is>
          <t>Two separate tickets: if CA758 is more than ~3 h late the ¥360 Spring ticket is lost (fallback Air China CA8179 Hohhot 08:55 next morning ¥620 + a Hohhot hotel). Spring includes only a 7 kg cabin bag (a 20 kg bag fare is ¥120 more). Arrive ~22:15 instead of 20:30.</t>
        </is>
      </c>
    </row>
    <row r="46" ht="15" customHeight="1" s="56">
      <c r="A46" s="75" t="inlineStr">
        <is>
          <t>Book</t>
        </is>
      </c>
      <c r="B46" s="74" t="inlineStr">
        <is>
          <t>CA758 and 9C6782 on Ctrip now (two bookings); hotel now; K28 on 12306 at 09:30 on 1 Nov; Air China home on Trip.com.</t>
        </is>
      </c>
    </row>
    <row r="47" s="56"/>
    <row r="48" s="56">
      <c r="A48" s="72" t="inlineStr">
        <is>
          <t>Day-by-day plan</t>
        </is>
      </c>
    </row>
    <row r="49" s="56">
      <c r="A49" s="96" t="inlineStr">
        <is>
          <t>Date</t>
        </is>
      </c>
      <c r="B49" s="96" t="inlineStr">
        <is>
          <t>Sleep in</t>
        </is>
      </c>
      <c r="C49" s="96" t="inlineStr">
        <is>
          <t>What happens</t>
        </is>
      </c>
    </row>
    <row r="50" ht="30" customHeight="1" s="56">
      <c r="A50" s="74" t="inlineStr">
        <is>
          <t>Thu 12 Nov</t>
        </is>
      </c>
      <c r="B50" s="74" t="inlineStr">
        <is>
          <t>Shenyang</t>
        </is>
      </c>
      <c r="C50" s="74" t="inlineStr">
        <is>
          <t>Wake ~08:30. Air China CA758 UB 13:00 → Hohhot 14:40; immigration, collect bags, check in again; Spring 9C6782 19:05 → Shenyang 21:15; taxi to Ji Hotel (~22:15). Bed ~23:30.</t>
        </is>
      </c>
    </row>
    <row r="51" ht="15" customHeight="1" s="56">
      <c r="A51" s="74" t="inlineStr">
        <is>
          <t>Fri 13 Nov</t>
        </is>
      </c>
      <c r="B51" s="74" t="inlineStr">
        <is>
          <t>Shenyang</t>
        </is>
      </c>
      <c r="C51" s="74" t="inlineStr">
        <is>
          <t>Free rest day.</t>
        </is>
      </c>
    </row>
    <row r="52" ht="15" customHeight="1" s="56">
      <c r="A52" s="74" t="inlineStr">
        <is>
          <t>Sat 14 Nov</t>
        </is>
      </c>
      <c r="B52" s="74" t="inlineStr">
        <is>
          <t>Shenyang</t>
        </is>
      </c>
      <c r="C52" s="74" t="inlineStr">
        <is>
          <t>Registration, opening and practice at NEU Nanhu. Lights out ~22:30.</t>
        </is>
      </c>
    </row>
    <row r="53" ht="30" customHeight="1" s="56">
      <c r="A53" s="74" t="inlineStr">
        <is>
          <t>Sun 15 Nov</t>
        </is>
      </c>
      <c r="B53" s="74" t="inlineStr">
        <is>
          <t>Train (seat)</t>
        </is>
      </c>
      <c r="C53" s="74" t="inlineStr">
        <is>
          <t>CONTEST. Wake ~06:50, walk ~15 min. Check out before leaving, luggage stored at the hotel. Awards ~17:00; taxi to Shenyang station; K28 22:24 hard seat → Beijing 08:40.</t>
        </is>
      </c>
    </row>
    <row r="54" ht="15" customHeight="1" s="56">
      <c r="A54" s="74" t="inlineStr">
        <is>
          <t>Mon 16 Nov</t>
        </is>
      </c>
      <c r="B54" s="74" t="inlineStr">
        <is>
          <t>Home</t>
        </is>
      </c>
      <c r="C54" s="74" t="inlineStr">
        <is>
          <t>Metro line 2 + Airport Express to PEK T3 (~1 h). Air China 12:55 → UB 15:05.</t>
        </is>
      </c>
    </row>
    <row r="55" s="56"/>
    <row r="56" s="56">
      <c r="A56" s="72" t="inlineStr">
        <is>
          <t>Door-to-door travel times</t>
        </is>
      </c>
    </row>
    <row r="57" s="56">
      <c r="A57" s="96" t="inlineStr">
        <is>
          <t>Date</t>
        </is>
      </c>
      <c r="B57" s="96" t="inlineStr">
        <is>
          <t>Leg</t>
        </is>
      </c>
      <c r="C57" s="96" t="inlineStr">
        <is>
          <t>Mode</t>
        </is>
      </c>
      <c r="D57" s="96" t="inlineStr">
        <is>
          <t>Expected time</t>
        </is>
      </c>
      <c r="E57" s="96" t="inlineStr">
        <is>
          <t>Notes</t>
        </is>
      </c>
    </row>
    <row r="58" s="56">
      <c r="A58" s="105" t="inlineStr">
        <is>
          <t>12 Nov</t>
        </is>
      </c>
      <c r="B58" s="105" t="inlineStr">
        <is>
          <t>Home → Chinggis Khaan airport</t>
        </is>
      </c>
      <c r="C58" s="82" t="inlineStr">
        <is>
          <t>Taxi (~50 km)</t>
        </is>
      </c>
      <c r="D58" s="104" t="n">
        <v>0.04166666666666666</v>
      </c>
      <c r="E58" s="106" t="inlineStr">
        <is>
          <t>Leave ~10:30 for the 13:00 flight</t>
        </is>
      </c>
      <c r="F58" s="107" t="n"/>
      <c r="G58" s="107" t="n"/>
      <c r="H58" s="107" t="n"/>
      <c r="I58" s="107" t="n"/>
      <c r="J58" s="107" t="n"/>
      <c r="K58" s="107" t="n"/>
      <c r="L58" s="107" t="n"/>
    </row>
    <row r="59" s="56">
      <c r="A59" s="105" t="inlineStr">
        <is>
          <t>12 Nov</t>
        </is>
      </c>
      <c r="B59" s="105" t="inlineStr">
        <is>
          <t>Ulaanbaatar → Hohhot</t>
        </is>
      </c>
      <c r="C59" s="82" t="inlineStr">
        <is>
          <t>Air China CA758 13:00–14:40</t>
        </is>
      </c>
      <c r="D59" s="104" t="n">
        <v>0.06944444444444445</v>
      </c>
      <c r="E59" s="106" t="n"/>
      <c r="F59" s="107" t="n"/>
      <c r="G59" s="107" t="n"/>
      <c r="H59" s="107" t="n"/>
      <c r="I59" s="107" t="n"/>
      <c r="J59" s="107" t="n"/>
      <c r="K59" s="107" t="n"/>
      <c r="L59" s="107" t="n"/>
    </row>
    <row r="60" s="56">
      <c r="A60" s="105" t="inlineStr">
        <is>
          <t>12 Nov</t>
        </is>
      </c>
      <c r="B60" s="105" t="inlineStr">
        <is>
          <t>Hohhot: immigration, bags, Spring check-in</t>
        </is>
      </c>
      <c r="C60" s="82" t="inlineStr">
        <is>
          <t>Self-transfer</t>
        </is>
      </c>
      <c r="D60" s="104" t="n">
        <v>0.04166666666666666</v>
      </c>
      <c r="E60" s="106" t="inlineStr">
        <is>
          <t>Estimate; 4 h 25 min between flights</t>
        </is>
      </c>
      <c r="F60" s="107" t="n"/>
      <c r="G60" s="107" t="n"/>
      <c r="H60" s="107" t="n"/>
      <c r="I60" s="107" t="n"/>
      <c r="J60" s="107" t="n"/>
      <c r="K60" s="107" t="n"/>
      <c r="L60" s="107" t="n"/>
    </row>
    <row r="61" s="56">
      <c r="A61" s="105" t="inlineStr">
        <is>
          <t>12 Nov</t>
        </is>
      </c>
      <c r="B61" s="105" t="inlineStr">
        <is>
          <t>Hohhot → Shenyang</t>
        </is>
      </c>
      <c r="C61" s="82" t="inlineStr">
        <is>
          <t>Spring 9C6782 19:05–21:15</t>
        </is>
      </c>
      <c r="D61" s="104" t="n">
        <v>0.09027777777777778</v>
      </c>
      <c r="E61" s="106" t="n"/>
      <c r="F61" s="107" t="n"/>
      <c r="G61" s="107" t="n"/>
      <c r="H61" s="107" t="n"/>
      <c r="I61" s="107" t="n"/>
      <c r="J61" s="107" t="n"/>
      <c r="K61" s="107" t="n"/>
      <c r="L61" s="107" t="n"/>
    </row>
    <row r="62" s="56">
      <c r="A62" s="105" t="inlineStr">
        <is>
          <t>12 Nov</t>
        </is>
      </c>
      <c r="B62" s="105" t="inlineStr">
        <is>
          <t>Taoxian airport → Ji Hotel</t>
        </is>
      </c>
      <c r="C62" s="82" t="inlineStr">
        <is>
          <t>Taxi (~25 km)</t>
        </is>
      </c>
      <c r="D62" s="104" t="n">
        <v>0.03125</v>
      </c>
      <c r="E62" s="106" t="inlineStr">
        <is>
          <t>Check in ~22:15</t>
        </is>
      </c>
      <c r="F62" s="107" t="n"/>
      <c r="G62" s="107" t="n"/>
      <c r="H62" s="107" t="n"/>
      <c r="I62" s="107" t="n"/>
      <c r="J62" s="107" t="n"/>
      <c r="K62" s="107" t="n"/>
      <c r="L62" s="107" t="n"/>
    </row>
    <row r="63" s="56">
      <c r="A63" s="105" t="inlineStr">
        <is>
          <t>13–15 Nov</t>
        </is>
      </c>
      <c r="B63" s="105" t="inlineStr">
        <is>
          <t>Hotel ↔ NEU Nanhu (each way)</t>
        </is>
      </c>
      <c r="C63" s="82" t="inlineStr">
        <is>
          <t>Walk</t>
        </is>
      </c>
      <c r="D63" s="104" t="inlineStr">
        <is>
          <t>daily</t>
        </is>
      </c>
      <c r="E63" s="106" t="inlineStr">
        <is>
          <t>~15 min walk</t>
        </is>
      </c>
      <c r="F63" s="107" t="n"/>
      <c r="G63" s="107" t="n"/>
      <c r="H63" s="107" t="n"/>
      <c r="I63" s="107" t="n"/>
      <c r="J63" s="107" t="n"/>
      <c r="K63" s="107" t="n"/>
      <c r="L63" s="107" t="n"/>
    </row>
    <row r="64" s="56">
      <c r="A64" s="105" t="inlineStr">
        <is>
          <t>15 Nov</t>
        </is>
      </c>
      <c r="B64" s="105" t="inlineStr">
        <is>
          <t>NEU Nanhu → Shenyang station</t>
        </is>
      </c>
      <c r="C64" s="82" t="inlineStr">
        <is>
          <t>Taxi</t>
        </is>
      </c>
      <c r="D64" s="104" t="n">
        <v>0.01388888888888889</v>
      </c>
      <c r="E64" s="106" t="n"/>
      <c r="F64" s="107" t="n"/>
      <c r="G64" s="107" t="n"/>
      <c r="H64" s="107" t="n"/>
      <c r="I64" s="107" t="n"/>
      <c r="J64" s="107" t="n"/>
      <c r="K64" s="107" t="n"/>
      <c r="L64" s="107" t="n"/>
    </row>
    <row r="65" s="56">
      <c r="A65" s="105" t="inlineStr">
        <is>
          <t>15–16 Nov</t>
        </is>
      </c>
      <c r="B65" s="105" t="inlineStr">
        <is>
          <t>Shenyang → Beijing</t>
        </is>
      </c>
      <c r="C65" s="82" t="inlineStr">
        <is>
          <t>K28 hard seat 22:24–08:40</t>
        </is>
      </c>
      <c r="D65" s="104" t="n">
        <v>0.4277777777777778</v>
      </c>
      <c r="E65" s="106" t="inlineStr">
        <is>
          <t>Overnight, after the contest</t>
        </is>
      </c>
      <c r="F65" s="107" t="n"/>
      <c r="G65" s="107" t="n"/>
      <c r="H65" s="107" t="n"/>
      <c r="I65" s="107" t="n"/>
      <c r="J65" s="107" t="n"/>
      <c r="K65" s="107" t="n"/>
      <c r="L65" s="107" t="n"/>
    </row>
    <row r="66" s="56">
      <c r="A66" s="105" t="inlineStr">
        <is>
          <t>16 Nov</t>
        </is>
      </c>
      <c r="B66" s="105" t="inlineStr">
        <is>
          <t>Beijing station → PEK</t>
        </is>
      </c>
      <c r="C66" s="82" t="inlineStr">
        <is>
          <t>Metro line 2 + Airport Express</t>
        </is>
      </c>
      <c r="D66" s="104" t="n">
        <v>0.04166666666666666</v>
      </c>
      <c r="E66" s="106" t="inlineStr">
        <is>
          <t>Be at PEK by ~10:55</t>
        </is>
      </c>
      <c r="F66" s="107" t="n"/>
      <c r="G66" s="107" t="n"/>
      <c r="H66" s="107" t="n"/>
      <c r="I66" s="107" t="n"/>
      <c r="J66" s="107" t="n"/>
      <c r="K66" s="107" t="n"/>
      <c r="L66" s="107" t="n"/>
    </row>
    <row r="67" s="56">
      <c r="A67" s="105" t="inlineStr">
        <is>
          <t>16 Nov</t>
        </is>
      </c>
      <c r="B67" s="105" t="inlineStr">
        <is>
          <t>Beijing (PEK) → Ulaanbaatar</t>
        </is>
      </c>
      <c r="C67" s="82" t="inlineStr">
        <is>
          <t>Air China 12:55–15:05</t>
        </is>
      </c>
      <c r="D67" s="104" t="n">
        <v>0.09027777777777778</v>
      </c>
      <c r="E67" s="106" t="n"/>
      <c r="F67" s="107" t="n"/>
      <c r="G67" s="107" t="n"/>
      <c r="H67" s="107" t="n"/>
      <c r="I67" s="107" t="n"/>
      <c r="J67" s="107" t="n"/>
      <c r="K67" s="107" t="n"/>
      <c r="L67" s="107" t="n"/>
    </row>
    <row r="68" s="56">
      <c r="A68" s="105" t="inlineStr">
        <is>
          <t>16 Nov</t>
        </is>
      </c>
      <c r="B68" s="105" t="inlineStr">
        <is>
          <t>Chinggis Khaan airport → home</t>
        </is>
      </c>
      <c r="C68" s="82" t="inlineStr">
        <is>
          <t>Taxi</t>
        </is>
      </c>
      <c r="D68" s="104" t="n">
        <v>0.04166666666666666</v>
      </c>
      <c r="E68" s="106" t="n"/>
      <c r="F68" s="107" t="n"/>
      <c r="G68" s="107" t="n"/>
      <c r="H68" s="107" t="n"/>
      <c r="I68" s="107" t="n"/>
      <c r="J68" s="107" t="n"/>
      <c r="K68" s="107" t="n"/>
      <c r="L68" s="107" t="n"/>
    </row>
    <row r="69" s="56"/>
    <row r="70" s="56">
      <c r="C70" s="59" t="inlineStr">
        <is>
          <t>Total door-to-door</t>
        </is>
      </c>
      <c r="D70" s="109">
        <f>SUM(D58:D68)</f>
        <v/>
      </c>
    </row>
    <row r="71" s="56"/>
  </sheetData>
  <mergeCells count="20">
    <mergeCell ref="E58:L58"/>
    <mergeCell ref="C52:L52"/>
    <mergeCell ref="E68:L68"/>
    <mergeCell ref="E62:L62"/>
    <mergeCell ref="B46:L46"/>
    <mergeCell ref="E67:L67"/>
    <mergeCell ref="B43:L43"/>
    <mergeCell ref="C53:L53"/>
    <mergeCell ref="E64:L64"/>
    <mergeCell ref="E63:L63"/>
    <mergeCell ref="E60:L60"/>
    <mergeCell ref="E65:L65"/>
    <mergeCell ref="B44:L44"/>
    <mergeCell ref="E59:L59"/>
    <mergeCell ref="C54:L54"/>
    <mergeCell ref="C50:L50"/>
    <mergeCell ref="E61:L61"/>
    <mergeCell ref="E66:L66"/>
    <mergeCell ref="C51:L51"/>
    <mergeCell ref="B45:L4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16"/>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32" customWidth="1" style="56" min="1" max="1"/>
    <col width="22" customWidth="1" style="56" min="2" max="2"/>
    <col width="18" customWidth="1" style="56" min="3" max="3"/>
    <col width="22" customWidth="1" style="56" min="4" max="4"/>
    <col width="12" customWidth="1" style="56" min="5" max="5"/>
    <col width="16" customWidth="1" style="56" min="6" max="6"/>
    <col width="16" customWidth="1" style="56" min="7" max="7"/>
    <col width="16" customWidth="1" style="56" min="8" max="8"/>
    <col width="18" customWidth="1" style="56" min="9" max="9"/>
    <col width="16" customWidth="1" style="56" min="10" max="10"/>
    <col width="10" customWidth="1" style="56" min="11" max="11"/>
    <col width="48" customWidth="1" style="56" min="12" max="12"/>
  </cols>
  <sheetData>
    <row r="1">
      <c r="A1" s="57" t="inlineStr">
        <is>
          <t>Shenyang – way out compared (UB → Shenyang, cheapest first)</t>
        </is>
      </c>
    </row>
    <row r="2" ht="45" customHeight="1" s="56">
      <c r="A2" s="59" t="inlineStr">
        <is>
          <t>Way out = the flights, trains, border jeep and transfer rows of each plan sheet up to arrival in Shenyang (UB home taxi and contingency not included). The rest of every new plan is 'Sleep value' (Ji Hotel twin rooms, K28 hard seat + Air China home) with hotel nights set by the arrival. Prices checked 22 Oct 2026.</t>
        </is>
      </c>
    </row>
    <row r="4" ht="48" customHeight="1" s="56">
      <c r="A4" s="66" t="inlineStr">
        <is>
          <t>Plan (sheet)</t>
        </is>
      </c>
      <c r="B4" s="66" t="inlineStr">
        <is>
          <t>Leave UB</t>
        </is>
      </c>
      <c r="C4" s="66" t="inlineStr">
        <is>
          <t>Arrive Shenyang</t>
        </is>
      </c>
      <c r="D4" s="66" t="inlineStr">
        <is>
          <t>Nights on a train before the contest</t>
        </is>
      </c>
      <c r="E4" s="66" t="inlineStr">
        <is>
          <t>Hotel nights before the contest</t>
        </is>
      </c>
      <c r="F4" s="66" t="inlineStr">
        <is>
          <t>Way out per person – 3 ppl</t>
        </is>
      </c>
      <c r="G4" s="66" t="inlineStr">
        <is>
          <t>Way out – team of 3</t>
        </is>
      </c>
      <c r="H4" s="66" t="inlineStr">
        <is>
          <t>Way out – 4 ppl (funded)</t>
        </is>
      </c>
      <c r="I4" s="66" t="inlineStr">
        <is>
          <t>Whole trip per person – 3 ppl (unfunded)</t>
        </is>
      </c>
      <c r="J4" s="66" t="inlineStr">
        <is>
          <t>Whole trip – team of 3</t>
        </is>
      </c>
      <c r="K4" s="66" t="inlineStr">
        <is>
          <t>Sleep check</t>
        </is>
      </c>
      <c r="L4" s="66" t="inlineStr">
        <is>
          <t>Notes</t>
        </is>
      </c>
    </row>
    <row r="5" ht="30" customHeight="1" s="56">
      <c r="A5" s="67" t="inlineStr">
        <is>
          <t>Shenyang – Overland out (seats)</t>
        </is>
      </c>
      <c r="B5" s="68" t="inlineStr">
        <is>
          <t>Thu 12 Nov 16:40 (train)</t>
        </is>
      </c>
      <c r="C5" s="68" t="inlineStr">
        <is>
          <t>Sat 14 Nov 10:16</t>
        </is>
      </c>
      <c r="D5" s="69" t="inlineStr">
        <is>
          <t>2 (seats)</t>
        </is>
      </c>
      <c r="E5" s="68" t="n">
        <v>1</v>
      </c>
      <c r="F5" s="68">
        <f>('Shenyang – Overland out (seats)'!H12+'Shenyang – Overland out (seats)'!H13+'Shenyang – Overland out (seats)'!H14+'Shenyang – Overland out (seats)'!H15)/Compare!$B$6</f>
        <v/>
      </c>
      <c r="G5" s="69">
        <f>'Shenyang – Overland out (seats)'!H12+'Shenyang – Overland out (seats)'!H13+'Shenyang – Overland out (seats)'!H14+'Shenyang – Overland out (seats)'!H15</f>
        <v/>
      </c>
      <c r="H5" s="70">
        <f>'Shenyang – Overland out (seats)'!K12+'Shenyang – Overland out (seats)'!K13+'Shenyang – Overland out (seats)'!K14+'Shenyang – Overland out (seats)'!K15</f>
        <v/>
      </c>
      <c r="I5" s="70">
        <f>'Shenyang – Overland out (seats)'!H39</f>
        <v/>
      </c>
      <c r="J5" s="124">
        <f>'Shenyang – Overland out (seats)'!H40</f>
        <v/>
      </c>
      <c r="K5" s="71" t="inlineStr">
        <is>
          <t>POOR</t>
        </is>
      </c>
      <c r="L5" s="123" t="inlineStr">
        <is>
          <t>Jeep fare and border hours not verified; missing 4654 at 12:45 costs a day</t>
        </is>
      </c>
    </row>
    <row r="6" ht="30" customHeight="1" s="56">
      <c r="A6" s="67" t="inlineStr">
        <is>
          <t>Shenyang – Overland out, berths</t>
        </is>
      </c>
      <c r="B6" s="68" t="inlineStr">
        <is>
          <t>Thu 12 Nov 16:40 (train)</t>
        </is>
      </c>
      <c r="C6" s="68" t="inlineStr">
        <is>
          <t>Sat 14 Nov 10:16</t>
        </is>
      </c>
      <c r="D6" s="69" t="inlineStr">
        <is>
          <t>2 (berths)</t>
        </is>
      </c>
      <c r="E6" s="68" t="n">
        <v>1</v>
      </c>
      <c r="F6" s="68">
        <f>('Shenyang – Overland out, berths'!H12+'Shenyang – Overland out, berths'!H13+'Shenyang – Overland out, berths'!H14+'Shenyang – Overland out, berths'!H15)/Compare!$B$6</f>
        <v/>
      </c>
      <c r="G6" s="69">
        <f>'Shenyang – Overland out, berths'!H12+'Shenyang – Overland out, berths'!H13+'Shenyang – Overland out, berths'!H14+'Shenyang – Overland out, berths'!H15</f>
        <v/>
      </c>
      <c r="H6" s="70">
        <f>'Shenyang – Overland out, berths'!K12+'Shenyang – Overland out, berths'!K13+'Shenyang – Overland out, berths'!K14+'Shenyang – Overland out, berths'!K15</f>
        <v/>
      </c>
      <c r="I6" s="70">
        <f>'Shenyang – Overland out, berths'!H39</f>
        <v/>
      </c>
      <c r="J6" s="124">
        <f>'Shenyang – Overland out, berths'!H40</f>
        <v/>
      </c>
      <c r="K6" s="71" t="inlineStr">
        <is>
          <t>POOR</t>
        </is>
      </c>
      <c r="L6" s="123" t="inlineStr">
        <is>
          <t>Same timing; platskart + T301 hard sleeper</t>
        </is>
      </c>
    </row>
    <row r="7" ht="30" customHeight="1" s="56">
      <c r="A7" s="67" t="inlineStr">
        <is>
          <t>Shenyang – Manzhouli seats</t>
        </is>
      </c>
      <c r="B7" s="68" t="inlineStr">
        <is>
          <t>Wed 11 Nov 13:20</t>
        </is>
      </c>
      <c r="C7" s="68" t="inlineStr">
        <is>
          <t>Thu 12 Nov 14:32</t>
        </is>
      </c>
      <c r="D7" s="69" t="inlineStr">
        <is>
          <t>1 (seat, 11 Nov)</t>
        </is>
      </c>
      <c r="E7" s="68" t="n">
        <v>3</v>
      </c>
      <c r="F7" s="68">
        <f>('Shenyang – Manzhouli seats'!H10+'Shenyang – Manzhouli seats'!H13+'Shenyang – Manzhouli seats'!H14+'Shenyang – Manzhouli seats'!H21)/Compare!$B$6</f>
        <v/>
      </c>
      <c r="G7" s="69">
        <f>'Shenyang – Manzhouli seats'!H10+'Shenyang – Manzhouli seats'!H13+'Shenyang – Manzhouli seats'!H14+'Shenyang – Manzhouli seats'!H21</f>
        <v/>
      </c>
      <c r="H7" s="70">
        <f>'Shenyang – Manzhouli seats'!K10+'Shenyang – Manzhouli seats'!K13+'Shenyang – Manzhouli seats'!K14+'Shenyang – Manzhouli seats'!K21</f>
        <v/>
      </c>
      <c r="I7" s="70">
        <f>'Shenyang – Manzhouli seats'!H38</f>
        <v/>
      </c>
      <c r="J7" s="124">
        <f>'Shenyang – Manzhouli seats'!H39</f>
        <v/>
      </c>
      <c r="K7" s="71" t="inlineStr">
        <is>
          <t>OK</t>
        </is>
      </c>
      <c r="L7" s="123" t="inlineStr">
        <is>
          <t>Hunnu flies Wed / Sat only; Manzhouli always needs an overnight train</t>
        </is>
      </c>
    </row>
    <row r="8" ht="30" customHeight="1" s="56">
      <c r="A8" s="67" t="inlineStr">
        <is>
          <t>Shenyang – Hunnu Daxing + K341</t>
        </is>
      </c>
      <c r="B8" s="68" t="inlineStr">
        <is>
          <t>Fri 13 Nov 17:55</t>
        </is>
      </c>
      <c r="C8" s="68" t="inlineStr">
        <is>
          <t>Sat 14 Nov 08:47</t>
        </is>
      </c>
      <c r="D8" s="69" t="inlineStr">
        <is>
          <t>1 (seat, eve of day 1)</t>
        </is>
      </c>
      <c r="E8" s="68" t="n">
        <v>1</v>
      </c>
      <c r="F8" s="68">
        <f>('Shenyang – Hunnu Daxing + K341'!H10+'Shenyang – Hunnu Daxing + K341'!H13+'Shenyang – Hunnu Daxing + K341'!H20)/Compare!$B$6</f>
        <v/>
      </c>
      <c r="G8" s="69">
        <f>'Shenyang – Hunnu Daxing + K341'!H10+'Shenyang – Hunnu Daxing + K341'!H13+'Shenyang – Hunnu Daxing + K341'!H20</f>
        <v/>
      </c>
      <c r="H8" s="70">
        <f>'Shenyang – Hunnu Daxing + K341'!K10+'Shenyang – Hunnu Daxing + K341'!K13+'Shenyang – Hunnu Daxing + K341'!K20</f>
        <v/>
      </c>
      <c r="I8" s="70">
        <f>'Shenyang – Hunnu Daxing + K341'!H37</f>
        <v/>
      </c>
      <c r="J8" s="124">
        <f>'Shenyang – Hunnu Daxing + K341'!H38</f>
        <v/>
      </c>
      <c r="K8" s="71" t="inlineStr">
        <is>
          <t>POOR</t>
        </is>
      </c>
      <c r="L8" s="123" t="inlineStr">
        <is>
          <t>~45 min spare between Daxing landing and K341</t>
        </is>
      </c>
    </row>
    <row r="9" ht="30" customHeight="1" s="56">
      <c r="A9" s="67" t="inlineStr">
        <is>
          <t>Shenyang – MIAT 13 Nov + K341</t>
        </is>
      </c>
      <c r="B9" s="68" t="inlineStr">
        <is>
          <t>Fri 13 Nov 17:15</t>
        </is>
      </c>
      <c r="C9" s="68" t="inlineStr">
        <is>
          <t>Sat 14 Nov 08:47</t>
        </is>
      </c>
      <c r="D9" s="69" t="inlineStr">
        <is>
          <t>1 (seat, eve of day 1)</t>
        </is>
      </c>
      <c r="E9" s="68" t="n">
        <v>1</v>
      </c>
      <c r="F9" s="68">
        <f>('Shenyang – MIAT 13 Nov + K341'!H10+'Shenyang – MIAT 13 Nov + K341'!H13+'Shenyang – MIAT 13 Nov + K341'!H20)/Compare!$B$6</f>
        <v/>
      </c>
      <c r="G9" s="69">
        <f>'Shenyang – MIAT 13 Nov + K341'!H10+'Shenyang – MIAT 13 Nov + K341'!H13+'Shenyang – MIAT 13 Nov + K341'!H20</f>
        <v/>
      </c>
      <c r="H9" s="70">
        <f>'Shenyang – MIAT 13 Nov + K341'!K10+'Shenyang – MIAT 13 Nov + K341'!K13+'Shenyang – MIAT 13 Nov + K341'!K20</f>
        <v/>
      </c>
      <c r="I9" s="70">
        <f>'Shenyang – MIAT 13 Nov + K341'!H37</f>
        <v/>
      </c>
      <c r="J9" s="124">
        <f>'Shenyang – MIAT 13 Nov + K341'!H38</f>
        <v/>
      </c>
      <c r="K9" s="71" t="inlineStr">
        <is>
          <t>POOR</t>
        </is>
      </c>
      <c r="L9" s="123" t="inlineStr"/>
    </row>
    <row r="10" ht="30" customHeight="1" s="56">
      <c r="A10" s="67" t="inlineStr">
        <is>
          <t>Shenyang – Hunnu Erenhot</t>
        </is>
      </c>
      <c r="B10" s="68" t="inlineStr">
        <is>
          <t>Fri 13 Nov 08:45</t>
        </is>
      </c>
      <c r="C10" s="68" t="inlineStr">
        <is>
          <t>Sat 14 Nov 10:16</t>
        </is>
      </c>
      <c r="D10" s="69" t="inlineStr">
        <is>
          <t>1 (seat, eve of day 1)</t>
        </is>
      </c>
      <c r="E10" s="68" t="n">
        <v>1</v>
      </c>
      <c r="F10" s="68">
        <f>('Shenyang – Hunnu Erenhot'!H10+'Shenyang – Hunnu Erenhot'!H13+'Shenyang – Hunnu Erenhot'!H14+'Shenyang – Hunnu Erenhot'!H21)/Compare!$B$6</f>
        <v/>
      </c>
      <c r="G10" s="69">
        <f>'Shenyang – Hunnu Erenhot'!H10+'Shenyang – Hunnu Erenhot'!H13+'Shenyang – Hunnu Erenhot'!H14+'Shenyang – Hunnu Erenhot'!H21</f>
        <v/>
      </c>
      <c r="H10" s="70">
        <f>'Shenyang – Hunnu Erenhot'!K10+'Shenyang – Hunnu Erenhot'!K13+'Shenyang – Hunnu Erenhot'!K14+'Shenyang – Hunnu Erenhot'!K21</f>
        <v/>
      </c>
      <c r="I10" s="70">
        <f>'Shenyang – Hunnu Erenhot'!H38</f>
        <v/>
      </c>
      <c r="J10" s="124">
        <f>'Shenyang – Hunnu Erenhot'!H39</f>
        <v/>
      </c>
      <c r="K10" s="71" t="inlineStr">
        <is>
          <t>POOR</t>
        </is>
      </c>
      <c r="L10" s="123" t="inlineStr">
        <is>
          <t>Same trains as overland; wake ~05:30</t>
        </is>
      </c>
    </row>
    <row r="11" ht="30" customHeight="1" s="56">
      <c r="A11" s="67" t="inlineStr">
        <is>
          <t>Shenyang – Hohhot red-eye</t>
        </is>
      </c>
      <c r="B11" s="68" t="inlineStr">
        <is>
          <t>Wed 11 Nov 22:25</t>
        </is>
      </c>
      <c r="C11" s="68" t="inlineStr">
        <is>
          <t>Fri 13 Nov 10:16</t>
        </is>
      </c>
      <c r="D11" s="69" t="inlineStr">
        <is>
          <t>1 (seat, 12 Nov)</t>
        </is>
      </c>
      <c r="E11" s="68" t="n">
        <v>2</v>
      </c>
      <c r="F11" s="68">
        <f>('Shenyang – Hohhot red-eye'!H10+'Shenyang – Hohhot red-eye'!H13+'Shenyang – Hohhot red-eye'!H16+'Shenyang – Hohhot red-eye'!H21)/Compare!$B$6</f>
        <v/>
      </c>
      <c r="G11" s="69">
        <f>'Shenyang – Hohhot red-eye'!H10+'Shenyang – Hohhot red-eye'!H13+'Shenyang – Hohhot red-eye'!H16+'Shenyang – Hohhot red-eye'!H21</f>
        <v/>
      </c>
      <c r="H11" s="70">
        <f>'Shenyang – Hohhot red-eye'!K10+'Shenyang – Hohhot red-eye'!K13+'Shenyang – Hohhot red-eye'!K16+'Shenyang – Hohhot red-eye'!K21</f>
        <v/>
      </c>
      <c r="I11" s="70">
        <f>'Shenyang – Hohhot red-eye'!H38</f>
        <v/>
      </c>
      <c r="J11" s="124">
        <f>'Shenyang – Hohhot red-eye'!H39</f>
        <v/>
      </c>
      <c r="K11" s="71" t="inlineStr">
        <is>
          <t>WATCH</t>
        </is>
      </c>
      <c r="L11" s="123" t="inlineStr">
        <is>
          <t>Hohhot hotel price is a guess</t>
        </is>
      </c>
    </row>
    <row r="12" ht="30" customHeight="1" s="56">
      <c r="A12" s="67" t="inlineStr">
        <is>
          <t>Shenyang – Budget</t>
        </is>
      </c>
      <c r="B12" s="68" t="inlineStr">
        <is>
          <t>Fri 13 Nov 17:15</t>
        </is>
      </c>
      <c r="C12" s="68" t="inlineStr">
        <is>
          <t>Sat 14 Nov 07:00</t>
        </is>
      </c>
      <c r="D12" s="69" t="inlineStr">
        <is>
          <t>1 (soft sleeper, eve of day 1)</t>
        </is>
      </c>
      <c r="E12" s="68" t="n">
        <v>1</v>
      </c>
      <c r="F12" s="68">
        <f>('Shenyang – Budget'!H10+'Shenyang – Budget'!H13)/Compare!$B$6</f>
        <v/>
      </c>
      <c r="G12" s="69">
        <f>'Shenyang – Budget'!H10+'Shenyang – Budget'!H13</f>
        <v/>
      </c>
      <c r="H12" s="70">
        <f>'Shenyang – Budget'!K10+'Shenyang – Budget'!K13</f>
        <v/>
      </c>
      <c r="I12" s="70">
        <f>'Shenyang – Budget'!H37</f>
        <v/>
      </c>
      <c r="J12" s="124">
        <f>'Shenyang – Budget'!H38</f>
        <v/>
      </c>
      <c r="K12" s="71" t="inlineStr">
        <is>
          <t>WATCH</t>
        </is>
      </c>
      <c r="L12" s="123" t="inlineStr">
        <is>
          <t>Older plan (30 Sep – 3 Oct prices): MIAT $150 + K53 soft sleeper</t>
        </is>
      </c>
    </row>
    <row r="13" ht="30" customHeight="1" s="56">
      <c r="A13" s="67" t="inlineStr">
        <is>
          <t>Shenyang – Hohhot + Spring</t>
        </is>
      </c>
      <c r="B13" s="68" t="inlineStr">
        <is>
          <t>Thu 12 Nov 13:00</t>
        </is>
      </c>
      <c r="C13" s="68" t="inlineStr">
        <is>
          <t>Thu 12 Nov 21:15</t>
        </is>
      </c>
      <c r="D13" s="69" t="inlineStr">
        <is>
          <t>0</t>
        </is>
      </c>
      <c r="E13" s="68" t="n">
        <v>3</v>
      </c>
      <c r="F13" s="68">
        <f>('Shenyang – Hohhot + Spring'!H10+'Shenyang – Hohhot + Spring'!H11+'Shenyang – Hohhot + Spring'!H12+'Shenyang – Hohhot + Spring'!H21)/Compare!$B$6</f>
        <v/>
      </c>
      <c r="G13" s="69">
        <f>'Shenyang – Hohhot + Spring'!H10+'Shenyang – Hohhot + Spring'!H11+'Shenyang – Hohhot + Spring'!H12+'Shenyang – Hohhot + Spring'!H21</f>
        <v/>
      </c>
      <c r="H13" s="70">
        <f>'Shenyang – Hohhot + Spring'!K10+'Shenyang – Hohhot + Spring'!K11+'Shenyang – Hohhot + Spring'!K12+'Shenyang – Hohhot + Spring'!K21</f>
        <v/>
      </c>
      <c r="I13" s="70">
        <f>'Shenyang – Hohhot + Spring'!H38</f>
        <v/>
      </c>
      <c r="J13" s="124">
        <f>'Shenyang – Hohhot + Spring'!H39</f>
        <v/>
      </c>
      <c r="K13" s="71" t="inlineStr">
        <is>
          <t>BEST</t>
        </is>
      </c>
      <c r="L13" s="123" t="inlineStr">
        <is>
          <t>Two tickets, 4 h 25 min self-transfer in Hohhot; Spring bag fee assumed ¥120</t>
        </is>
      </c>
    </row>
    <row r="14" ht="30" customHeight="1" s="56">
      <c r="A14" s="67" t="inlineStr">
        <is>
          <t>Shenyang – Sleep value</t>
        </is>
      </c>
      <c r="B14" s="68" t="inlineStr">
        <is>
          <t>Thu 12 Nov 11:50</t>
        </is>
      </c>
      <c r="C14" s="68" t="inlineStr">
        <is>
          <t>Thu 12 Nov 20:04</t>
        </is>
      </c>
      <c r="D14" s="69" t="inlineStr">
        <is>
          <t>0</t>
        </is>
      </c>
      <c r="E14" s="68" t="n">
        <v>3</v>
      </c>
      <c r="F14" s="68">
        <f>('Shenyang – Sleep value'!H10+'Shenyang – Sleep value'!H13+'Shenyang – Sleep value'!H20)/Compare!$B$6</f>
        <v/>
      </c>
      <c r="G14" s="69">
        <f>'Shenyang – Sleep value'!H10+'Shenyang – Sleep value'!H13+'Shenyang – Sleep value'!H20</f>
        <v/>
      </c>
      <c r="H14" s="70">
        <f>'Shenyang – Sleep value'!K10+'Shenyang – Sleep value'!K13+'Shenyang – Sleep value'!K20</f>
        <v/>
      </c>
      <c r="I14" s="70">
        <f>'Shenyang – Sleep value'!H37</f>
        <v/>
      </c>
      <c r="J14" s="124">
        <f>'Shenyang – Sleep value'!H38</f>
        <v/>
      </c>
      <c r="K14" s="71" t="inlineStr">
        <is>
          <t>BEST</t>
        </is>
      </c>
      <c r="L14" s="123" t="inlineStr">
        <is>
          <t>Current sleep-first plan: Air China ¥1,291 + G153</t>
        </is>
      </c>
    </row>
    <row r="15" s="56"/>
    <row r="16" ht="32" customHeight="1" s="56">
      <c r="A16" s="58" t="inlineStr">
        <is>
          <t>Manzhouli needs overnight travel: Hunnu lands 15:00 and there is no same-day flight or fast train on (Ctrip 22 Oct: all Manzhouli → Harbin / Shenyang flights stop overnight in Hohhot or Beijing). Without a night train it costs two extra hotel nights (Manzhouli + Harbin) and arrives 13 Nov.</t>
        </is>
      </c>
    </row>
  </sheetData>
  <mergeCells count="2">
    <mergeCell ref="A2:L2"/>
    <mergeCell ref="A16:L16"/>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71"/>
  <sheetViews>
    <sheetView workbookViewId="0">
      <pane xSplit="2" ySplit="7" topLeftCell="C8" activePane="bottomRight" state="frozen"/>
      <selection pane="topRight" activeCell="A1" sqref="A1"/>
      <selection pane="bottomLeft" activeCell="A1" sqref="A1"/>
      <selection pane="bottomRight" activeCell="A1" sqref="A1"/>
    </sheetView>
  </sheetViews>
  <sheetFormatPr baseColWidth="8" defaultRowHeight="15"/>
  <cols>
    <col width="26" customWidth="1" style="56" min="1" max="1"/>
    <col width="52" customWidth="1" style="56" min="2" max="2"/>
    <col width="20" customWidth="1" style="56" min="3" max="3"/>
    <col width="15" customWidth="1" style="56" min="4" max="4"/>
    <col width="13" customWidth="1" style="56" min="5" max="5"/>
    <col width="9" customWidth="1" style="56" min="6" max="6"/>
    <col width="17" customWidth="1" style="56" min="8" max="8"/>
    <col width="13" customWidth="1" style="56" min="9" max="9"/>
    <col width="9" customWidth="1" style="56" min="10" max="10"/>
    <col width="17" customWidth="1" style="56" min="11" max="11"/>
    <col width="58" customWidth="1" style="56" min="12" max="12"/>
  </cols>
  <sheetData>
    <row r="1" ht="17.35" customHeight="1" s="56">
      <c r="A1" s="57" t="inlineStr">
        <is>
          <t>Shanghai – Sleeper</t>
        </is>
      </c>
    </row>
    <row r="2" ht="15" customHeight="1" s="56">
      <c r="A2" s="62" t="inlineStr">
        <is>
          <t>MIAT + high-speed rail out two days before; D8 overnight seat back to Beijing and Air China home on 7 Dec; two cheap rooms 1.8 km from the venue.</t>
        </is>
      </c>
    </row>
    <row r="4" ht="15" customHeight="1" s="56">
      <c r="A4" s="60" t="inlineStr">
        <is>
          <t>Days in destination (meals &amp; local transport)</t>
        </is>
      </c>
      <c r="B4" s="76" t="n">
        <v>4</v>
      </c>
      <c r="C4" s="62" t="inlineStr">
        <is>
          <t>3 Dec → morning 7 Dec</t>
        </is>
      </c>
    </row>
    <row r="5" ht="15" customHeight="1" s="56">
      <c r="A5" s="62" t="inlineStr">
        <is>
          <t>Shared inputs are on the Compare sheet. Scroll down for the day-by-day plan and door-to-door travel times.</t>
        </is>
      </c>
    </row>
    <row r="7" ht="31.5" customHeight="1" s="56">
      <c r="A7" s="66" t="inlineStr">
        <is>
          <t>Category</t>
        </is>
      </c>
      <c r="B7" s="66" t="inlineStr">
        <is>
          <t>Item</t>
        </is>
      </c>
      <c r="C7" s="66" t="inlineStr">
        <is>
          <t>Date</t>
        </is>
      </c>
      <c r="D7" s="66" t="inlineStr">
        <is>
          <t>Travel time</t>
        </is>
      </c>
      <c r="E7" s="66" t="inlineStr">
        <is>
          <t>Unit cost (3 ppl)</t>
        </is>
      </c>
      <c r="F7" s="66" t="inlineStr">
        <is>
          <t>Currency</t>
        </is>
      </c>
      <c r="G7" s="66" t="inlineStr">
        <is>
          <t>Qty (3 ppl)</t>
        </is>
      </c>
      <c r="H7" s="66" t="inlineStr">
        <is>
          <t>Total MNT – 3 people</t>
        </is>
      </c>
      <c r="I7" s="66" t="inlineStr">
        <is>
          <t>Unit cost (4 ppl)</t>
        </is>
      </c>
      <c r="J7" s="66" t="inlineStr">
        <is>
          <t>Qty (4 ppl)</t>
        </is>
      </c>
      <c r="K7" s="66" t="inlineStr">
        <is>
          <t>Total MNT – 4 people</t>
        </is>
      </c>
      <c r="L7" s="66" t="inlineStr">
        <is>
          <t>Source / notes</t>
        </is>
      </c>
    </row>
    <row r="8" ht="15" customHeight="1" s="56">
      <c r="A8" s="77" t="inlineStr">
        <is>
          <t>PAID BY UNIVERSITY</t>
        </is>
      </c>
      <c r="B8" s="78" t="n"/>
      <c r="C8" s="78" t="n"/>
      <c r="D8" s="78" t="n"/>
      <c r="E8" s="78" t="n"/>
      <c r="F8" s="78" t="n"/>
      <c r="G8" s="78" t="n"/>
      <c r="H8" s="78" t="n"/>
      <c r="I8" s="78" t="n"/>
      <c r="J8" s="78" t="n"/>
      <c r="K8" s="78" t="n"/>
      <c r="L8" s="78" t="n"/>
    </row>
    <row r="9" ht="15" customHeight="1" s="56">
      <c r="A9" s="79" t="inlineStr">
        <is>
          <t>Flights</t>
        </is>
      </c>
      <c r="B9" s="80" t="n"/>
      <c r="C9" s="80" t="n"/>
      <c r="D9" s="80" t="n"/>
      <c r="E9" s="80" t="n"/>
      <c r="F9" s="80" t="n"/>
      <c r="G9" s="80" t="n"/>
      <c r="H9" s="80" t="n"/>
      <c r="I9" s="80" t="n"/>
      <c r="J9" s="80" t="n"/>
      <c r="K9" s="80" t="n"/>
      <c r="L9" s="80" t="n"/>
    </row>
    <row r="10" ht="45" customHeight="1" s="56">
      <c r="A10" s="81" t="n"/>
      <c r="B10" s="111" t="inlineStr">
        <is>
          <t>MIAT OM223 Ulaanbaatar → Beijing (PEK), 07:30–09:45</t>
        </is>
      </c>
      <c r="C10" s="83" t="inlineStr">
        <is>
          <t>3 Dec</t>
        </is>
      </c>
      <c r="D10" s="84" t="n">
        <v>0.09375</v>
      </c>
      <c r="E10" s="85" t="n">
        <v>151</v>
      </c>
      <c r="F10" s="86" t="inlineStr">
        <is>
          <t>USD</t>
        </is>
      </c>
      <c r="G10" s="87">
        <f>Compare!$B$6</f>
        <v/>
      </c>
      <c r="H10" s="88">
        <f>E10*G10*IF(F10="USD",Compare!$B$8,IF(F10="CNY",Compare!$B$9,IF(F10="HKD",Compare!$B$10,1)))</f>
        <v/>
      </c>
      <c r="I10" s="89">
        <f>E10</f>
        <v/>
      </c>
      <c r="J10" s="87">
        <f>Compare!$B$7</f>
        <v/>
      </c>
      <c r="K10" s="88">
        <f>I10*J10*IF(F10="USD",Compare!$B$8,IF(F10="CNY",Compare!$B$9,IF(F10="HKD",Compare!$B$10,1)))</f>
        <v/>
      </c>
      <c r="L10" s="112" t="inlineStr">
        <is>
          <t>Trip.com 10 Oct (built-in browser): MIAT 07:30–09:45 $151 pp; SlickTrip $154 ('low' against the usual $206–410). Air China 11:50 is $200</t>
        </is>
      </c>
    </row>
    <row r="11" ht="45" customHeight="1" s="56">
      <c r="A11" s="81" t="n"/>
      <c r="B11" s="111" t="inlineStr">
        <is>
          <t>Air China CA955 Beijing (PEK) → Ulaanbaatar, nonstop 12:55–15:05</t>
        </is>
      </c>
      <c r="C11" s="83" t="inlineStr">
        <is>
          <t>7 Dec</t>
        </is>
      </c>
      <c r="D11" s="84" t="n">
        <v>0.09027777777777778</v>
      </c>
      <c r="E11" s="85" t="n">
        <v>172</v>
      </c>
      <c r="F11" s="86" t="inlineStr">
        <is>
          <t>USD</t>
        </is>
      </c>
      <c r="G11" s="87">
        <f>Compare!$B$6</f>
        <v/>
      </c>
      <c r="H11" s="88">
        <f>E11*G11*IF(F11="USD",Compare!$B$8,IF(F11="CNY",Compare!$B$9,IF(F11="HKD",Compare!$B$10,1)))</f>
        <v/>
      </c>
      <c r="I11" s="89">
        <f>E11</f>
        <v/>
      </c>
      <c r="J11" s="87">
        <f>Compare!$B$7</f>
        <v/>
      </c>
      <c r="K11" s="88">
        <f>I11*J11*IF(F11="USD",Compare!$B$8,IF(F11="CNY",Compare!$B$9,IF(F11="HKD",Compare!$B$10,1)))</f>
        <v/>
      </c>
      <c r="L11" s="112" t="inlineStr">
        <is>
          <t>Trip.com 10 Oct: Air China 12:55 $172 pp (08:25 also $172; MIAT 11:30 $193, SlickTrip $197). The 12:55 departure leaves time after the D8 seat</t>
        </is>
      </c>
    </row>
    <row r="12" ht="15" customHeight="1" s="56">
      <c r="A12" s="79" t="inlineStr">
        <is>
          <t>Trains</t>
        </is>
      </c>
      <c r="B12" s="80" t="n"/>
      <c r="C12" s="80" t="n"/>
      <c r="D12" s="80" t="n"/>
      <c r="E12" s="80" t="n"/>
      <c r="F12" s="80" t="n"/>
      <c r="G12" s="80" t="n"/>
      <c r="H12" s="80" t="n"/>
      <c r="I12" s="80" t="n"/>
      <c r="J12" s="80" t="n"/>
      <c r="K12" s="80" t="n"/>
      <c r="L12" s="80" t="n"/>
    </row>
    <row r="13" ht="45" customHeight="1" s="56">
      <c r="A13" s="81" t="n"/>
      <c r="B13" s="111" t="inlineStr">
        <is>
          <t>High-speed rail Beijing South 13:00 → Shanghai 17:35 (G17), 2nd class</t>
        </is>
      </c>
      <c r="C13" s="83" t="inlineStr">
        <is>
          <t>3 Dec</t>
        </is>
      </c>
      <c r="D13" s="84" t="n">
        <v>0.1909722222222222</v>
      </c>
      <c r="E13" s="85" t="n">
        <v>667</v>
      </c>
      <c r="F13" s="86" t="inlineStr">
        <is>
          <t>CNY</t>
        </is>
      </c>
      <c r="G13" s="87">
        <f>Compare!$B$6</f>
        <v/>
      </c>
      <c r="H13" s="88">
        <f>E13*G13*IF(F13="USD",Compare!$B$8,IF(F13="CNY",Compare!$B$9,IF(F13="HKD",Compare!$B$10,1)))</f>
        <v/>
      </c>
      <c r="I13" s="89">
        <f>E13</f>
        <v/>
      </c>
      <c r="J13" s="87">
        <f>Compare!$B$7</f>
        <v/>
      </c>
      <c r="K13" s="88">
        <f>I13*J13*IF(F13="USD",Compare!$B$8,IF(F13="CNY",Compare!$B$9,IF(F13="HKD",Compare!$B$10,1)))</f>
        <v/>
      </c>
      <c r="L13" s="112" t="inlineStr">
        <is>
          <t>12306 (queried 10 Oct for 20 Oct; fares fixed): G17 ¥667; G15 12:00 → Hongqiao ¥661 is too tight after MIAT lands 09:45; G1 06:30 → Hongqiao ¥598 is too early</t>
        </is>
      </c>
    </row>
    <row r="14" ht="60" customHeight="1" s="56">
      <c r="A14" s="81" t="n"/>
      <c r="B14" s="111" t="inlineStr">
        <is>
          <t>Overnight train D8 Shanghai 19:08 → Beijing 07:17 (+1), 2nd-class seat (after the contest)</t>
        </is>
      </c>
      <c r="C14" s="83" t="inlineStr">
        <is>
          <t>6 Dec (night)</t>
        </is>
      </c>
      <c r="D14" s="84" t="n">
        <v>0.50625</v>
      </c>
      <c r="E14" s="85" t="n">
        <v>361</v>
      </c>
      <c r="F14" s="86" t="inlineStr">
        <is>
          <t>CNY</t>
        </is>
      </c>
      <c r="G14" s="87">
        <f>Compare!$B$6</f>
        <v/>
      </c>
      <c r="H14" s="88">
        <f>E14*G14*IF(F14="USD",Compare!$B$8,IF(F14="CNY",Compare!$B$9,IF(F14="HKD",Compare!$B$10,1)))</f>
        <v/>
      </c>
      <c r="I14" s="89">
        <f>E14</f>
        <v/>
      </c>
      <c r="J14" s="87">
        <f>Compare!$B$7</f>
        <v/>
      </c>
      <c r="K14" s="88">
        <f>I14*J14*IF(F14="USD",Compare!$B$8,IF(F14="CNY",Compare!$B$9,IF(F14="HKD",Compare!$B$10,1)))</f>
        <v/>
      </c>
      <c r="L14" s="112" t="inlineStr">
        <is>
          <t>12306 10 Oct: D8 2nd-class seat ¥361 (sleeper ¥440, saves ¥79 pp); D6 21:15 → 09:25 ¥450 seat. After the contest sleep no longer matters. Arrives 07:17 (Beijing station) – plenty of time for the 12:55 flight. Sales open 22 Nov 14:45</t>
        </is>
      </c>
    </row>
    <row r="15" ht="15" customHeight="1" s="56">
      <c r="A15" s="79" t="inlineStr">
        <is>
          <t>Accommodation</t>
        </is>
      </c>
      <c r="B15" s="80" t="n"/>
      <c r="C15" s="80" t="n"/>
      <c r="D15" s="80" t="n"/>
      <c r="E15" s="80" t="n"/>
      <c r="F15" s="80" t="n"/>
      <c r="G15" s="80" t="n"/>
      <c r="H15" s="80" t="n"/>
      <c r="I15" s="80" t="n"/>
      <c r="J15" s="80" t="n"/>
      <c r="K15" s="80" t="n"/>
      <c r="L15" s="80" t="n"/>
    </row>
    <row r="16" ht="105" customHeight="1" s="56">
      <c r="A16" s="81" t="n"/>
      <c r="B16" s="111" t="inlineStr">
        <is>
          <t>Hi Inn Shanghai University Hutai Road (1.8 km, 8.9) – 3 ppl: 2 rooms (2 + 1 beds); 4 ppl: Jtour Inn Hotel Shanghai University (1.8 km, 8.6), 2 rooms of 2</t>
        </is>
      </c>
      <c r="C16" s="83" t="inlineStr">
        <is>
          <t>3–6 Dec (3 nights)</t>
        </is>
      </c>
      <c r="D16" s="81" t="n"/>
      <c r="E16" s="85">
        <f>820/3</f>
        <v/>
      </c>
      <c r="F16" s="86" t="inlineStr">
        <is>
          <t>CNY</t>
        </is>
      </c>
      <c r="G16" s="91" t="n">
        <v>3</v>
      </c>
      <c r="H16" s="88">
        <f>E16*G16*IF(F16="USD",Compare!$B$8,IF(F16="CNY",Compare!$B$9,IF(F16="HKD",Compare!$B$10,1)))</f>
        <v/>
      </c>
      <c r="I16" s="85">
        <f>708/3</f>
        <v/>
      </c>
      <c r="J16" s="91" t="n">
        <v>3</v>
      </c>
      <c r="K16" s="88">
        <f>I16*J16*IF(F16="USD",Compare!$B$8,IF(F16="CNY",Compare!$B$9,IF(F16="HKD",Compare!$B$10,1)))</f>
        <v/>
      </c>
      <c r="L16" s="112" t="inlineStr">
        <is>
          <t>Trip.com 10 Oct (Shanghai University landmark, Hotel + private-bathroom filters, lowest price first): Hi Inn Shanghai University Hutai Road (1.8 km walk, 8.9 from 423 reviews, Comfort Twin Room with fresh-air system) ¥820 for 3 nights, 2 rooms, for 3 ppl; Jtour Inn Hotel Shanghai University (1.8 km, 8.6 from 142 reviews) ¥708 for 4 ppl (2 rooms of 2; it is not offered for 3 adults). Cheaper but worse: Yibai Gucun Park (5.2 km, 7.9) ¥624, Boshi Changzhong Rd (2.5 km, 8.2) ¥684. Compare Jenny's Apartment, 1 room for 3: ¥1,375.</t>
        </is>
      </c>
    </row>
    <row r="17" ht="15" customHeight="1" s="56">
      <c r="A17" s="79" t="inlineStr">
        <is>
          <t>Meals &amp; local transport</t>
        </is>
      </c>
      <c r="B17" s="80" t="n"/>
      <c r="C17" s="80" t="n"/>
      <c r="D17" s="80" t="n"/>
      <c r="E17" s="80" t="n"/>
      <c r="F17" s="80" t="n"/>
      <c r="G17" s="80" t="n"/>
      <c r="H17" s="80" t="n"/>
      <c r="I17" s="80" t="n"/>
      <c r="J17" s="80" t="n"/>
      <c r="K17" s="80" t="n"/>
      <c r="L17" s="80" t="n"/>
    </row>
    <row r="18" ht="30" customHeight="1" s="56">
      <c r="A18" s="81" t="n"/>
      <c r="B18" s="111" t="inlineStr">
        <is>
          <t>Meals</t>
        </is>
      </c>
      <c r="C18" s="83" t="inlineStr">
        <is>
          <t>in destination</t>
        </is>
      </c>
      <c r="D18" s="81" t="n"/>
      <c r="E18" s="113" t="n">
        <v>80</v>
      </c>
      <c r="F18" s="86" t="inlineStr">
        <is>
          <t>CNY</t>
        </is>
      </c>
      <c r="G18" s="87">
        <f>Compare!$B$6*$B$4</f>
        <v/>
      </c>
      <c r="H18" s="88">
        <f>E18*G18*IF(F18="USD",Compare!$B$8,IF(F18="CNY",Compare!$B$9,IF(F18="HKD",Compare!$B$10,1)))</f>
        <v/>
      </c>
      <c r="I18" s="114">
        <f>E18</f>
        <v/>
      </c>
      <c r="J18" s="87">
        <f>Compare!$B$7*$B$4</f>
        <v/>
      </c>
      <c r="K18" s="88">
        <f>I18*J18*IF(F18="USD",Compare!$B$8,IF(F18="CNY",Compare!$B$9,IF(F18="HKD",Compare!$B$10,1)))</f>
        <v/>
      </c>
      <c r="L18" s="112" t="inlineStr">
        <is>
          <t>ASSUMPTION 80 CNY/person/day; hosts usually provide some meals on contest days</t>
        </is>
      </c>
    </row>
    <row r="19" ht="15" customHeight="1" s="56">
      <c r="A19" s="81" t="n"/>
      <c r="B19" s="111" t="inlineStr">
        <is>
          <t>Local transport (metro, taxis)</t>
        </is>
      </c>
      <c r="C19" s="83" t="inlineStr">
        <is>
          <t>in destination</t>
        </is>
      </c>
      <c r="D19" s="81" t="n"/>
      <c r="E19" s="113" t="n">
        <v>30</v>
      </c>
      <c r="F19" s="86" t="inlineStr">
        <is>
          <t>CNY</t>
        </is>
      </c>
      <c r="G19" s="87">
        <f>Compare!$B$6*$B$4</f>
        <v/>
      </c>
      <c r="H19" s="88">
        <f>E19*G19*IF(F19="USD",Compare!$B$8,IF(F19="CNY",Compare!$B$9,IF(F19="HKD",Compare!$B$10,1)))</f>
        <v/>
      </c>
      <c r="I19" s="114">
        <f>E19</f>
        <v/>
      </c>
      <c r="J19" s="87">
        <f>Compare!$B$7*$B$4</f>
        <v/>
      </c>
      <c r="K19" s="88">
        <f>I19*J19*IF(F19="USD",Compare!$B$8,IF(F19="CNY",Compare!$B$9,IF(F19="HKD",Compare!$B$10,1)))</f>
        <v/>
      </c>
      <c r="L19" s="112" t="inlineStr">
        <is>
          <t>ASSUMPTION 30 CNY/person/day</t>
        </is>
      </c>
    </row>
    <row r="20" ht="30" customHeight="1" s="56">
      <c r="A20" s="81" t="n"/>
      <c r="B20" s="111" t="inlineStr">
        <is>
          <t>Taxi PEK → Beijing South</t>
        </is>
      </c>
      <c r="C20" s="83" t="inlineStr">
        <is>
          <t>3 Dec</t>
        </is>
      </c>
      <c r="D20" s="84" t="n"/>
      <c r="E20" s="113" t="n">
        <v>120</v>
      </c>
      <c r="F20" s="86" t="inlineStr">
        <is>
          <t>CNY</t>
        </is>
      </c>
      <c r="G20" s="91" t="n">
        <v>1</v>
      </c>
      <c r="H20" s="88">
        <f>E20*G20*IF(F20="USD",Compare!$B$8,IF(F20="CNY",Compare!$B$9,IF(F20="HKD",Compare!$B$10,1)))</f>
        <v/>
      </c>
      <c r="I20" s="114">
        <f>E20</f>
        <v/>
      </c>
      <c r="J20" s="91" t="n">
        <v>1</v>
      </c>
      <c r="K20" s="88">
        <f>I20*J20*IF(F20="USD",Compare!$B$8,IF(F20="CNY",Compare!$B$9,IF(F20="HKD",Compare!$B$10,1)))</f>
        <v/>
      </c>
      <c r="L20" s="112" t="inlineStr">
        <is>
          <t>ASSUMPTION ~120 CNY per car (~45 km); Airport Express + metro is ~40 CNY pp</t>
        </is>
      </c>
    </row>
    <row r="21" ht="30" customHeight="1" s="56">
      <c r="A21" s="81" t="n"/>
      <c r="B21" s="111" t="inlineStr">
        <is>
          <t>Taxi Shanghai station ↔ hotel (arrival and departure)</t>
        </is>
      </c>
      <c r="C21" s="83" t="inlineStr">
        <is>
          <t>3 &amp; 6 Dec</t>
        </is>
      </c>
      <c r="D21" s="84" t="n"/>
      <c r="E21" s="113" t="n">
        <v>80</v>
      </c>
      <c r="F21" s="86" t="inlineStr">
        <is>
          <t>CNY</t>
        </is>
      </c>
      <c r="G21" s="91" t="n">
        <v>2</v>
      </c>
      <c r="H21" s="88">
        <f>E21*G21*IF(F21="USD",Compare!$B$8,IF(F21="CNY",Compare!$B$9,IF(F21="HKD",Compare!$B$10,1)))</f>
        <v/>
      </c>
      <c r="I21" s="114">
        <f>E21</f>
        <v/>
      </c>
      <c r="J21" s="91" t="n">
        <v>2</v>
      </c>
      <c r="K21" s="88">
        <f>I21*J21*IF(F21="USD",Compare!$B$8,IF(F21="CNY",Compare!$B$9,IF(F21="HKD",Compare!$B$10,1)))</f>
        <v/>
      </c>
      <c r="L21" s="112" t="inlineStr">
        <is>
          <t>ASSUMPTION ~80 CNY per car, ~25 km each way</t>
        </is>
      </c>
    </row>
    <row r="22" ht="30" customHeight="1" s="56">
      <c r="A22" s="81" t="n"/>
      <c r="B22" s="111" t="inlineStr">
        <is>
          <t>Metro/taxi Beijing station → PEK</t>
        </is>
      </c>
      <c r="C22" s="83" t="inlineStr">
        <is>
          <t>7 Dec</t>
        </is>
      </c>
      <c r="D22" s="84" t="n"/>
      <c r="E22" s="113" t="n">
        <v>120</v>
      </c>
      <c r="F22" s="86" t="inlineStr">
        <is>
          <t>CNY</t>
        </is>
      </c>
      <c r="G22" s="91" t="n">
        <v>1</v>
      </c>
      <c r="H22" s="88">
        <f>E22*G22*IF(F22="USD",Compare!$B$8,IF(F22="CNY",Compare!$B$9,IF(F22="HKD",Compare!$B$10,1)))</f>
        <v/>
      </c>
      <c r="I22" s="114">
        <f>E22</f>
        <v/>
      </c>
      <c r="J22" s="91" t="n">
        <v>1</v>
      </c>
      <c r="K22" s="88">
        <f>I22*J22*IF(F22="USD",Compare!$B$8,IF(F22="CNY",Compare!$B$9,IF(F22="HKD",Compare!$B$10,1)))</f>
        <v/>
      </c>
      <c r="L22" s="112" t="inlineStr">
        <is>
          <t>ASSUMPTION ~120 CNY per car; metro line 2 + Airport Express ~35 CNY pp</t>
        </is>
      </c>
    </row>
    <row r="23" ht="15" customHeight="1" s="56">
      <c r="A23" s="94" t="inlineStr">
        <is>
          <t>PAID PERSONALLY (university won't cover)</t>
        </is>
      </c>
      <c r="B23" s="95" t="n"/>
      <c r="C23" s="95" t="n"/>
      <c r="D23" s="95" t="n"/>
      <c r="E23" s="95" t="n"/>
      <c r="F23" s="95" t="n"/>
      <c r="G23" s="95" t="n"/>
      <c r="H23" s="95" t="n"/>
      <c r="I23" s="95" t="n"/>
      <c r="J23" s="95" t="n"/>
      <c r="K23" s="95" t="n"/>
      <c r="L23" s="95" t="n"/>
    </row>
    <row r="24" ht="15" customHeight="1" s="56">
      <c r="A24" s="79" t="inlineStr">
        <is>
          <t>Contest fee</t>
        </is>
      </c>
      <c r="B24" s="80" t="n"/>
      <c r="C24" s="80" t="n"/>
      <c r="D24" s="80" t="n"/>
      <c r="E24" s="80" t="n"/>
      <c r="F24" s="80" t="n"/>
      <c r="G24" s="80" t="n"/>
      <c r="H24" s="80" t="n"/>
      <c r="I24" s="80" t="n"/>
      <c r="J24" s="80" t="n"/>
      <c r="K24" s="80" t="n"/>
      <c r="L24" s="80" t="n"/>
    </row>
    <row r="25" ht="22.35" customHeight="1" s="56">
      <c r="A25" s="81" t="n"/>
      <c r="B25" s="82" t="inlineStr">
        <is>
          <t>Shanghai regional registration fee (per team)</t>
        </is>
      </c>
      <c r="C25" s="83" t="inlineStr">
        <is>
          <t>TBC</t>
        </is>
      </c>
      <c r="D25" s="81" t="n"/>
      <c r="E25" s="113" t="n">
        <v>1500</v>
      </c>
      <c r="F25" s="86" t="inlineStr">
        <is>
          <t>CNY</t>
        </is>
      </c>
      <c r="G25" s="91" t="n">
        <v>1</v>
      </c>
      <c r="H25" s="88">
        <f>E25*G25*IF(F25="USD",Compare!$B$8,IF(F25="CNY",Compare!$B$9,IF(F25="HKD",Compare!$B$10,1)))</f>
        <v/>
      </c>
      <c r="I25" s="114">
        <f>E25</f>
        <v/>
      </c>
      <c r="J25" s="91" t="n">
        <v>1</v>
      </c>
      <c r="K25" s="88">
        <f>I25*J25*IF(F25="USD",Compare!$B$8,IF(F25="CNY",Compare!$B$9,IF(F25="HKD",Compare!$B$10,1)))</f>
        <v/>
      </c>
      <c r="L25" s="90" t="inlineStr">
        <is>
          <t>¥1,500/team in the 2025 Shanghai invitation (shu_icpc); 2026 invitation not seen</t>
        </is>
      </c>
    </row>
    <row r="26" ht="15" customHeight="1" s="56">
      <c r="A26" s="79" t="inlineStr">
        <is>
          <t>Other</t>
        </is>
      </c>
      <c r="B26" s="80" t="n"/>
      <c r="C26" s="80" t="n"/>
      <c r="D26" s="80" t="n"/>
      <c r="E26" s="80" t="n"/>
      <c r="F26" s="80" t="n"/>
      <c r="G26" s="80" t="n"/>
      <c r="H26" s="80" t="n"/>
      <c r="I26" s="80" t="n"/>
      <c r="J26" s="80" t="n"/>
      <c r="K26" s="80" t="n"/>
      <c r="L26" s="80" t="n"/>
    </row>
    <row r="27" ht="15" customHeight="1" s="56">
      <c r="A27" s="81" t="n"/>
      <c r="B27" s="82" t="inlineStr">
        <is>
          <t>Taxi to/from Chinggis Khaan airport (UB), per trip</t>
        </is>
      </c>
      <c r="C27" s="83" t="inlineStr">
        <is>
          <t>out &amp; back</t>
        </is>
      </c>
      <c r="D27" s="84" t="n">
        <v>0.04166666666666666</v>
      </c>
      <c r="E27" s="92" t="n">
        <v>100000</v>
      </c>
      <c r="F27" s="86" t="inlineStr">
        <is>
          <t>MNT</t>
        </is>
      </c>
      <c r="G27" s="91" t="n">
        <v>2</v>
      </c>
      <c r="H27" s="88">
        <f>E27*G27*IF(F27="USD",Compare!$B$8,IF(F27="CNY",Compare!$B$9,IF(F27="HKD",Compare!$B$10,1)))</f>
        <v/>
      </c>
      <c r="I27" s="93">
        <f>E27</f>
        <v/>
      </c>
      <c r="J27" s="91" t="n">
        <v>2</v>
      </c>
      <c r="K27" s="88">
        <f>I27*J27*IF(F27="USD",Compare!$B$8,IF(F27="CNY",Compare!$B$9,IF(F27="HKD",Compare!$B$10,1)))</f>
        <v/>
      </c>
      <c r="L27" s="90" t="inlineStr">
        <is>
          <t>ASSUMPTION 100k MNT per trip for the group</t>
        </is>
      </c>
    </row>
    <row r="28" ht="15" customHeight="1" s="56">
      <c r="A28" s="81" t="n"/>
      <c r="B28" s="82" t="inlineStr">
        <is>
          <t>Travel medical insurance</t>
        </is>
      </c>
      <c r="C28" s="83" t="n"/>
      <c r="D28" s="81" t="n"/>
      <c r="E28" s="92" t="n">
        <v>30000</v>
      </c>
      <c r="F28" s="86" t="inlineStr">
        <is>
          <t>MNT</t>
        </is>
      </c>
      <c r="G28" s="87">
        <f>Compare!$B$6</f>
        <v/>
      </c>
      <c r="H28" s="88">
        <f>E28*G28*IF(F28="USD",Compare!$B$8,IF(F28="CNY",Compare!$B$9,IF(F28="HKD",Compare!$B$10,1)))</f>
        <v/>
      </c>
      <c r="I28" s="93">
        <f>E28</f>
        <v/>
      </c>
      <c r="J28" s="87">
        <f>Compare!$B$7</f>
        <v/>
      </c>
      <c r="K28" s="88">
        <f>I28*J28*IF(F28="USD",Compare!$B$8,IF(F28="CNY",Compare!$B$9,IF(F28="HKD",Compare!$B$10,1)))</f>
        <v/>
      </c>
      <c r="L28" s="90" t="inlineStr">
        <is>
          <t>ASSUMPTION ~30k MNT per person, Mongolian insurer</t>
        </is>
      </c>
    </row>
    <row r="29" ht="15" customHeight="1" s="56">
      <c r="A29" s="81" t="n"/>
      <c r="B29" s="82" t="inlineStr">
        <is>
          <t>Mobile data eSIM</t>
        </is>
      </c>
      <c r="C29" s="83" t="n"/>
      <c r="D29" s="81" t="n"/>
      <c r="E29" s="92" t="n">
        <v>10</v>
      </c>
      <c r="F29" s="86" t="inlineStr">
        <is>
          <t>USD</t>
        </is>
      </c>
      <c r="G29" s="87">
        <f>Compare!$B$6</f>
        <v/>
      </c>
      <c r="H29" s="88">
        <f>E29*G29*IF(F29="USD",Compare!$B$8,IF(F29="CNY",Compare!$B$9,IF(F29="HKD",Compare!$B$10,1)))</f>
        <v/>
      </c>
      <c r="I29" s="93">
        <f>E29</f>
        <v/>
      </c>
      <c r="J29" s="87">
        <f>Compare!$B$7</f>
        <v/>
      </c>
      <c r="K29" s="88">
        <f>I29*J29*IF(F29="USD",Compare!$B$8,IF(F29="CNY",Compare!$B$9,IF(F29="HKD",Compare!$B$10,1)))</f>
        <v/>
      </c>
      <c r="L29" s="90" t="inlineStr">
        <is>
          <t>ASSUMPTION ~$10 pp</t>
        </is>
      </c>
    </row>
    <row r="30" ht="22.35" customHeight="1" s="56">
      <c r="A30" s="81" t="n"/>
      <c r="B30" s="82" t="inlineStr">
        <is>
          <t>Visa</t>
        </is>
      </c>
      <c r="C30" s="83" t="n"/>
      <c r="D30" s="81" t="n"/>
      <c r="E30" s="85" t="n">
        <v>0</v>
      </c>
      <c r="F30" s="86" t="inlineStr">
        <is>
          <t>MNT</t>
        </is>
      </c>
      <c r="G30" s="87">
        <f>Compare!$B$6</f>
        <v/>
      </c>
      <c r="H30" s="88">
        <f>E30*G30*IF(F30="USD",Compare!$B$8,IF(F30="CNY",Compare!$B$9,IF(F30="HKD",Compare!$B$10,1)))</f>
        <v/>
      </c>
      <c r="I30" s="89">
        <f>E30</f>
        <v/>
      </c>
      <c r="J30" s="87">
        <f>Compare!$B$7</f>
        <v/>
      </c>
      <c r="K30" s="88">
        <f>I30*J30*IF(F30="USD",Compare!$B$8,IF(F30="CNY",Compare!$B$9,IF(F30="HKD",Compare!$B$10,1)))</f>
        <v/>
      </c>
      <c r="L30" s="90" t="inlineStr">
        <is>
          <t>Mongolian passports: visa-free (mainland China up to 30 days; Hong Kong up to 14 days)</t>
        </is>
      </c>
    </row>
    <row r="32" ht="15" customHeight="1" s="56">
      <c r="G32" s="60" t="n"/>
      <c r="H32" s="96" t="inlineStr">
        <is>
          <t>3 people – UNFUNDED</t>
        </is>
      </c>
      <c r="K32" s="96" t="inlineStr">
        <is>
          <t>4 people – FUNDED ₮12M</t>
        </is>
      </c>
    </row>
    <row r="33" ht="15" customHeight="1" s="56">
      <c r="G33" s="97" t="inlineStr">
        <is>
          <t>University-paid subtotal</t>
        </is>
      </c>
      <c r="H33" s="98">
        <f>SUM(H9:H22)</f>
        <v/>
      </c>
      <c r="K33" s="98">
        <f>SUM(K9:K22)</f>
        <v/>
      </c>
    </row>
    <row r="34" ht="15" customHeight="1" s="56">
      <c r="G34" s="99" t="inlineStr">
        <is>
          <t>Contingency</t>
        </is>
      </c>
      <c r="H34" s="100">
        <f>H33*Compare!$B$11</f>
        <v/>
      </c>
      <c r="K34" s="100">
        <f>K33*Compare!$B$11</f>
        <v/>
      </c>
    </row>
    <row r="35" ht="15" customHeight="1" s="56">
      <c r="G35" s="97" t="inlineStr">
        <is>
          <t>University-paid total incl. contingency</t>
        </is>
      </c>
      <c r="H35" s="98">
        <f>H33+H34</f>
        <v/>
      </c>
      <c r="K35" s="98">
        <f>K33+K34</f>
        <v/>
      </c>
    </row>
    <row r="36" ht="15" customHeight="1" s="56">
      <c r="G36" s="97" t="inlineStr">
        <is>
          <t>Funding left (negative = over)</t>
        </is>
      </c>
      <c r="H36" s="101">
        <f>Compare!$B$12-H35</f>
        <v/>
      </c>
      <c r="K36" s="101">
        <f>Compare!$B$5-K35</f>
        <v/>
      </c>
    </row>
    <row r="37" ht="15" customHeight="1" s="56">
      <c r="G37" s="97" t="inlineStr">
        <is>
          <t>Personal costs – team</t>
        </is>
      </c>
      <c r="H37" s="102">
        <f>SUM(H24:H30)</f>
        <v/>
      </c>
      <c r="K37" s="102">
        <f>SUM(K24:K30)</f>
        <v/>
      </c>
    </row>
    <row r="38" ht="15" customHeight="1" s="56">
      <c r="G38" s="97" t="inlineStr">
        <is>
          <t>Out-of-pocket per person (personal + any overrun)</t>
        </is>
      </c>
      <c r="H38" s="102">
        <f>(H37+MAX(0,-H36))/Compare!$B$6</f>
        <v/>
      </c>
      <c r="K38" s="102">
        <f>(K37+MAX(0,-K36))/Compare!$B$7</f>
        <v/>
      </c>
    </row>
    <row r="39" ht="15" customHeight="1" s="56">
      <c r="G39" s="97" t="inlineStr">
        <is>
          <t>Whole trip cost (university + personal)</t>
        </is>
      </c>
      <c r="H39" s="103">
        <f>H35+H37</f>
        <v/>
      </c>
      <c r="K39" s="103">
        <f>K35+K37</f>
        <v/>
      </c>
    </row>
    <row r="40" ht="15" customHeight="1" s="56">
      <c r="G40" s="99" t="inlineStr">
        <is>
          <t>Time in planes &amp; trains</t>
        </is>
      </c>
      <c r="H40" s="104">
        <f>D10+D11+D13+D14</f>
        <v/>
      </c>
      <c r="K40" s="104">
        <f>D10+D11+D13+D14</f>
        <v/>
      </c>
    </row>
    <row r="42" ht="15" customHeight="1" s="56">
      <c r="A42" s="72" t="inlineStr">
        <is>
          <t>Key facts</t>
        </is>
      </c>
    </row>
    <row r="43" ht="30" customHeight="1" s="56">
      <c r="A43" s="75" t="inlineStr">
        <is>
          <t>Contest</t>
        </is>
      </c>
      <c r="B43" s="74" t="inlineStr">
        <is>
          <t>Asia Shanghai Regional, 5–6 Dec 2026 (provisional), Shanghai University Baoshan campus (gym; metro line 7 Shangda Rd). 2025 pattern: day 1 registration 09:00–14:00, opening 14:00, warm-up 15:00–17:00; day 2 contest 09:00–14:00, awards 15:30–17:00.</t>
        </is>
      </c>
    </row>
    <row r="44" ht="15" customHeight="1" s="56">
      <c r="A44" s="75" t="inlineStr">
        <is>
          <t>Wildcard</t>
        </is>
      </c>
      <c r="B44" s="74" t="inlineStr">
        <is>
          <t>A Mongolian team needs a wildcard (外卡): email shu_icpc@163.com. The first round closed on 17 Oct in 2025 – ask now.</t>
        </is>
      </c>
    </row>
    <row r="45" ht="15" customHeight="1" s="56">
      <c r="A45" s="75" t="inlineStr">
        <is>
          <t>Why this plan</t>
        </is>
      </c>
      <c r="B45" s="74" t="inlineStr">
        <is>
          <t>MIAT nonstop + 4 h 35 min train is the cheapest way to reach Shanghai; arriving 3 Dec gives two rest days. The D8 seat replaces a hotel night.</t>
        </is>
      </c>
    </row>
    <row r="46" ht="15" customHeight="1" s="56">
      <c r="A46" s="75" t="inlineStr">
        <is>
          <t>Trade-off</t>
        </is>
      </c>
      <c r="B46" s="74" t="inlineStr">
        <is>
          <t>Baoshan is far from Shanghai station (~50 min); the train leaves right after the awards (19:08).</t>
        </is>
      </c>
    </row>
    <row r="48" ht="15" customHeight="1" s="56">
      <c r="A48" s="72" t="inlineStr">
        <is>
          <t>Day-by-day plan</t>
        </is>
      </c>
    </row>
    <row r="49" ht="15" customHeight="1" s="56">
      <c r="A49" s="96" t="inlineStr">
        <is>
          <t>Date</t>
        </is>
      </c>
      <c r="B49" s="96" t="inlineStr">
        <is>
          <t>Sleep in</t>
        </is>
      </c>
      <c r="C49" s="96" t="inlineStr">
        <is>
          <t>What happens</t>
        </is>
      </c>
    </row>
    <row r="50" ht="15" customHeight="1" s="56">
      <c r="A50" s="74" t="inlineStr">
        <is>
          <t>Thu 3 Dec</t>
        </is>
      </c>
      <c r="B50" s="74" t="inlineStr">
        <is>
          <t>Shanghai</t>
        </is>
      </c>
      <c r="C50" s="74" t="inlineStr">
        <is>
          <t>MIAT OM223 UB 07:30 → Beijing 09:45; taxi to Beijing South; G17 13:00 → Shanghai 17:35; taxi to Hi Inn (Hutai Road).</t>
        </is>
      </c>
    </row>
    <row r="51" ht="15" customHeight="1" s="56">
      <c r="A51" s="74" t="inlineStr">
        <is>
          <t>Fri 4 Dec</t>
        </is>
      </c>
      <c r="B51" s="74" t="inlineStr">
        <is>
          <t>Shanghai</t>
        </is>
      </c>
      <c r="C51" s="74" t="inlineStr">
        <is>
          <t>Rest / practice day.</t>
        </is>
      </c>
    </row>
    <row r="52" ht="15" customHeight="1" s="56">
      <c r="A52" s="74" t="inlineStr">
        <is>
          <t>Sat 5 Dec</t>
        </is>
      </c>
      <c r="B52" s="74" t="inlineStr">
        <is>
          <t>Shanghai</t>
        </is>
      </c>
      <c r="C52" s="74" t="inlineStr">
        <is>
          <t>Registration (09:00–14:00), opening 14:00, warm-up 15:00–17:00 at Shanghai University Baoshan (2025 pattern).</t>
        </is>
      </c>
    </row>
    <row r="53" ht="15" customHeight="1" s="56">
      <c r="A53" s="74" t="inlineStr">
        <is>
          <t>Sun 6 Dec</t>
        </is>
      </c>
      <c r="B53" s="74" t="inlineStr">
        <is>
          <t>Train</t>
        </is>
      </c>
      <c r="C53" s="74" t="inlineStr">
        <is>
          <t>SHANGHAI REGIONAL contest day 09:00–14:00; analysis &amp; awards ~14:30–17:00. Taxi to Shanghai station; D8 19:08 → Beijing 07:17.</t>
        </is>
      </c>
    </row>
    <row r="54" ht="15" customHeight="1" s="56">
      <c r="A54" s="74" t="inlineStr">
        <is>
          <t>Mon 7 Dec</t>
        </is>
      </c>
      <c r="B54" s="74" t="inlineStr">
        <is>
          <t>Home</t>
        </is>
      </c>
      <c r="C54" s="74" t="inlineStr">
        <is>
          <t>Beijing station → PEK (metro + Airport Express). Air China CA955 12:55 → UB 15:05.</t>
        </is>
      </c>
    </row>
    <row r="56" ht="15" customHeight="1" s="56">
      <c r="A56" s="72" t="inlineStr">
        <is>
          <t>Door-to-door travel times</t>
        </is>
      </c>
    </row>
    <row r="57" ht="15" customHeight="1" s="56">
      <c r="A57" s="96" t="inlineStr">
        <is>
          <t>Date</t>
        </is>
      </c>
      <c r="B57" s="96" t="inlineStr">
        <is>
          <t>Leg</t>
        </is>
      </c>
      <c r="C57" s="96" t="inlineStr">
        <is>
          <t>Mode</t>
        </is>
      </c>
      <c r="D57" s="96" t="inlineStr">
        <is>
          <t>Expected time</t>
        </is>
      </c>
      <c r="E57" s="96" t="inlineStr">
        <is>
          <t>Notes</t>
        </is>
      </c>
    </row>
    <row r="58" ht="15" customHeight="1" s="56">
      <c r="A58" s="105" t="inlineStr">
        <is>
          <t>3 Dec</t>
        </is>
      </c>
      <c r="B58" s="105" t="inlineStr">
        <is>
          <t>Home → Chinggis Khaan airport</t>
        </is>
      </c>
      <c r="C58" s="82" t="inlineStr">
        <is>
          <t>Taxi (~50 km)</t>
        </is>
      </c>
      <c r="D58" s="104" t="n">
        <v>0.04166666666666666</v>
      </c>
      <c r="E58" s="106" t="inlineStr">
        <is>
          <t>Leave ~04:30 for 07:30 flight</t>
        </is>
      </c>
      <c r="F58" s="107" t="n"/>
      <c r="G58" s="107" t="n"/>
      <c r="H58" s="107" t="n"/>
      <c r="I58" s="107" t="n"/>
      <c r="J58" s="107" t="n"/>
      <c r="K58" s="107" t="n"/>
      <c r="L58" s="107" t="n"/>
    </row>
    <row r="59" ht="15" customHeight="1" s="56">
      <c r="A59" s="105" t="inlineStr">
        <is>
          <t>3 Dec</t>
        </is>
      </c>
      <c r="B59" s="105" t="inlineStr">
        <is>
          <t>Ulaanbaatar → Beijing (PEK)</t>
        </is>
      </c>
      <c r="C59" s="82" t="inlineStr">
        <is>
          <t>MIAT OM223 07:30–09:45</t>
        </is>
      </c>
      <c r="D59" s="104" t="n">
        <v>0.09375</v>
      </c>
      <c r="E59" s="106" t="inlineStr"/>
      <c r="F59" s="107" t="n"/>
      <c r="G59" s="107" t="n"/>
      <c r="H59" s="107" t="n"/>
      <c r="I59" s="107" t="n"/>
      <c r="J59" s="107" t="n"/>
      <c r="K59" s="107" t="n"/>
      <c r="L59" s="107" t="n"/>
    </row>
    <row r="60" ht="15" customHeight="1" s="56">
      <c r="A60" s="105" t="inlineStr">
        <is>
          <t>3 Dec</t>
        </is>
      </c>
      <c r="B60" s="105" t="inlineStr">
        <is>
          <t>PEK arrival: immigration, bags</t>
        </is>
      </c>
      <c r="C60" s="82" t="inlineStr">
        <is>
          <t>—</t>
        </is>
      </c>
      <c r="D60" s="104" t="n">
        <v>0.03125</v>
      </c>
      <c r="E60" s="106" t="inlineStr">
        <is>
          <t>Estimate</t>
        </is>
      </c>
      <c r="F60" s="107" t="n"/>
      <c r="G60" s="107" t="n"/>
      <c r="H60" s="107" t="n"/>
      <c r="I60" s="107" t="n"/>
      <c r="J60" s="107" t="n"/>
      <c r="K60" s="107" t="n"/>
      <c r="L60" s="107" t="n"/>
    </row>
    <row r="61" ht="15" customHeight="1" s="56">
      <c r="A61" s="105" t="inlineStr">
        <is>
          <t>3 Dec</t>
        </is>
      </c>
      <c r="B61" s="105" t="inlineStr">
        <is>
          <t>PEK → Beijing South</t>
        </is>
      </c>
      <c r="C61" s="82" t="inlineStr">
        <is>
          <t>Taxi / Airport Express + metro</t>
        </is>
      </c>
      <c r="D61" s="104" t="n">
        <v>0.04166666666666666</v>
      </c>
      <c r="E61" s="106" t="inlineStr">
        <is>
          <t>Estimate; arrive by ~12:00</t>
        </is>
      </c>
      <c r="F61" s="107" t="n"/>
      <c r="G61" s="107" t="n"/>
      <c r="H61" s="107" t="n"/>
      <c r="I61" s="107" t="n"/>
      <c r="J61" s="107" t="n"/>
      <c r="K61" s="107" t="n"/>
      <c r="L61" s="107" t="n"/>
    </row>
    <row r="62" ht="15" customHeight="1" s="56">
      <c r="A62" s="105" t="inlineStr">
        <is>
          <t>3 Dec</t>
        </is>
      </c>
      <c r="B62" s="105" t="inlineStr">
        <is>
          <t>Beijing South → Shanghai</t>
        </is>
      </c>
      <c r="C62" s="82" t="inlineStr">
        <is>
          <t>G17 13:00–17:35</t>
        </is>
      </c>
      <c r="D62" s="104" t="n">
        <v>0.1909722222222222</v>
      </c>
      <c r="E62" s="106" t="inlineStr"/>
      <c r="F62" s="107" t="n"/>
      <c r="G62" s="107" t="n"/>
      <c r="H62" s="107" t="n"/>
      <c r="I62" s="107" t="n"/>
      <c r="J62" s="107" t="n"/>
      <c r="K62" s="107" t="n"/>
      <c r="L62" s="107" t="n"/>
    </row>
    <row r="63" ht="15" customHeight="1" s="56">
      <c r="A63" s="105" t="inlineStr">
        <is>
          <t>3 Dec</t>
        </is>
      </c>
      <c r="B63" s="105" t="inlineStr">
        <is>
          <t>Shanghai station → hotel (Baoshan)</t>
        </is>
      </c>
      <c r="C63" s="82" t="inlineStr">
        <is>
          <t>Taxi / metro</t>
        </is>
      </c>
      <c r="D63" s="104" t="n">
        <v>0.03472222222222222</v>
      </c>
      <c r="E63" s="106" t="inlineStr">
        <is>
          <t>Estimate</t>
        </is>
      </c>
      <c r="F63" s="107" t="n"/>
      <c r="G63" s="107" t="n"/>
      <c r="H63" s="107" t="n"/>
      <c r="I63" s="107" t="n"/>
      <c r="J63" s="107" t="n"/>
      <c r="K63" s="107" t="n"/>
      <c r="L63" s="107" t="n"/>
    </row>
    <row r="64" ht="15" customHeight="1" s="56">
      <c r="A64" s="105" t="inlineStr">
        <is>
          <t>5–6 Dec</t>
        </is>
      </c>
      <c r="B64" s="105" t="inlineStr">
        <is>
          <t>Hotel ↔ Shanghai University Baoshan (each way)</t>
        </is>
      </c>
      <c r="C64" s="82" t="inlineStr">
        <is>
          <t>Walk</t>
        </is>
      </c>
      <c r="D64" s="104" t="inlineStr">
        <is>
          <t>daily</t>
        </is>
      </c>
      <c r="E64" s="106" t="inlineStr">
        <is>
          <t>~25 min walk (Hi Inn 1.8 km) or a ¥15 taxi</t>
        </is>
      </c>
      <c r="F64" s="107" t="n"/>
      <c r="G64" s="107" t="n"/>
      <c r="H64" s="107" t="n"/>
      <c r="I64" s="107" t="n"/>
      <c r="J64" s="107" t="n"/>
      <c r="K64" s="107" t="n"/>
      <c r="L64" s="107" t="n"/>
    </row>
    <row r="65" ht="15" customHeight="1" s="56">
      <c r="A65" s="105" t="inlineStr">
        <is>
          <t>6 Dec</t>
        </is>
      </c>
      <c r="B65" s="105" t="inlineStr">
        <is>
          <t>Campus → Shanghai station</t>
        </is>
      </c>
      <c r="C65" s="82" t="inlineStr">
        <is>
          <t>Taxi / metro</t>
        </is>
      </c>
      <c r="D65" s="104" t="n">
        <v>0.03472222222222222</v>
      </c>
      <c r="E65" s="106" t="inlineStr">
        <is>
          <t>Leave ~17:30 for the 19:08 train</t>
        </is>
      </c>
      <c r="F65" s="107" t="n"/>
      <c r="G65" s="107" t="n"/>
      <c r="H65" s="107" t="n"/>
      <c r="I65" s="107" t="n"/>
      <c r="J65" s="107" t="n"/>
      <c r="K65" s="107" t="n"/>
      <c r="L65" s="107" t="n"/>
    </row>
    <row r="66" ht="15" customHeight="1" s="56">
      <c r="A66" s="105" t="inlineStr">
        <is>
          <t>6–7 Dec</t>
        </is>
      </c>
      <c r="B66" s="105" t="inlineStr">
        <is>
          <t>Shanghai → Beijing</t>
        </is>
      </c>
      <c r="C66" s="82" t="inlineStr">
        <is>
          <t>D8 seat 19:08–07:17</t>
        </is>
      </c>
      <c r="D66" s="104" t="n">
        <v>0.50625</v>
      </c>
      <c r="E66" s="106" t="inlineStr">
        <is>
          <t>Overnight</t>
        </is>
      </c>
      <c r="F66" s="107" t="n"/>
      <c r="G66" s="107" t="n"/>
      <c r="H66" s="107" t="n"/>
      <c r="I66" s="107" t="n"/>
      <c r="J66" s="107" t="n"/>
      <c r="K66" s="107" t="n"/>
      <c r="L66" s="107" t="n"/>
    </row>
    <row r="67" ht="15" customHeight="1" s="56">
      <c r="A67" s="105" t="inlineStr">
        <is>
          <t>7 Dec</t>
        </is>
      </c>
      <c r="B67" s="105" t="inlineStr">
        <is>
          <t>Beijing station → PEK</t>
        </is>
      </c>
      <c r="C67" s="82" t="inlineStr">
        <is>
          <t>Metro line 2 + Airport Express</t>
        </is>
      </c>
      <c r="D67" s="104" t="n">
        <v>0.04166666666666666</v>
      </c>
      <c r="E67" s="106" t="inlineStr">
        <is>
          <t>Be at PEK by ~10:55</t>
        </is>
      </c>
      <c r="F67" s="107" t="n"/>
      <c r="G67" s="107" t="n"/>
      <c r="H67" s="107" t="n"/>
      <c r="I67" s="107" t="n"/>
      <c r="J67" s="107" t="n"/>
      <c r="K67" s="107" t="n"/>
      <c r="L67" s="107" t="n"/>
    </row>
    <row r="68" ht="15" customHeight="1" s="56">
      <c r="A68" s="105" t="inlineStr">
        <is>
          <t>7 Dec</t>
        </is>
      </c>
      <c r="B68" s="105" t="inlineStr">
        <is>
          <t>Beijing (PEK) → Ulaanbaatar</t>
        </is>
      </c>
      <c r="C68" s="82" t="inlineStr">
        <is>
          <t>Air China CA955 12:55–15:05</t>
        </is>
      </c>
      <c r="D68" s="104" t="n">
        <v>0.09027777777777778</v>
      </c>
      <c r="E68" s="106" t="inlineStr"/>
      <c r="F68" s="107" t="n"/>
      <c r="G68" s="107" t="n"/>
      <c r="H68" s="107" t="n"/>
      <c r="I68" s="107" t="n"/>
      <c r="J68" s="107" t="n"/>
      <c r="K68" s="107" t="n"/>
      <c r="L68" s="107" t="n"/>
    </row>
    <row r="69" ht="15" customHeight="1" s="56">
      <c r="A69" s="105" t="inlineStr">
        <is>
          <t>7 Dec</t>
        </is>
      </c>
      <c r="B69" s="105" t="inlineStr">
        <is>
          <t>Chinggis Khaan airport → home</t>
        </is>
      </c>
      <c r="C69" s="82" t="inlineStr">
        <is>
          <t>Taxi</t>
        </is>
      </c>
      <c r="D69" s="104" t="n">
        <v>0.04166666666666666</v>
      </c>
      <c r="E69" s="106" t="inlineStr"/>
      <c r="F69" s="107" t="n"/>
      <c r="G69" s="107" t="n"/>
      <c r="H69" s="107" t="n"/>
      <c r="I69" s="107" t="n"/>
      <c r="J69" s="107" t="n"/>
      <c r="K69" s="107" t="n"/>
      <c r="L69" s="107" t="n"/>
    </row>
    <row r="71" ht="15" customHeight="1" s="56">
      <c r="C71" s="59" t="inlineStr">
        <is>
          <t>Total door-to-door</t>
        </is>
      </c>
      <c r="D71" s="109">
        <f>SUM(D58:D69)</f>
        <v/>
      </c>
    </row>
  </sheetData>
  <mergeCells count="21">
    <mergeCell ref="E58:L58"/>
    <mergeCell ref="C52:L52"/>
    <mergeCell ref="E68:L68"/>
    <mergeCell ref="E62:L62"/>
    <mergeCell ref="B46:L46"/>
    <mergeCell ref="E67:L67"/>
    <mergeCell ref="B43:L43"/>
    <mergeCell ref="C53:L53"/>
    <mergeCell ref="E64:L64"/>
    <mergeCell ref="E63:L63"/>
    <mergeCell ref="E60:L60"/>
    <mergeCell ref="E69:L69"/>
    <mergeCell ref="E65:L65"/>
    <mergeCell ref="B44:L44"/>
    <mergeCell ref="E59:L59"/>
    <mergeCell ref="C54:L54"/>
    <mergeCell ref="C50:L50"/>
    <mergeCell ref="E61:L61"/>
    <mergeCell ref="E66:L66"/>
    <mergeCell ref="C51:L51"/>
    <mergeCell ref="B45:L45"/>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65"/>
  <sheetViews>
    <sheetView workbookViewId="0">
      <pane xSplit="2" ySplit="7" topLeftCell="C8" activePane="bottomRight" state="frozen"/>
      <selection pane="topRight" activeCell="A1" sqref="A1"/>
      <selection pane="bottomLeft" activeCell="A1" sqref="A1"/>
      <selection pane="bottomRight" activeCell="A1" sqref="A1"/>
    </sheetView>
  </sheetViews>
  <sheetFormatPr baseColWidth="8" defaultRowHeight="15"/>
  <cols>
    <col width="26" customWidth="1" style="56" min="1" max="1"/>
    <col width="52" customWidth="1" style="56" min="2" max="2"/>
    <col width="20" customWidth="1" style="56" min="3" max="3"/>
    <col width="15" customWidth="1" style="56" min="4" max="4"/>
    <col width="13" customWidth="1" style="56" min="5" max="5"/>
    <col width="9" customWidth="1" style="56" min="6" max="6"/>
    <col width="17" customWidth="1" style="56" min="8" max="8"/>
    <col width="13" customWidth="1" style="56" min="9" max="9"/>
    <col width="9" customWidth="1" style="56" min="10" max="10"/>
    <col width="17" customWidth="1" style="56" min="11" max="11"/>
    <col width="58" customWidth="1" style="56" min="12" max="12"/>
  </cols>
  <sheetData>
    <row r="1" ht="17.35" customHeight="1" s="56">
      <c r="A1" s="57" t="inlineStr">
        <is>
          <t>Shanghai – Spring nonstop</t>
        </is>
      </c>
    </row>
    <row r="2" ht="15" customHeight="1" s="56">
      <c r="A2" s="62" t="inlineStr">
        <is>
          <t>Spring Airlines nonstop UB ⇄ Pudong on Tuesdays (1 Dec out, 8 Dec back): no rail, a week away; hotel ~1 km from the venue.</t>
        </is>
      </c>
    </row>
    <row r="4" ht="15" customHeight="1" s="56">
      <c r="A4" s="60" t="inlineStr">
        <is>
          <t>Days in destination (meals &amp; local transport)</t>
        </is>
      </c>
      <c r="B4" s="76" t="n">
        <v>7</v>
      </c>
      <c r="C4" s="62" t="inlineStr">
        <is>
          <t>1 Dec afternoon → 8 Dec morning</t>
        </is>
      </c>
    </row>
    <row r="5" ht="15" customHeight="1" s="56">
      <c r="A5" s="62" t="inlineStr">
        <is>
          <t>Shared inputs are on the Compare sheet. Scroll down for the day-by-day plan and door-to-door travel times.</t>
        </is>
      </c>
    </row>
    <row r="7" ht="31.5" customHeight="1" s="56">
      <c r="A7" s="66" t="inlineStr">
        <is>
          <t>Category</t>
        </is>
      </c>
      <c r="B7" s="66" t="inlineStr">
        <is>
          <t>Item</t>
        </is>
      </c>
      <c r="C7" s="66" t="inlineStr">
        <is>
          <t>Date</t>
        </is>
      </c>
      <c r="D7" s="66" t="inlineStr">
        <is>
          <t>Travel time</t>
        </is>
      </c>
      <c r="E7" s="66" t="inlineStr">
        <is>
          <t>Unit cost (3 ppl)</t>
        </is>
      </c>
      <c r="F7" s="66" t="inlineStr">
        <is>
          <t>Currency</t>
        </is>
      </c>
      <c r="G7" s="66" t="inlineStr">
        <is>
          <t>Qty (3 ppl)</t>
        </is>
      </c>
      <c r="H7" s="66" t="inlineStr">
        <is>
          <t>Total MNT – 3 people</t>
        </is>
      </c>
      <c r="I7" s="66" t="inlineStr">
        <is>
          <t>Unit cost (4 ppl)</t>
        </is>
      </c>
      <c r="J7" s="66" t="inlineStr">
        <is>
          <t>Qty (4 ppl)</t>
        </is>
      </c>
      <c r="K7" s="66" t="inlineStr">
        <is>
          <t>Total MNT – 4 people</t>
        </is>
      </c>
      <c r="L7" s="66" t="inlineStr">
        <is>
          <t>Source / notes</t>
        </is>
      </c>
    </row>
    <row r="8" ht="15" customHeight="1" s="56">
      <c r="A8" s="77" t="inlineStr">
        <is>
          <t>PAID BY UNIVERSITY</t>
        </is>
      </c>
      <c r="B8" s="78" t="n"/>
      <c r="C8" s="78" t="n"/>
      <c r="D8" s="78" t="n"/>
      <c r="E8" s="78" t="n"/>
      <c r="F8" s="78" t="n"/>
      <c r="G8" s="78" t="n"/>
      <c r="H8" s="78" t="n"/>
      <c r="I8" s="78" t="n"/>
      <c r="J8" s="78" t="n"/>
      <c r="K8" s="78" t="n"/>
      <c r="L8" s="78" t="n"/>
    </row>
    <row r="9" ht="15" customHeight="1" s="56">
      <c r="A9" s="79" t="inlineStr">
        <is>
          <t>Flights</t>
        </is>
      </c>
      <c r="B9" s="80" t="n"/>
      <c r="C9" s="80" t="n"/>
      <c r="D9" s="80" t="n"/>
      <c r="E9" s="80" t="n"/>
      <c r="F9" s="80" t="n"/>
      <c r="G9" s="80" t="n"/>
      <c r="H9" s="80" t="n"/>
      <c r="I9" s="80" t="n"/>
      <c r="J9" s="80" t="n"/>
      <c r="K9" s="80" t="n"/>
      <c r="L9" s="80" t="n"/>
    </row>
    <row r="10" ht="60" customHeight="1" s="56">
      <c r="A10" s="81" t="n"/>
      <c r="B10" s="111" t="inlineStr">
        <is>
          <t>Spring Airlines 9C6520 Ulaanbaatar → Shanghai Pudong (PVG), nonstop 13:00–17:00</t>
        </is>
      </c>
      <c r="C10" s="83" t="inlineStr">
        <is>
          <t>1 Dec (Tue)</t>
        </is>
      </c>
      <c r="D10" s="84" t="n">
        <v>0.1666666666666667</v>
      </c>
      <c r="E10" s="85" t="n">
        <v>164</v>
      </c>
      <c r="F10" s="86" t="inlineStr">
        <is>
          <t>USD</t>
        </is>
      </c>
      <c r="G10" s="87">
        <f>Compare!$B$6</f>
        <v/>
      </c>
      <c r="H10" s="88">
        <f>E10*G10*IF(F10="USD",Compare!$B$8,IF(F10="CNY",Compare!$B$9,IF(F10="HKD",Compare!$B$10,1)))</f>
        <v/>
      </c>
      <c r="I10" s="89">
        <f>E10</f>
        <v/>
      </c>
      <c r="J10" s="87">
        <f>Compare!$B$7</f>
        <v/>
      </c>
      <c r="K10" s="88">
        <f>I10*J10*IF(F10="USD",Compare!$B$8,IF(F10="CNY",Compare!$B$9,IF(F10="HKD",Compare!$B$10,1)))</f>
        <v/>
      </c>
      <c r="L10" s="112" t="inlineStr">
        <is>
          <t>SlickTrip 10 Oct: $164 pp (Trip.com $173), far below the usual $465–700 round trip (lowest seen $149). Flies Tue/Sat only; Sat 5 Dec would land 17:00 after registration closes</t>
        </is>
      </c>
    </row>
    <row r="11" ht="30" customHeight="1" s="56">
      <c r="A11" s="81" t="n"/>
      <c r="B11" s="111" t="inlineStr">
        <is>
          <t>Spring Airlines 9C6519 Shanghai Pudong (PVG) → Ulaanbaatar, nonstop 08:00–12:00</t>
        </is>
      </c>
      <c r="C11" s="83" t="inlineStr">
        <is>
          <t>8 Dec (Tue)</t>
        </is>
      </c>
      <c r="D11" s="84" t="n">
        <v>0.1666666666666667</v>
      </c>
      <c r="E11" s="85" t="n">
        <v>153</v>
      </c>
      <c r="F11" s="86" t="inlineStr">
        <is>
          <t>USD</t>
        </is>
      </c>
      <c r="G11" s="87">
        <f>Compare!$B$6</f>
        <v/>
      </c>
      <c r="H11" s="88">
        <f>E11*G11*IF(F11="USD",Compare!$B$8,IF(F11="CNY",Compare!$B$9,IF(F11="HKD",Compare!$B$10,1)))</f>
        <v/>
      </c>
      <c r="I11" s="89">
        <f>E11</f>
        <v/>
      </c>
      <c r="J11" s="87">
        <f>Compare!$B$7</f>
        <v/>
      </c>
      <c r="K11" s="88">
        <f>I11*J11*IF(F11="USD",Compare!$B$8,IF(F11="CNY",Compare!$B$9,IF(F11="HKD",Compare!$B$10,1)))</f>
        <v/>
      </c>
      <c r="L11" s="112" t="inlineStr">
        <is>
          <t>SlickTrip 10 Oct: $153 pp (Trip.com $159; lowest seen $122)</t>
        </is>
      </c>
    </row>
    <row r="12" ht="45" customHeight="1" s="56">
      <c r="A12" s="81" t="n"/>
      <c r="B12" s="111" t="inlineStr">
        <is>
          <t>Checked baggage Spring Airlines (base fare = 1 hand bag only), 1 bag per person each way</t>
        </is>
      </c>
      <c r="C12" s="83" t="inlineStr">
        <is>
          <t>1 &amp; 8 Dec</t>
        </is>
      </c>
      <c r="D12" s="84" t="n"/>
      <c r="E12" s="113" t="n">
        <v>300</v>
      </c>
      <c r="F12" s="86" t="inlineStr">
        <is>
          <t>CNY</t>
        </is>
      </c>
      <c r="G12" s="87">
        <f>Compare!$B$6*2</f>
        <v/>
      </c>
      <c r="H12" s="88">
        <f>E12*G12*IF(F12="USD",Compare!$B$8,IF(F12="CNY",Compare!$B$9,IF(F12="HKD",Compare!$B$10,1)))</f>
        <v/>
      </c>
      <c r="I12" s="114">
        <f>E12</f>
        <v/>
      </c>
      <c r="J12" s="87">
        <f>Compare!$B$7*2</f>
        <v/>
      </c>
      <c r="K12" s="88">
        <f>I12*J12*IF(F12="USD",Compare!$B$8,IF(F12="CNY",Compare!$B$9,IF(F12="HKD",Compare!$B$10,1)))</f>
        <v/>
      </c>
      <c r="L12" s="112" t="inlineStr">
        <is>
          <t>ASSUMPTION ~300 CNY per checked bag per direction (Spring sells bags from ~80–200 CNY online at booking, more at the airport)</t>
        </is>
      </c>
    </row>
    <row r="13" ht="15" customHeight="1" s="56">
      <c r="A13" s="79" t="inlineStr">
        <is>
          <t>Accommodation</t>
        </is>
      </c>
      <c r="B13" s="80" t="n"/>
      <c r="C13" s="80" t="n"/>
      <c r="D13" s="80" t="n"/>
      <c r="E13" s="80" t="n"/>
      <c r="F13" s="80" t="n"/>
      <c r="G13" s="80" t="n"/>
      <c r="H13" s="80" t="n"/>
      <c r="I13" s="80" t="n"/>
      <c r="J13" s="80" t="n"/>
      <c r="K13" s="80" t="n"/>
      <c r="L13" s="80" t="n"/>
    </row>
    <row r="14" ht="90" customHeight="1" s="56">
      <c r="A14" s="81" t="n"/>
      <c r="B14" s="111" t="inlineStr">
        <is>
          <t>Jenny's Apartment (~1 km to Shanghai University Baoshan; 3 ppl 1 room; 4 ppl 2 rooms)</t>
        </is>
      </c>
      <c r="C14" s="83" t="inlineStr">
        <is>
          <t>1–8 Dec (7 nights)</t>
        </is>
      </c>
      <c r="D14" s="81" t="n"/>
      <c r="E14" s="85" t="n">
        <v>426.29</v>
      </c>
      <c r="F14" s="86" t="inlineStr">
        <is>
          <t>CNY</t>
        </is>
      </c>
      <c r="G14" s="91" t="n">
        <v>7</v>
      </c>
      <c r="H14" s="88">
        <f>E14*G14*IF(F14="USD",Compare!$B$8,IF(F14="CNY",Compare!$B$9,IF(F14="HKD",Compare!$B$10,1)))</f>
        <v/>
      </c>
      <c r="I14" s="85" t="n">
        <v>538</v>
      </c>
      <c r="J14" s="91" t="n">
        <v>7</v>
      </c>
      <c r="K14" s="88">
        <f>I14*J14*IF(F14="USD",Compare!$B$8,IF(F14="CNY",Compare!$B$9,IF(F14="HKD",Compare!$B$10,1)))</f>
        <v/>
      </c>
      <c r="L14" s="112" t="inlineStr">
        <is>
          <t>Booking.com 9 Oct: ¥2,984 (3 ppl) / ¥3,766 (4 ppl, 2 rooms) for 7 nights. Budget alternative: Holiday Inn Express Gongkang ~4.7 km, 8.5: ¥2,103 for 7 nights (3 ppl). Trip.com 10 Oct, 7 nights: Zsmart Zhishang (740 m, 8.3) ¥3,073 / Netfish e-sports (9.8) ¥3,488 (3 ppl), ¥4,097 (4 ppl); Yibai Hotel Gucun Park (5.2 km, 7.9) ¥1,456</t>
        </is>
      </c>
    </row>
    <row r="15" ht="15" customHeight="1" s="56">
      <c r="A15" s="79" t="inlineStr">
        <is>
          <t>Meals &amp; local transport</t>
        </is>
      </c>
      <c r="B15" s="80" t="n"/>
      <c r="C15" s="80" t="n"/>
      <c r="D15" s="80" t="n"/>
      <c r="E15" s="80" t="n"/>
      <c r="F15" s="80" t="n"/>
      <c r="G15" s="80" t="n"/>
      <c r="H15" s="80" t="n"/>
      <c r="I15" s="80" t="n"/>
      <c r="J15" s="80" t="n"/>
      <c r="K15" s="80" t="n"/>
      <c r="L15" s="80" t="n"/>
    </row>
    <row r="16" ht="30" customHeight="1" s="56">
      <c r="A16" s="81" t="n"/>
      <c r="B16" s="111" t="inlineStr">
        <is>
          <t>Meals</t>
        </is>
      </c>
      <c r="C16" s="83" t="inlineStr">
        <is>
          <t>in destination</t>
        </is>
      </c>
      <c r="D16" s="81" t="n"/>
      <c r="E16" s="113" t="n">
        <v>80</v>
      </c>
      <c r="F16" s="86" t="inlineStr">
        <is>
          <t>CNY</t>
        </is>
      </c>
      <c r="G16" s="87">
        <f>Compare!$B$6*$B$4</f>
        <v/>
      </c>
      <c r="H16" s="88">
        <f>E16*G16*IF(F16="USD",Compare!$B$8,IF(F16="CNY",Compare!$B$9,IF(F16="HKD",Compare!$B$10,1)))</f>
        <v/>
      </c>
      <c r="I16" s="114">
        <f>E16</f>
        <v/>
      </c>
      <c r="J16" s="87">
        <f>Compare!$B$7*$B$4</f>
        <v/>
      </c>
      <c r="K16" s="88">
        <f>I16*J16*IF(F16="USD",Compare!$B$8,IF(F16="CNY",Compare!$B$9,IF(F16="HKD",Compare!$B$10,1)))</f>
        <v/>
      </c>
      <c r="L16" s="112" t="inlineStr">
        <is>
          <t>ASSUMPTION 80 CNY/person/day; hosts usually provide some meals on contest days</t>
        </is>
      </c>
    </row>
    <row r="17" ht="15" customHeight="1" s="56">
      <c r="A17" s="81" t="n"/>
      <c r="B17" s="111" t="inlineStr">
        <is>
          <t>Local transport (metro, taxis)</t>
        </is>
      </c>
      <c r="C17" s="83" t="inlineStr">
        <is>
          <t>in destination</t>
        </is>
      </c>
      <c r="D17" s="81" t="n"/>
      <c r="E17" s="113" t="n">
        <v>30</v>
      </c>
      <c r="F17" s="86" t="inlineStr">
        <is>
          <t>CNY</t>
        </is>
      </c>
      <c r="G17" s="87">
        <f>Compare!$B$6*$B$4</f>
        <v/>
      </c>
      <c r="H17" s="88">
        <f>E17*G17*IF(F17="USD",Compare!$B$8,IF(F17="CNY",Compare!$B$9,IF(F17="HKD",Compare!$B$10,1)))</f>
        <v/>
      </c>
      <c r="I17" s="114">
        <f>E17</f>
        <v/>
      </c>
      <c r="J17" s="87">
        <f>Compare!$B$7*$B$4</f>
        <v/>
      </c>
      <c r="K17" s="88">
        <f>I17*J17*IF(F17="USD",Compare!$B$8,IF(F17="CNY",Compare!$B$9,IF(F17="HKD",Compare!$B$10,1)))</f>
        <v/>
      </c>
      <c r="L17" s="112" t="inlineStr">
        <is>
          <t>ASSUMPTION 30 CNY/person/day</t>
        </is>
      </c>
    </row>
    <row r="18" ht="30" customHeight="1" s="56">
      <c r="A18" s="81" t="n"/>
      <c r="B18" s="111" t="inlineStr">
        <is>
          <t>Taxi PVG ↔ hotel (Baoshan), arrival and departure</t>
        </is>
      </c>
      <c r="C18" s="83" t="inlineStr">
        <is>
          <t>1 &amp; 8 Dec</t>
        </is>
      </c>
      <c r="D18" s="84" t="n"/>
      <c r="E18" s="113" t="n">
        <v>220</v>
      </c>
      <c r="F18" s="86" t="inlineStr">
        <is>
          <t>CNY</t>
        </is>
      </c>
      <c r="G18" s="91" t="n">
        <v>2</v>
      </c>
      <c r="H18" s="88">
        <f>E18*G18*IF(F18="USD",Compare!$B$8,IF(F18="CNY",Compare!$B$9,IF(F18="HKD",Compare!$B$10,1)))</f>
        <v/>
      </c>
      <c r="I18" s="114">
        <f>E18</f>
        <v/>
      </c>
      <c r="J18" s="91" t="n">
        <v>2</v>
      </c>
      <c r="K18" s="88">
        <f>I18*J18*IF(F18="USD",Compare!$B$8,IF(F18="CNY",Compare!$B$9,IF(F18="HKD",Compare!$B$10,1)))</f>
        <v/>
      </c>
      <c r="L18" s="112" t="inlineStr">
        <is>
          <t>ASSUMPTION ~220 CNY per car, ~65 km each way (metro lines 2 + 7 ~2 h, ~10 CNY)</t>
        </is>
      </c>
    </row>
    <row r="19" ht="15" customHeight="1" s="56">
      <c r="A19" s="94" t="inlineStr">
        <is>
          <t>PAID PERSONALLY (university won't cover)</t>
        </is>
      </c>
      <c r="B19" s="95" t="n"/>
      <c r="C19" s="95" t="n"/>
      <c r="D19" s="95" t="n"/>
      <c r="E19" s="95" t="n"/>
      <c r="F19" s="95" t="n"/>
      <c r="G19" s="95" t="n"/>
      <c r="H19" s="95" t="n"/>
      <c r="I19" s="95" t="n"/>
      <c r="J19" s="95" t="n"/>
      <c r="K19" s="95" t="n"/>
      <c r="L19" s="95" t="n"/>
    </row>
    <row r="20" ht="15" customHeight="1" s="56">
      <c r="A20" s="79" t="inlineStr">
        <is>
          <t>Contest fee</t>
        </is>
      </c>
      <c r="B20" s="80" t="n"/>
      <c r="C20" s="80" t="n"/>
      <c r="D20" s="80" t="n"/>
      <c r="E20" s="80" t="n"/>
      <c r="F20" s="80" t="n"/>
      <c r="G20" s="80" t="n"/>
      <c r="H20" s="80" t="n"/>
      <c r="I20" s="80" t="n"/>
      <c r="J20" s="80" t="n"/>
      <c r="K20" s="80" t="n"/>
      <c r="L20" s="80" t="n"/>
    </row>
    <row r="21" ht="22.35" customHeight="1" s="56">
      <c r="A21" s="81" t="n"/>
      <c r="B21" s="82" t="inlineStr">
        <is>
          <t>Shanghai regional registration fee (per team)</t>
        </is>
      </c>
      <c r="C21" s="83" t="inlineStr">
        <is>
          <t>TBC</t>
        </is>
      </c>
      <c r="D21" s="81" t="n"/>
      <c r="E21" s="113" t="n">
        <v>1500</v>
      </c>
      <c r="F21" s="86" t="inlineStr">
        <is>
          <t>CNY</t>
        </is>
      </c>
      <c r="G21" s="91" t="n">
        <v>1</v>
      </c>
      <c r="H21" s="88">
        <f>E21*G21*IF(F21="USD",Compare!$B$8,IF(F21="CNY",Compare!$B$9,IF(F21="HKD",Compare!$B$10,1)))</f>
        <v/>
      </c>
      <c r="I21" s="114">
        <f>E21</f>
        <v/>
      </c>
      <c r="J21" s="91" t="n">
        <v>1</v>
      </c>
      <c r="K21" s="88">
        <f>I21*J21*IF(F21="USD",Compare!$B$8,IF(F21="CNY",Compare!$B$9,IF(F21="HKD",Compare!$B$10,1)))</f>
        <v/>
      </c>
      <c r="L21" s="90" t="inlineStr">
        <is>
          <t>¥1,500/team in the 2025 Shanghai invitation (shu_icpc); 2026 invitation not seen</t>
        </is>
      </c>
    </row>
    <row r="22" ht="15" customHeight="1" s="56">
      <c r="A22" s="79" t="inlineStr">
        <is>
          <t>Other</t>
        </is>
      </c>
      <c r="B22" s="80" t="n"/>
      <c r="C22" s="80" t="n"/>
      <c r="D22" s="80" t="n"/>
      <c r="E22" s="80" t="n"/>
      <c r="F22" s="80" t="n"/>
      <c r="G22" s="80" t="n"/>
      <c r="H22" s="80" t="n"/>
      <c r="I22" s="80" t="n"/>
      <c r="J22" s="80" t="n"/>
      <c r="K22" s="80" t="n"/>
      <c r="L22" s="80" t="n"/>
    </row>
    <row r="23" ht="15" customHeight="1" s="56">
      <c r="A23" s="81" t="n"/>
      <c r="B23" s="82" t="inlineStr">
        <is>
          <t>Taxi to/from Chinggis Khaan airport (UB), per trip</t>
        </is>
      </c>
      <c r="C23" s="83" t="inlineStr">
        <is>
          <t>out &amp; back</t>
        </is>
      </c>
      <c r="D23" s="84" t="n">
        <v>0.04166666666666666</v>
      </c>
      <c r="E23" s="92" t="n">
        <v>100000</v>
      </c>
      <c r="F23" s="86" t="inlineStr">
        <is>
          <t>MNT</t>
        </is>
      </c>
      <c r="G23" s="91" t="n">
        <v>2</v>
      </c>
      <c r="H23" s="88">
        <f>E23*G23*IF(F23="USD",Compare!$B$8,IF(F23="CNY",Compare!$B$9,IF(F23="HKD",Compare!$B$10,1)))</f>
        <v/>
      </c>
      <c r="I23" s="93">
        <f>E23</f>
        <v/>
      </c>
      <c r="J23" s="91" t="n">
        <v>2</v>
      </c>
      <c r="K23" s="88">
        <f>I23*J23*IF(F23="USD",Compare!$B$8,IF(F23="CNY",Compare!$B$9,IF(F23="HKD",Compare!$B$10,1)))</f>
        <v/>
      </c>
      <c r="L23" s="90" t="inlineStr">
        <is>
          <t>ASSUMPTION 100k MNT per trip for the group</t>
        </is>
      </c>
    </row>
    <row r="24" ht="15" customHeight="1" s="56">
      <c r="A24" s="81" t="n"/>
      <c r="B24" s="82" t="inlineStr">
        <is>
          <t>Travel medical insurance</t>
        </is>
      </c>
      <c r="C24" s="83" t="n"/>
      <c r="D24" s="81" t="n"/>
      <c r="E24" s="92" t="n">
        <v>30000</v>
      </c>
      <c r="F24" s="86" t="inlineStr">
        <is>
          <t>MNT</t>
        </is>
      </c>
      <c r="G24" s="87">
        <f>Compare!$B$6</f>
        <v/>
      </c>
      <c r="H24" s="88">
        <f>E24*G24*IF(F24="USD",Compare!$B$8,IF(F24="CNY",Compare!$B$9,IF(F24="HKD",Compare!$B$10,1)))</f>
        <v/>
      </c>
      <c r="I24" s="93">
        <f>E24</f>
        <v/>
      </c>
      <c r="J24" s="87">
        <f>Compare!$B$7</f>
        <v/>
      </c>
      <c r="K24" s="88">
        <f>I24*J24*IF(F24="USD",Compare!$B$8,IF(F24="CNY",Compare!$B$9,IF(F24="HKD",Compare!$B$10,1)))</f>
        <v/>
      </c>
      <c r="L24" s="90" t="inlineStr">
        <is>
          <t>ASSUMPTION ~30k MNT per person, Mongolian insurer</t>
        </is>
      </c>
    </row>
    <row r="25" ht="15" customHeight="1" s="56">
      <c r="A25" s="81" t="n"/>
      <c r="B25" s="82" t="inlineStr">
        <is>
          <t>Mobile data eSIM</t>
        </is>
      </c>
      <c r="C25" s="83" t="n"/>
      <c r="D25" s="81" t="n"/>
      <c r="E25" s="92" t="n">
        <v>10</v>
      </c>
      <c r="F25" s="86" t="inlineStr">
        <is>
          <t>USD</t>
        </is>
      </c>
      <c r="G25" s="87">
        <f>Compare!$B$6</f>
        <v/>
      </c>
      <c r="H25" s="88">
        <f>E25*G25*IF(F25="USD",Compare!$B$8,IF(F25="CNY",Compare!$B$9,IF(F25="HKD",Compare!$B$10,1)))</f>
        <v/>
      </c>
      <c r="I25" s="93">
        <f>E25</f>
        <v/>
      </c>
      <c r="J25" s="87">
        <f>Compare!$B$7</f>
        <v/>
      </c>
      <c r="K25" s="88">
        <f>I25*J25*IF(F25="USD",Compare!$B$8,IF(F25="CNY",Compare!$B$9,IF(F25="HKD",Compare!$B$10,1)))</f>
        <v/>
      </c>
      <c r="L25" s="90" t="inlineStr">
        <is>
          <t>ASSUMPTION ~$10 pp</t>
        </is>
      </c>
    </row>
    <row r="26" ht="22.35" customHeight="1" s="56">
      <c r="A26" s="81" t="n"/>
      <c r="B26" s="82" t="inlineStr">
        <is>
          <t>Visa</t>
        </is>
      </c>
      <c r="C26" s="83" t="n"/>
      <c r="D26" s="81" t="n"/>
      <c r="E26" s="85" t="n">
        <v>0</v>
      </c>
      <c r="F26" s="86" t="inlineStr">
        <is>
          <t>MNT</t>
        </is>
      </c>
      <c r="G26" s="87">
        <f>Compare!$B$6</f>
        <v/>
      </c>
      <c r="H26" s="88">
        <f>E26*G26*IF(F26="USD",Compare!$B$8,IF(F26="CNY",Compare!$B$9,IF(F26="HKD",Compare!$B$10,1)))</f>
        <v/>
      </c>
      <c r="I26" s="89">
        <f>E26</f>
        <v/>
      </c>
      <c r="J26" s="87">
        <f>Compare!$B$7</f>
        <v/>
      </c>
      <c r="K26" s="88">
        <f>I26*J26*IF(F26="USD",Compare!$B$8,IF(F26="CNY",Compare!$B$9,IF(F26="HKD",Compare!$B$10,1)))</f>
        <v/>
      </c>
      <c r="L26" s="90" t="inlineStr">
        <is>
          <t>Mongolian passports: visa-free (mainland China up to 30 days; Hong Kong up to 14 days)</t>
        </is>
      </c>
    </row>
    <row r="28" ht="15" customHeight="1" s="56">
      <c r="G28" s="60" t="n"/>
      <c r="H28" s="96" t="inlineStr">
        <is>
          <t>3 people – UNFUNDED</t>
        </is>
      </c>
      <c r="K28" s="96" t="inlineStr">
        <is>
          <t>4 people – FUNDED ₮12M</t>
        </is>
      </c>
    </row>
    <row r="29" ht="15" customHeight="1" s="56">
      <c r="G29" s="97" t="inlineStr">
        <is>
          <t>University-paid subtotal</t>
        </is>
      </c>
      <c r="H29" s="98">
        <f>SUM(H9:H18)</f>
        <v/>
      </c>
      <c r="K29" s="98">
        <f>SUM(K9:K18)</f>
        <v/>
      </c>
    </row>
    <row r="30" ht="15" customHeight="1" s="56">
      <c r="G30" s="99" t="inlineStr">
        <is>
          <t>Contingency</t>
        </is>
      </c>
      <c r="H30" s="100">
        <f>H29*Compare!$B$11</f>
        <v/>
      </c>
      <c r="K30" s="100">
        <f>K29*Compare!$B$11</f>
        <v/>
      </c>
    </row>
    <row r="31" ht="15" customHeight="1" s="56">
      <c r="G31" s="97" t="inlineStr">
        <is>
          <t>University-paid total incl. contingency</t>
        </is>
      </c>
      <c r="H31" s="98">
        <f>H29+H30</f>
        <v/>
      </c>
      <c r="K31" s="98">
        <f>K29+K30</f>
        <v/>
      </c>
    </row>
    <row r="32" ht="15" customHeight="1" s="56">
      <c r="G32" s="97" t="inlineStr">
        <is>
          <t>Funding left (negative = over)</t>
        </is>
      </c>
      <c r="H32" s="101">
        <f>Compare!$B$12-H31</f>
        <v/>
      </c>
      <c r="K32" s="101">
        <f>Compare!$B$5-K31</f>
        <v/>
      </c>
    </row>
    <row r="33" ht="15" customHeight="1" s="56">
      <c r="G33" s="97" t="inlineStr">
        <is>
          <t>Personal costs – team</t>
        </is>
      </c>
      <c r="H33" s="102">
        <f>SUM(H20:H26)</f>
        <v/>
      </c>
      <c r="K33" s="102">
        <f>SUM(K20:K26)</f>
        <v/>
      </c>
    </row>
    <row r="34" ht="15" customHeight="1" s="56">
      <c r="G34" s="97" t="inlineStr">
        <is>
          <t>Out-of-pocket per person (personal + any overrun)</t>
        </is>
      </c>
      <c r="H34" s="102">
        <f>(H33+MAX(0,-H32))/Compare!$B$6</f>
        <v/>
      </c>
      <c r="K34" s="102">
        <f>(K33+MAX(0,-K32))/Compare!$B$7</f>
        <v/>
      </c>
    </row>
    <row r="35" ht="15" customHeight="1" s="56">
      <c r="G35" s="97" t="inlineStr">
        <is>
          <t>Whole trip cost (university + personal)</t>
        </is>
      </c>
      <c r="H35" s="103">
        <f>H31+H33</f>
        <v/>
      </c>
      <c r="K35" s="103">
        <f>K31+K33</f>
        <v/>
      </c>
    </row>
    <row r="36" ht="15" customHeight="1" s="56">
      <c r="G36" s="99" t="inlineStr">
        <is>
          <t>Time in planes &amp; trains</t>
        </is>
      </c>
      <c r="H36" s="104">
        <f>D10+D11</f>
        <v/>
      </c>
      <c r="K36" s="104">
        <f>D10+D11</f>
        <v/>
      </c>
    </row>
    <row r="38" ht="15" customHeight="1" s="56">
      <c r="A38" s="72" t="inlineStr">
        <is>
          <t>Key facts</t>
        </is>
      </c>
    </row>
    <row r="39" ht="30" customHeight="1" s="56">
      <c r="A39" s="75" t="inlineStr">
        <is>
          <t>Contest</t>
        </is>
      </c>
      <c r="B39" s="74" t="inlineStr">
        <is>
          <t>Asia Shanghai Regional, 5–6 Dec 2026 (provisional), Shanghai University Baoshan campus (gym; metro line 7 Shangda Rd). 2025 pattern: day 1 registration 09:00–14:00, opening 14:00, warm-up 15:00–17:00; day 2 contest 09:00–14:00, awards 15:30–17:00.</t>
        </is>
      </c>
    </row>
    <row r="40" ht="15" customHeight="1" s="56">
      <c r="A40" s="75" t="inlineStr">
        <is>
          <t>Wildcard</t>
        </is>
      </c>
      <c r="B40" s="74" t="inlineStr">
        <is>
          <t>A Mongolian team needs a wildcard (外卡): email shu_icpc@163.com. The first round closed on 17 Oct in 2025 – ask now.</t>
        </is>
      </c>
    </row>
    <row r="41" ht="15" customHeight="1" s="56">
      <c r="A41" s="75" t="inlineStr">
        <is>
          <t>Why this plan</t>
        </is>
      </c>
      <c r="B41" s="74" t="inlineStr">
        <is>
          <t>No rail and no Beijing day: one flight each way at fares far below normal. Book soon – these are sale fares.</t>
        </is>
      </c>
    </row>
    <row r="42" ht="15" customHeight="1" s="56">
      <c r="A42" s="75" t="inlineStr">
        <is>
          <t>Trade-off</t>
        </is>
      </c>
      <c r="B42" s="74" t="inlineStr">
        <is>
          <t>Seven nights away (more class missed, more hotel and meals), hand-baggage-only fare (carry-on only saves ~₮1.0M), a 08:00 flight home from Pudong (leave the hotel ~05:00).</t>
        </is>
      </c>
    </row>
    <row r="44" ht="15" customHeight="1" s="56">
      <c r="A44" s="72" t="inlineStr">
        <is>
          <t>Day-by-day plan</t>
        </is>
      </c>
    </row>
    <row r="45" ht="15" customHeight="1" s="56">
      <c r="A45" s="96" t="inlineStr">
        <is>
          <t>Date</t>
        </is>
      </c>
      <c r="B45" s="96" t="inlineStr">
        <is>
          <t>Sleep in</t>
        </is>
      </c>
      <c r="C45" s="96" t="inlineStr">
        <is>
          <t>What happens</t>
        </is>
      </c>
    </row>
    <row r="46" ht="15" customHeight="1" s="56">
      <c r="A46" s="74" t="inlineStr">
        <is>
          <t>Tue 1 Dec</t>
        </is>
      </c>
      <c r="B46" s="74" t="inlineStr">
        <is>
          <t>Shanghai</t>
        </is>
      </c>
      <c r="C46" s="74" t="inlineStr">
        <is>
          <t>Spring 9C6520 UB 13:00 → Shanghai Pudong 17:00; taxi / metro to Jenny's Apartment.</t>
        </is>
      </c>
    </row>
    <row r="47" ht="15" customHeight="1" s="56">
      <c r="A47" s="74" t="inlineStr">
        <is>
          <t>Wed 2 – Fri 4 Dec</t>
        </is>
      </c>
      <c r="B47" s="74" t="inlineStr">
        <is>
          <t>Shanghai</t>
        </is>
      </c>
      <c r="C47" s="74" t="inlineStr">
        <is>
          <t>Rest / practice days (or sightseeing, lectures).</t>
        </is>
      </c>
    </row>
    <row r="48" ht="15" customHeight="1" s="56">
      <c r="A48" s="74" t="inlineStr">
        <is>
          <t>Sat 5 Dec</t>
        </is>
      </c>
      <c r="B48" s="74" t="inlineStr">
        <is>
          <t>Shanghai</t>
        </is>
      </c>
      <c r="C48" s="74" t="inlineStr">
        <is>
          <t>Registration (09:00–14:00), opening 14:00, warm-up 15:00–17:00 at Shanghai University Baoshan (2025 pattern).</t>
        </is>
      </c>
    </row>
    <row r="49" ht="15" customHeight="1" s="56">
      <c r="A49" s="74" t="inlineStr">
        <is>
          <t>Sun 6 Dec</t>
        </is>
      </c>
      <c r="B49" s="74" t="inlineStr">
        <is>
          <t>Shanghai</t>
        </is>
      </c>
      <c r="C49" s="74" t="inlineStr">
        <is>
          <t>SHANGHAI REGIONAL contest day 09:00–14:00; analysis &amp; awards ~14:30–17:00.</t>
        </is>
      </c>
    </row>
    <row r="50" ht="15" customHeight="1" s="56">
      <c r="A50" s="74" t="inlineStr">
        <is>
          <t>Mon 7 Dec</t>
        </is>
      </c>
      <c r="B50" s="74" t="inlineStr">
        <is>
          <t>Shanghai</t>
        </is>
      </c>
      <c r="C50" s="74" t="inlineStr">
        <is>
          <t>Free day.</t>
        </is>
      </c>
    </row>
    <row r="51" ht="15" customHeight="1" s="56">
      <c r="A51" s="74" t="inlineStr">
        <is>
          <t>Tue 8 Dec</t>
        </is>
      </c>
      <c r="B51" s="74" t="inlineStr">
        <is>
          <t>Home</t>
        </is>
      </c>
      <c r="C51" s="74" t="inlineStr">
        <is>
          <t>Taxi to Pudong (leave ~05:00). Spring 9C6519 PVG 08:00 → UB 12:00.</t>
        </is>
      </c>
    </row>
    <row r="53" ht="15" customHeight="1" s="56">
      <c r="A53" s="72" t="inlineStr">
        <is>
          <t>Door-to-door travel times</t>
        </is>
      </c>
    </row>
    <row r="54" ht="15" customHeight="1" s="56">
      <c r="A54" s="96" t="inlineStr">
        <is>
          <t>Date</t>
        </is>
      </c>
      <c r="B54" s="96" t="inlineStr">
        <is>
          <t>Leg</t>
        </is>
      </c>
      <c r="C54" s="96" t="inlineStr">
        <is>
          <t>Mode</t>
        </is>
      </c>
      <c r="D54" s="96" t="inlineStr">
        <is>
          <t>Expected time</t>
        </is>
      </c>
      <c r="E54" s="96" t="inlineStr">
        <is>
          <t>Notes</t>
        </is>
      </c>
    </row>
    <row r="55" ht="15" customHeight="1" s="56">
      <c r="A55" s="105" t="inlineStr">
        <is>
          <t>1 Dec</t>
        </is>
      </c>
      <c r="B55" s="105" t="inlineStr">
        <is>
          <t>Home → Chinggis Khaan airport</t>
        </is>
      </c>
      <c r="C55" s="82" t="inlineStr">
        <is>
          <t>Taxi (~50 km)</t>
        </is>
      </c>
      <c r="D55" s="104" t="n">
        <v>0.04166666666666666</v>
      </c>
      <c r="E55" s="106" t="inlineStr">
        <is>
          <t>Leave ~10:00 for 13:00 flight</t>
        </is>
      </c>
      <c r="F55" s="107" t="n"/>
      <c r="G55" s="107" t="n"/>
      <c r="H55" s="107" t="n"/>
      <c r="I55" s="107" t="n"/>
      <c r="J55" s="107" t="n"/>
      <c r="K55" s="107" t="n"/>
      <c r="L55" s="107" t="n"/>
    </row>
    <row r="56" ht="15" customHeight="1" s="56">
      <c r="A56" s="105" t="inlineStr">
        <is>
          <t>1 Dec</t>
        </is>
      </c>
      <c r="B56" s="105" t="inlineStr">
        <is>
          <t>Ulaanbaatar → Shanghai (PVG)</t>
        </is>
      </c>
      <c r="C56" s="82" t="inlineStr">
        <is>
          <t>Spring 9C6520 13:00–17:00</t>
        </is>
      </c>
      <c r="D56" s="104" t="n">
        <v>0.1666666666666667</v>
      </c>
      <c r="E56" s="106" t="inlineStr">
        <is>
          <t>Local times (China is 1 h behind UB... see note)</t>
        </is>
      </c>
      <c r="F56" s="107" t="n"/>
      <c r="G56" s="107" t="n"/>
      <c r="H56" s="107" t="n"/>
      <c r="I56" s="107" t="n"/>
      <c r="J56" s="107" t="n"/>
      <c r="K56" s="107" t="n"/>
      <c r="L56" s="107" t="n"/>
    </row>
    <row r="57" ht="15" customHeight="1" s="56">
      <c r="A57" s="105" t="inlineStr">
        <is>
          <t>1 Dec</t>
        </is>
      </c>
      <c r="B57" s="105" t="inlineStr">
        <is>
          <t>PVG arrival: immigration, bags</t>
        </is>
      </c>
      <c r="C57" s="82" t="inlineStr">
        <is>
          <t>—</t>
        </is>
      </c>
      <c r="D57" s="104" t="n">
        <v>0.03125</v>
      </c>
      <c r="E57" s="106" t="inlineStr">
        <is>
          <t>Estimate</t>
        </is>
      </c>
      <c r="F57" s="107" t="n"/>
      <c r="G57" s="107" t="n"/>
      <c r="H57" s="107" t="n"/>
      <c r="I57" s="107" t="n"/>
      <c r="J57" s="107" t="n"/>
      <c r="K57" s="107" t="n"/>
      <c r="L57" s="107" t="n"/>
    </row>
    <row r="58" ht="15" customHeight="1" s="56">
      <c r="A58" s="105" t="inlineStr">
        <is>
          <t>1 Dec</t>
        </is>
      </c>
      <c r="B58" s="105" t="inlineStr">
        <is>
          <t>PVG → hotel (Baoshan)</t>
        </is>
      </c>
      <c r="C58" s="82" t="inlineStr">
        <is>
          <t>Taxi (~65 km)</t>
        </is>
      </c>
      <c r="D58" s="104" t="n">
        <v>0.05208333333333334</v>
      </c>
      <c r="E58" s="106" t="inlineStr">
        <is>
          <t>Estimate; metro ~2 h</t>
        </is>
      </c>
      <c r="F58" s="107" t="n"/>
      <c r="G58" s="107" t="n"/>
      <c r="H58" s="107" t="n"/>
      <c r="I58" s="107" t="n"/>
      <c r="J58" s="107" t="n"/>
      <c r="K58" s="107" t="n"/>
      <c r="L58" s="107" t="n"/>
    </row>
    <row r="59" ht="15" customHeight="1" s="56">
      <c r="A59" s="105" t="inlineStr">
        <is>
          <t>5–6 Dec</t>
        </is>
      </c>
      <c r="B59" s="105" t="inlineStr">
        <is>
          <t>Hotel ↔ Shanghai University Baoshan (each way)</t>
        </is>
      </c>
      <c r="C59" s="82" t="inlineStr">
        <is>
          <t>Walk</t>
        </is>
      </c>
      <c r="D59" s="104" t="inlineStr">
        <is>
          <t>daily</t>
        </is>
      </c>
      <c r="E59" s="106" t="inlineStr">
        <is>
          <t>~15 min walk</t>
        </is>
      </c>
      <c r="F59" s="107" t="n"/>
      <c r="G59" s="107" t="n"/>
      <c r="H59" s="107" t="n"/>
      <c r="I59" s="107" t="n"/>
      <c r="J59" s="107" t="n"/>
      <c r="K59" s="107" t="n"/>
      <c r="L59" s="107" t="n"/>
    </row>
    <row r="60" ht="15" customHeight="1" s="56">
      <c r="A60" s="105" t="inlineStr">
        <is>
          <t>8 Dec</t>
        </is>
      </c>
      <c r="B60" s="105" t="inlineStr">
        <is>
          <t>Hotel → PVG</t>
        </is>
      </c>
      <c r="C60" s="82" t="inlineStr">
        <is>
          <t>Taxi (~65 km)</t>
        </is>
      </c>
      <c r="D60" s="104" t="n">
        <v>0.05208333333333334</v>
      </c>
      <c r="E60" s="106" t="inlineStr">
        <is>
          <t>Leave ~05:00</t>
        </is>
      </c>
      <c r="F60" s="107" t="n"/>
      <c r="G60" s="107" t="n"/>
      <c r="H60" s="107" t="n"/>
      <c r="I60" s="107" t="n"/>
      <c r="J60" s="107" t="n"/>
      <c r="K60" s="107" t="n"/>
      <c r="L60" s="107" t="n"/>
    </row>
    <row r="61" ht="15" customHeight="1" s="56">
      <c r="A61" s="105" t="inlineStr">
        <is>
          <t>8 Dec</t>
        </is>
      </c>
      <c r="B61" s="105" t="inlineStr">
        <is>
          <t>PVG check-in &amp; security</t>
        </is>
      </c>
      <c r="C61" s="82" t="inlineStr">
        <is>
          <t>—</t>
        </is>
      </c>
      <c r="D61" s="104" t="n">
        <v>0.0625</v>
      </c>
      <c r="E61" s="106" t="inlineStr"/>
      <c r="F61" s="107" t="n"/>
      <c r="G61" s="107" t="n"/>
      <c r="H61" s="107" t="n"/>
      <c r="I61" s="107" t="n"/>
      <c r="J61" s="107" t="n"/>
      <c r="K61" s="107" t="n"/>
      <c r="L61" s="107" t="n"/>
    </row>
    <row r="62" ht="15" customHeight="1" s="56">
      <c r="A62" s="105" t="inlineStr">
        <is>
          <t>8 Dec</t>
        </is>
      </c>
      <c r="B62" s="105" t="inlineStr">
        <is>
          <t>Shanghai (PVG) → Ulaanbaatar</t>
        </is>
      </c>
      <c r="C62" s="82" t="inlineStr">
        <is>
          <t>Spring 9C6519 08:00–12:00</t>
        </is>
      </c>
      <c r="D62" s="104" t="n">
        <v>0.1666666666666667</v>
      </c>
      <c r="E62" s="106" t="inlineStr"/>
      <c r="F62" s="107" t="n"/>
      <c r="G62" s="107" t="n"/>
      <c r="H62" s="107" t="n"/>
      <c r="I62" s="107" t="n"/>
      <c r="J62" s="107" t="n"/>
      <c r="K62" s="107" t="n"/>
      <c r="L62" s="107" t="n"/>
    </row>
    <row r="63" ht="15" customHeight="1" s="56">
      <c r="A63" s="105" t="inlineStr">
        <is>
          <t>8 Dec</t>
        </is>
      </c>
      <c r="B63" s="105" t="inlineStr">
        <is>
          <t>Chinggis Khaan airport → home</t>
        </is>
      </c>
      <c r="C63" s="82" t="inlineStr">
        <is>
          <t>Taxi</t>
        </is>
      </c>
      <c r="D63" s="104" t="n">
        <v>0.04166666666666666</v>
      </c>
      <c r="E63" s="106" t="inlineStr"/>
      <c r="F63" s="107" t="n"/>
      <c r="G63" s="107" t="n"/>
      <c r="H63" s="107" t="n"/>
      <c r="I63" s="107" t="n"/>
      <c r="J63" s="107" t="n"/>
      <c r="K63" s="107" t="n"/>
      <c r="L63" s="107" t="n"/>
    </row>
    <row r="65" ht="15" customHeight="1" s="56">
      <c r="C65" s="59" t="inlineStr">
        <is>
          <t>Total door-to-door</t>
        </is>
      </c>
      <c r="D65" s="109">
        <f>SUM(D55:D63)</f>
        <v/>
      </c>
    </row>
  </sheetData>
  <mergeCells count="19">
    <mergeCell ref="E56:L56"/>
    <mergeCell ref="E58:L58"/>
    <mergeCell ref="C48:L48"/>
    <mergeCell ref="E55:L55"/>
    <mergeCell ref="E62:L62"/>
    <mergeCell ref="C49:L49"/>
    <mergeCell ref="B39:L39"/>
    <mergeCell ref="E63:L63"/>
    <mergeCell ref="B42:L42"/>
    <mergeCell ref="E60:L60"/>
    <mergeCell ref="E59:L59"/>
    <mergeCell ref="C47:L47"/>
    <mergeCell ref="B40:L40"/>
    <mergeCell ref="C50:L50"/>
    <mergeCell ref="E61:L61"/>
    <mergeCell ref="E57:L57"/>
    <mergeCell ref="C51:L51"/>
    <mergeCell ref="C46:L46"/>
    <mergeCell ref="B41:L4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65"/>
  <sheetViews>
    <sheetView workbookViewId="0">
      <pane xSplit="2" ySplit="7" topLeftCell="C8" activePane="bottomRight" state="frozen"/>
      <selection pane="topRight" activeCell="A1" sqref="A1"/>
      <selection pane="bottomLeft" activeCell="A1" sqref="A1"/>
      <selection pane="bottomRight" activeCell="A1" sqref="A1"/>
    </sheetView>
  </sheetViews>
  <sheetFormatPr baseColWidth="8" defaultRowHeight="15"/>
  <cols>
    <col width="26" customWidth="1" style="56" min="1" max="1"/>
    <col width="52" customWidth="1" style="56" min="2" max="2"/>
    <col width="20" customWidth="1" style="56" min="3" max="3"/>
    <col width="15" customWidth="1" style="56" min="4" max="4"/>
    <col width="13" customWidth="1" style="56" min="5" max="5"/>
    <col width="9" customWidth="1" style="56" min="6" max="6"/>
    <col width="17" customWidth="1" style="56" min="8" max="8"/>
    <col width="13" customWidth="1" style="56" min="9" max="9"/>
    <col width="9" customWidth="1" style="56" min="10" max="10"/>
    <col width="17" customWidth="1" style="56" min="11" max="11"/>
    <col width="58" customWidth="1" style="56" min="12" max="12"/>
  </cols>
  <sheetData>
    <row r="1" ht="17.35" customHeight="1" s="56">
      <c r="A1" s="57" t="inlineStr">
        <is>
          <t>Shanghai – Nonstop cheap rooms</t>
        </is>
      </c>
    </row>
    <row r="2" ht="15" customHeight="1" s="56">
      <c r="A2" s="62" t="inlineStr">
        <is>
          <t>Spring Airlines nonstops both ways (1 Dec out, 8 Dec back) as in 'Spring nonstop', but two cheap private rooms 1.8 km from the venue (Hi Inn 8.9 / Jtour Inn 8.6) instead of the apartment: 7 nights ¥1,784 / ¥1,652 instead of ¥2,984 / ¥3,766.</t>
        </is>
      </c>
    </row>
    <row r="4" ht="15" customHeight="1" s="56">
      <c r="A4" s="60" t="inlineStr">
        <is>
          <t>Days in destination (meals &amp; local transport)</t>
        </is>
      </c>
      <c r="B4" s="76" t="n">
        <v>7</v>
      </c>
      <c r="C4" s="62" t="inlineStr">
        <is>
          <t>1 Dec afternoon → 8 Dec morning</t>
        </is>
      </c>
    </row>
    <row r="5" ht="15" customHeight="1" s="56">
      <c r="A5" s="62" t="inlineStr">
        <is>
          <t>Shared inputs are on the Compare sheet. Scroll down for the day-by-day plan and door-to-door travel times.</t>
        </is>
      </c>
    </row>
    <row r="7" ht="31.5" customHeight="1" s="56">
      <c r="A7" s="66" t="inlineStr">
        <is>
          <t>Category</t>
        </is>
      </c>
      <c r="B7" s="66" t="inlineStr">
        <is>
          <t>Item</t>
        </is>
      </c>
      <c r="C7" s="66" t="inlineStr">
        <is>
          <t>Date</t>
        </is>
      </c>
      <c r="D7" s="66" t="inlineStr">
        <is>
          <t>Travel time</t>
        </is>
      </c>
      <c r="E7" s="66" t="inlineStr">
        <is>
          <t>Unit cost (3 ppl)</t>
        </is>
      </c>
      <c r="F7" s="66" t="inlineStr">
        <is>
          <t>Currency</t>
        </is>
      </c>
      <c r="G7" s="66" t="inlineStr">
        <is>
          <t>Qty (3 ppl)</t>
        </is>
      </c>
      <c r="H7" s="66" t="inlineStr">
        <is>
          <t>Total MNT – 3 people</t>
        </is>
      </c>
      <c r="I7" s="66" t="inlineStr">
        <is>
          <t>Unit cost (4 ppl)</t>
        </is>
      </c>
      <c r="J7" s="66" t="inlineStr">
        <is>
          <t>Qty (4 ppl)</t>
        </is>
      </c>
      <c r="K7" s="66" t="inlineStr">
        <is>
          <t>Total MNT – 4 people</t>
        </is>
      </c>
      <c r="L7" s="66" t="inlineStr">
        <is>
          <t>Source / notes</t>
        </is>
      </c>
    </row>
    <row r="8" ht="15" customHeight="1" s="56">
      <c r="A8" s="77" t="inlineStr">
        <is>
          <t>PAID BY UNIVERSITY</t>
        </is>
      </c>
      <c r="B8" s="78" t="n"/>
      <c r="C8" s="78" t="n"/>
      <c r="D8" s="78" t="n"/>
      <c r="E8" s="78" t="n"/>
      <c r="F8" s="78" t="n"/>
      <c r="G8" s="78" t="n"/>
      <c r="H8" s="78" t="n"/>
      <c r="I8" s="78" t="n"/>
      <c r="J8" s="78" t="n"/>
      <c r="K8" s="78" t="n"/>
      <c r="L8" s="78" t="n"/>
    </row>
    <row r="9" ht="15" customHeight="1" s="56">
      <c r="A9" s="79" t="inlineStr">
        <is>
          <t>Flights</t>
        </is>
      </c>
      <c r="B9" s="80" t="n"/>
      <c r="C9" s="80" t="n"/>
      <c r="D9" s="80" t="n"/>
      <c r="E9" s="80" t="n"/>
      <c r="F9" s="80" t="n"/>
      <c r="G9" s="80" t="n"/>
      <c r="H9" s="80" t="n"/>
      <c r="I9" s="80" t="n"/>
      <c r="J9" s="80" t="n"/>
      <c r="K9" s="80" t="n"/>
      <c r="L9" s="80" t="n"/>
    </row>
    <row r="10" ht="60" customHeight="1" s="56">
      <c r="A10" s="81" t="n"/>
      <c r="B10" s="111" t="inlineStr">
        <is>
          <t>Spring Airlines 9C6520 Ulaanbaatar → Shanghai Pudong (PVG), nonstop 13:00–17:00</t>
        </is>
      </c>
      <c r="C10" s="83" t="inlineStr">
        <is>
          <t>1 Dec (Tue)</t>
        </is>
      </c>
      <c r="D10" s="84" t="n">
        <v>0.1666666666666667</v>
      </c>
      <c r="E10" s="85" t="n">
        <v>164</v>
      </c>
      <c r="F10" s="86" t="inlineStr">
        <is>
          <t>USD</t>
        </is>
      </c>
      <c r="G10" s="87">
        <f>Compare!$B$6</f>
        <v/>
      </c>
      <c r="H10" s="88">
        <f>E10*G10*IF(F10="USD",Compare!$B$8,IF(F10="CNY",Compare!$B$9,IF(F10="HKD",Compare!$B$10,1)))</f>
        <v/>
      </c>
      <c r="I10" s="89">
        <f>E10</f>
        <v/>
      </c>
      <c r="J10" s="87">
        <f>Compare!$B$7</f>
        <v/>
      </c>
      <c r="K10" s="88">
        <f>I10*J10*IF(F10="USD",Compare!$B$8,IF(F10="CNY",Compare!$B$9,IF(F10="HKD",Compare!$B$10,1)))</f>
        <v/>
      </c>
      <c r="L10" s="112" t="inlineStr">
        <is>
          <t>SlickTrip 10 Oct: $164 pp (Trip.com $173), far below the usual $465–700 round trip (lowest seen $149). Flies Tue/Sat only; Sat 5 Dec would land 17:00 after registration closes</t>
        </is>
      </c>
    </row>
    <row r="11" ht="30" customHeight="1" s="56">
      <c r="A11" s="81" t="n"/>
      <c r="B11" s="111" t="inlineStr">
        <is>
          <t>Spring Airlines 9C6519 Shanghai Pudong (PVG) → Ulaanbaatar, nonstop 08:00–12:00</t>
        </is>
      </c>
      <c r="C11" s="83" t="inlineStr">
        <is>
          <t>8 Dec (Tue)</t>
        </is>
      </c>
      <c r="D11" s="84" t="n">
        <v>0.1666666666666667</v>
      </c>
      <c r="E11" s="85" t="n">
        <v>153</v>
      </c>
      <c r="F11" s="86" t="inlineStr">
        <is>
          <t>USD</t>
        </is>
      </c>
      <c r="G11" s="87">
        <f>Compare!$B$6</f>
        <v/>
      </c>
      <c r="H11" s="88">
        <f>E11*G11*IF(F11="USD",Compare!$B$8,IF(F11="CNY",Compare!$B$9,IF(F11="HKD",Compare!$B$10,1)))</f>
        <v/>
      </c>
      <c r="I11" s="89">
        <f>E11</f>
        <v/>
      </c>
      <c r="J11" s="87">
        <f>Compare!$B$7</f>
        <v/>
      </c>
      <c r="K11" s="88">
        <f>I11*J11*IF(F11="USD",Compare!$B$8,IF(F11="CNY",Compare!$B$9,IF(F11="HKD",Compare!$B$10,1)))</f>
        <v/>
      </c>
      <c r="L11" s="112" t="inlineStr">
        <is>
          <t>SlickTrip 10 Oct: $153 pp (Trip.com $159; lowest seen $122)</t>
        </is>
      </c>
    </row>
    <row r="12" ht="45" customHeight="1" s="56">
      <c r="A12" s="81" t="n"/>
      <c r="B12" s="111" t="inlineStr">
        <is>
          <t>Checked baggage Spring Airlines (base fare = 1 hand bag only), 1 bag per person each way</t>
        </is>
      </c>
      <c r="C12" s="83" t="inlineStr">
        <is>
          <t>1 &amp; 8 Dec</t>
        </is>
      </c>
      <c r="D12" s="84" t="n"/>
      <c r="E12" s="113" t="n">
        <v>300</v>
      </c>
      <c r="F12" s="86" t="inlineStr">
        <is>
          <t>CNY</t>
        </is>
      </c>
      <c r="G12" s="87">
        <f>Compare!$B$6*2</f>
        <v/>
      </c>
      <c r="H12" s="88">
        <f>E12*G12*IF(F12="USD",Compare!$B$8,IF(F12="CNY",Compare!$B$9,IF(F12="HKD",Compare!$B$10,1)))</f>
        <v/>
      </c>
      <c r="I12" s="114">
        <f>E12</f>
        <v/>
      </c>
      <c r="J12" s="87">
        <f>Compare!$B$7*2</f>
        <v/>
      </c>
      <c r="K12" s="88">
        <f>I12*J12*IF(F12="USD",Compare!$B$8,IF(F12="CNY",Compare!$B$9,IF(F12="HKD",Compare!$B$10,1)))</f>
        <v/>
      </c>
      <c r="L12" s="112" t="inlineStr">
        <is>
          <t>ASSUMPTION ~300 CNY per checked bag per direction (Spring sells bags from ~80–200 CNY online at booking, more at the airport)</t>
        </is>
      </c>
    </row>
    <row r="13" ht="15" customHeight="1" s="56">
      <c r="A13" s="79" t="inlineStr">
        <is>
          <t>Accommodation</t>
        </is>
      </c>
      <c r="B13" s="80" t="n"/>
      <c r="C13" s="80" t="n"/>
      <c r="D13" s="80" t="n"/>
      <c r="E13" s="80" t="n"/>
      <c r="F13" s="80" t="n"/>
      <c r="G13" s="80" t="n"/>
      <c r="H13" s="80" t="n"/>
      <c r="I13" s="80" t="n"/>
      <c r="J13" s="80" t="n"/>
      <c r="K13" s="80" t="n"/>
      <c r="L13" s="80" t="n"/>
    </row>
    <row r="14" ht="90" customHeight="1" s="56">
      <c r="A14" s="81" t="n"/>
      <c r="B14" s="111" t="inlineStr">
        <is>
          <t>Hi Inn Shanghai University Hutai Road (1.8 km, 8.9) – 3 ppl: 2 rooms (2 + 1 beds); 4 ppl: Jtour Inn Hotel Shanghai University (1.8 km, 8.6), 2 rooms of 2</t>
        </is>
      </c>
      <c r="C14" s="83" t="inlineStr">
        <is>
          <t>1–8 Dec (7 nights)</t>
        </is>
      </c>
      <c r="D14" s="81" t="n"/>
      <c r="E14" s="85">
        <f>1784/7</f>
        <v/>
      </c>
      <c r="F14" s="86" t="inlineStr">
        <is>
          <t>CNY</t>
        </is>
      </c>
      <c r="G14" s="91" t="n">
        <v>7</v>
      </c>
      <c r="H14" s="88">
        <f>E14*G14*IF(F14="USD",Compare!$B$8,IF(F14="CNY",Compare!$B$9,IF(F14="HKD",Compare!$B$10,1)))</f>
        <v/>
      </c>
      <c r="I14" s="85">
        <f>1652/7</f>
        <v/>
      </c>
      <c r="J14" s="91" t="n">
        <v>7</v>
      </c>
      <c r="K14" s="88">
        <f>I14*J14*IF(F14="USD",Compare!$B$8,IF(F14="CNY",Compare!$B$9,IF(F14="HKD",Compare!$B$10,1)))</f>
        <v/>
      </c>
      <c r="L14" s="112" t="inlineStr">
        <is>
          <t>Trip.com 10 Oct (Shanghai University landmark, Hotel + private-bathroom filters, lowest price first): Hi Inn Shanghai University Hutai Road (1.8 km walk, 8.9 from 423 reviews, Comfort Twin Room with fresh-air system) ¥1,784 for 7 nights, 2 rooms, for 3 ppl; Jtour Inn Hotel Shanghai University (1.8 km, 8.6 from 142 reviews) ¥1,652 for 4 ppl (2 rooms of 2; it is not offered for 3 adults). Cheaper but worse: Yibai Gucun Park (5.2 km, 7.9) ¥1,456, Boshi Changzhong Rd (2.5 km, 8.2) ¥1,568. Compare Jenny's Apartment, 1 room for 3: ¥2,984.</t>
        </is>
      </c>
    </row>
    <row r="15" ht="15" customHeight="1" s="56">
      <c r="A15" s="79" t="inlineStr">
        <is>
          <t>Meals &amp; local transport</t>
        </is>
      </c>
      <c r="B15" s="80" t="n"/>
      <c r="C15" s="80" t="n"/>
      <c r="D15" s="80" t="n"/>
      <c r="E15" s="80" t="n"/>
      <c r="F15" s="80" t="n"/>
      <c r="G15" s="80" t="n"/>
      <c r="H15" s="80" t="n"/>
      <c r="I15" s="80" t="n"/>
      <c r="J15" s="80" t="n"/>
      <c r="K15" s="80" t="n"/>
      <c r="L15" s="80" t="n"/>
    </row>
    <row r="16" ht="30" customHeight="1" s="56">
      <c r="A16" s="81" t="n"/>
      <c r="B16" s="111" t="inlineStr">
        <is>
          <t>Meals</t>
        </is>
      </c>
      <c r="C16" s="83" t="inlineStr">
        <is>
          <t>in destination</t>
        </is>
      </c>
      <c r="D16" s="81" t="n"/>
      <c r="E16" s="113" t="n">
        <v>80</v>
      </c>
      <c r="F16" s="86" t="inlineStr">
        <is>
          <t>CNY</t>
        </is>
      </c>
      <c r="G16" s="87">
        <f>Compare!$B$6*$B$4</f>
        <v/>
      </c>
      <c r="H16" s="88">
        <f>E16*G16*IF(F16="USD",Compare!$B$8,IF(F16="CNY",Compare!$B$9,IF(F16="HKD",Compare!$B$10,1)))</f>
        <v/>
      </c>
      <c r="I16" s="114">
        <f>E16</f>
        <v/>
      </c>
      <c r="J16" s="87">
        <f>Compare!$B$7*$B$4</f>
        <v/>
      </c>
      <c r="K16" s="88">
        <f>I16*J16*IF(F16="USD",Compare!$B$8,IF(F16="CNY",Compare!$B$9,IF(F16="HKD",Compare!$B$10,1)))</f>
        <v/>
      </c>
      <c r="L16" s="112" t="inlineStr">
        <is>
          <t>ASSUMPTION 80 CNY/person/day; hosts usually provide some meals on contest days</t>
        </is>
      </c>
    </row>
    <row r="17" ht="15" customHeight="1" s="56">
      <c r="A17" s="81" t="n"/>
      <c r="B17" s="111" t="inlineStr">
        <is>
          <t>Local transport (metro, taxis)</t>
        </is>
      </c>
      <c r="C17" s="83" t="inlineStr">
        <is>
          <t>in destination</t>
        </is>
      </c>
      <c r="D17" s="81" t="n"/>
      <c r="E17" s="113" t="n">
        <v>30</v>
      </c>
      <c r="F17" s="86" t="inlineStr">
        <is>
          <t>CNY</t>
        </is>
      </c>
      <c r="G17" s="87">
        <f>Compare!$B$6*$B$4</f>
        <v/>
      </c>
      <c r="H17" s="88">
        <f>E17*G17*IF(F17="USD",Compare!$B$8,IF(F17="CNY",Compare!$B$9,IF(F17="HKD",Compare!$B$10,1)))</f>
        <v/>
      </c>
      <c r="I17" s="114">
        <f>E17</f>
        <v/>
      </c>
      <c r="J17" s="87">
        <f>Compare!$B$7*$B$4</f>
        <v/>
      </c>
      <c r="K17" s="88">
        <f>I17*J17*IF(F17="USD",Compare!$B$8,IF(F17="CNY",Compare!$B$9,IF(F17="HKD",Compare!$B$10,1)))</f>
        <v/>
      </c>
      <c r="L17" s="112" t="inlineStr">
        <is>
          <t>ASSUMPTION 30 CNY/person/day</t>
        </is>
      </c>
    </row>
    <row r="18" ht="30" customHeight="1" s="56">
      <c r="A18" s="81" t="n"/>
      <c r="B18" s="111" t="inlineStr">
        <is>
          <t>Taxi PVG ↔ hotel (Baoshan), arrival and departure</t>
        </is>
      </c>
      <c r="C18" s="83" t="inlineStr">
        <is>
          <t>1 &amp; 8 Dec</t>
        </is>
      </c>
      <c r="D18" s="84" t="n"/>
      <c r="E18" s="113" t="n">
        <v>220</v>
      </c>
      <c r="F18" s="86" t="inlineStr">
        <is>
          <t>CNY</t>
        </is>
      </c>
      <c r="G18" s="91" t="n">
        <v>2</v>
      </c>
      <c r="H18" s="88">
        <f>E18*G18*IF(F18="USD",Compare!$B$8,IF(F18="CNY",Compare!$B$9,IF(F18="HKD",Compare!$B$10,1)))</f>
        <v/>
      </c>
      <c r="I18" s="114">
        <f>E18</f>
        <v/>
      </c>
      <c r="J18" s="91" t="n">
        <v>2</v>
      </c>
      <c r="K18" s="88">
        <f>I18*J18*IF(F18="USD",Compare!$B$8,IF(F18="CNY",Compare!$B$9,IF(F18="HKD",Compare!$B$10,1)))</f>
        <v/>
      </c>
      <c r="L18" s="112" t="inlineStr">
        <is>
          <t>ASSUMPTION ~220 CNY per car, ~65 km each way (metro lines 2 + 7 ~2 h, ~10 CNY)</t>
        </is>
      </c>
    </row>
    <row r="19" ht="15" customHeight="1" s="56">
      <c r="A19" s="94" t="inlineStr">
        <is>
          <t>PAID PERSONALLY (university won't cover)</t>
        </is>
      </c>
      <c r="B19" s="95" t="n"/>
      <c r="C19" s="95" t="n"/>
      <c r="D19" s="95" t="n"/>
      <c r="E19" s="95" t="n"/>
      <c r="F19" s="95" t="n"/>
      <c r="G19" s="95" t="n"/>
      <c r="H19" s="95" t="n"/>
      <c r="I19" s="95" t="n"/>
      <c r="J19" s="95" t="n"/>
      <c r="K19" s="95" t="n"/>
      <c r="L19" s="95" t="n"/>
    </row>
    <row r="20" ht="15" customHeight="1" s="56">
      <c r="A20" s="79" t="inlineStr">
        <is>
          <t>Contest fee</t>
        </is>
      </c>
      <c r="B20" s="80" t="n"/>
      <c r="C20" s="80" t="n"/>
      <c r="D20" s="80" t="n"/>
      <c r="E20" s="80" t="n"/>
      <c r="F20" s="80" t="n"/>
      <c r="G20" s="80" t="n"/>
      <c r="H20" s="80" t="n"/>
      <c r="I20" s="80" t="n"/>
      <c r="J20" s="80" t="n"/>
      <c r="K20" s="80" t="n"/>
      <c r="L20" s="80" t="n"/>
    </row>
    <row r="21" ht="22.35" customHeight="1" s="56">
      <c r="A21" s="81" t="n"/>
      <c r="B21" s="82" t="inlineStr">
        <is>
          <t>Shanghai regional registration fee (per team)</t>
        </is>
      </c>
      <c r="C21" s="83" t="inlineStr">
        <is>
          <t>TBC</t>
        </is>
      </c>
      <c r="D21" s="81" t="n"/>
      <c r="E21" s="113" t="n">
        <v>1500</v>
      </c>
      <c r="F21" s="86" t="inlineStr">
        <is>
          <t>CNY</t>
        </is>
      </c>
      <c r="G21" s="91" t="n">
        <v>1</v>
      </c>
      <c r="H21" s="88">
        <f>E21*G21*IF(F21="USD",Compare!$B$8,IF(F21="CNY",Compare!$B$9,IF(F21="HKD",Compare!$B$10,1)))</f>
        <v/>
      </c>
      <c r="I21" s="114">
        <f>E21</f>
        <v/>
      </c>
      <c r="J21" s="91" t="n">
        <v>1</v>
      </c>
      <c r="K21" s="88">
        <f>I21*J21*IF(F21="USD",Compare!$B$8,IF(F21="CNY",Compare!$B$9,IF(F21="HKD",Compare!$B$10,1)))</f>
        <v/>
      </c>
      <c r="L21" s="90" t="inlineStr">
        <is>
          <t>¥1,500/team in the 2025 Shanghai invitation (shu_icpc); 2026 invitation not seen</t>
        </is>
      </c>
    </row>
    <row r="22" ht="15" customHeight="1" s="56">
      <c r="A22" s="79" t="inlineStr">
        <is>
          <t>Other</t>
        </is>
      </c>
      <c r="B22" s="80" t="n"/>
      <c r="C22" s="80" t="n"/>
      <c r="D22" s="80" t="n"/>
      <c r="E22" s="80" t="n"/>
      <c r="F22" s="80" t="n"/>
      <c r="G22" s="80" t="n"/>
      <c r="H22" s="80" t="n"/>
      <c r="I22" s="80" t="n"/>
      <c r="J22" s="80" t="n"/>
      <c r="K22" s="80" t="n"/>
      <c r="L22" s="80" t="n"/>
    </row>
    <row r="23" ht="15" customHeight="1" s="56">
      <c r="A23" s="81" t="n"/>
      <c r="B23" s="82" t="inlineStr">
        <is>
          <t>Taxi to/from Chinggis Khaan airport (UB), per trip</t>
        </is>
      </c>
      <c r="C23" s="83" t="inlineStr">
        <is>
          <t>out &amp; back</t>
        </is>
      </c>
      <c r="D23" s="84" t="n">
        <v>0.04166666666666666</v>
      </c>
      <c r="E23" s="92" t="n">
        <v>100000</v>
      </c>
      <c r="F23" s="86" t="inlineStr">
        <is>
          <t>MNT</t>
        </is>
      </c>
      <c r="G23" s="91" t="n">
        <v>2</v>
      </c>
      <c r="H23" s="88">
        <f>E23*G23*IF(F23="USD",Compare!$B$8,IF(F23="CNY",Compare!$B$9,IF(F23="HKD",Compare!$B$10,1)))</f>
        <v/>
      </c>
      <c r="I23" s="93">
        <f>E23</f>
        <v/>
      </c>
      <c r="J23" s="91" t="n">
        <v>2</v>
      </c>
      <c r="K23" s="88">
        <f>I23*J23*IF(F23="USD",Compare!$B$8,IF(F23="CNY",Compare!$B$9,IF(F23="HKD",Compare!$B$10,1)))</f>
        <v/>
      </c>
      <c r="L23" s="90" t="inlineStr">
        <is>
          <t>ASSUMPTION 100k MNT per trip for the group</t>
        </is>
      </c>
    </row>
    <row r="24" ht="15" customHeight="1" s="56">
      <c r="A24" s="81" t="n"/>
      <c r="B24" s="82" t="inlineStr">
        <is>
          <t>Travel medical insurance</t>
        </is>
      </c>
      <c r="C24" s="83" t="n"/>
      <c r="D24" s="81" t="n"/>
      <c r="E24" s="92" t="n">
        <v>30000</v>
      </c>
      <c r="F24" s="86" t="inlineStr">
        <is>
          <t>MNT</t>
        </is>
      </c>
      <c r="G24" s="87">
        <f>Compare!$B$6</f>
        <v/>
      </c>
      <c r="H24" s="88">
        <f>E24*G24*IF(F24="USD",Compare!$B$8,IF(F24="CNY",Compare!$B$9,IF(F24="HKD",Compare!$B$10,1)))</f>
        <v/>
      </c>
      <c r="I24" s="93">
        <f>E24</f>
        <v/>
      </c>
      <c r="J24" s="87">
        <f>Compare!$B$7</f>
        <v/>
      </c>
      <c r="K24" s="88">
        <f>I24*J24*IF(F24="USD",Compare!$B$8,IF(F24="CNY",Compare!$B$9,IF(F24="HKD",Compare!$B$10,1)))</f>
        <v/>
      </c>
      <c r="L24" s="90" t="inlineStr">
        <is>
          <t>ASSUMPTION ~30k MNT per person, Mongolian insurer</t>
        </is>
      </c>
    </row>
    <row r="25" ht="15" customHeight="1" s="56">
      <c r="A25" s="81" t="n"/>
      <c r="B25" s="82" t="inlineStr">
        <is>
          <t>Mobile data eSIM</t>
        </is>
      </c>
      <c r="C25" s="83" t="n"/>
      <c r="D25" s="81" t="n"/>
      <c r="E25" s="92" t="n">
        <v>10</v>
      </c>
      <c r="F25" s="86" t="inlineStr">
        <is>
          <t>USD</t>
        </is>
      </c>
      <c r="G25" s="87">
        <f>Compare!$B$6</f>
        <v/>
      </c>
      <c r="H25" s="88">
        <f>E25*G25*IF(F25="USD",Compare!$B$8,IF(F25="CNY",Compare!$B$9,IF(F25="HKD",Compare!$B$10,1)))</f>
        <v/>
      </c>
      <c r="I25" s="93">
        <f>E25</f>
        <v/>
      </c>
      <c r="J25" s="87">
        <f>Compare!$B$7</f>
        <v/>
      </c>
      <c r="K25" s="88">
        <f>I25*J25*IF(F25="USD",Compare!$B$8,IF(F25="CNY",Compare!$B$9,IF(F25="HKD",Compare!$B$10,1)))</f>
        <v/>
      </c>
      <c r="L25" s="90" t="inlineStr">
        <is>
          <t>ASSUMPTION ~$10 pp</t>
        </is>
      </c>
    </row>
    <row r="26" ht="22.35" customHeight="1" s="56">
      <c r="A26" s="81" t="n"/>
      <c r="B26" s="82" t="inlineStr">
        <is>
          <t>Visa</t>
        </is>
      </c>
      <c r="C26" s="83" t="n"/>
      <c r="D26" s="81" t="n"/>
      <c r="E26" s="85" t="n">
        <v>0</v>
      </c>
      <c r="F26" s="86" t="inlineStr">
        <is>
          <t>MNT</t>
        </is>
      </c>
      <c r="G26" s="87">
        <f>Compare!$B$6</f>
        <v/>
      </c>
      <c r="H26" s="88">
        <f>E26*G26*IF(F26="USD",Compare!$B$8,IF(F26="CNY",Compare!$B$9,IF(F26="HKD",Compare!$B$10,1)))</f>
        <v/>
      </c>
      <c r="I26" s="89">
        <f>E26</f>
        <v/>
      </c>
      <c r="J26" s="87">
        <f>Compare!$B$7</f>
        <v/>
      </c>
      <c r="K26" s="88">
        <f>I26*J26*IF(F26="USD",Compare!$B$8,IF(F26="CNY",Compare!$B$9,IF(F26="HKD",Compare!$B$10,1)))</f>
        <v/>
      </c>
      <c r="L26" s="90" t="inlineStr">
        <is>
          <t>Mongolian passports: visa-free (mainland China up to 30 days; Hong Kong up to 14 days)</t>
        </is>
      </c>
    </row>
    <row r="28" ht="15" customHeight="1" s="56">
      <c r="G28" s="60" t="n"/>
      <c r="H28" s="96" t="inlineStr">
        <is>
          <t>3 people – UNFUNDED</t>
        </is>
      </c>
      <c r="K28" s="96" t="inlineStr">
        <is>
          <t>4 people – FUNDED ₮12M</t>
        </is>
      </c>
    </row>
    <row r="29" ht="15" customHeight="1" s="56">
      <c r="G29" s="97" t="inlineStr">
        <is>
          <t>University-paid subtotal</t>
        </is>
      </c>
      <c r="H29" s="98">
        <f>SUM(H9:H18)</f>
        <v/>
      </c>
      <c r="K29" s="98">
        <f>SUM(K9:K18)</f>
        <v/>
      </c>
    </row>
    <row r="30" ht="15" customHeight="1" s="56">
      <c r="G30" s="99" t="inlineStr">
        <is>
          <t>Contingency</t>
        </is>
      </c>
      <c r="H30" s="100">
        <f>H29*Compare!$B$11</f>
        <v/>
      </c>
      <c r="K30" s="100">
        <f>K29*Compare!$B$11</f>
        <v/>
      </c>
    </row>
    <row r="31" ht="15" customHeight="1" s="56">
      <c r="G31" s="97" t="inlineStr">
        <is>
          <t>University-paid total incl. contingency</t>
        </is>
      </c>
      <c r="H31" s="98">
        <f>H29+H30</f>
        <v/>
      </c>
      <c r="K31" s="98">
        <f>K29+K30</f>
        <v/>
      </c>
    </row>
    <row r="32" ht="15" customHeight="1" s="56">
      <c r="G32" s="97" t="inlineStr">
        <is>
          <t>Funding left (negative = over)</t>
        </is>
      </c>
      <c r="H32" s="101">
        <f>Compare!$B$12-H31</f>
        <v/>
      </c>
      <c r="K32" s="101">
        <f>Compare!$B$5-K31</f>
        <v/>
      </c>
    </row>
    <row r="33" ht="15" customHeight="1" s="56">
      <c r="G33" s="97" t="inlineStr">
        <is>
          <t>Personal costs – team</t>
        </is>
      </c>
      <c r="H33" s="102">
        <f>SUM(H20:H26)</f>
        <v/>
      </c>
      <c r="K33" s="102">
        <f>SUM(K20:K26)</f>
        <v/>
      </c>
    </row>
    <row r="34" ht="15" customHeight="1" s="56">
      <c r="G34" s="97" t="inlineStr">
        <is>
          <t>Out-of-pocket per person (personal + any overrun)</t>
        </is>
      </c>
      <c r="H34" s="102">
        <f>(H33+MAX(0,-H32))/Compare!$B$6</f>
        <v/>
      </c>
      <c r="K34" s="102">
        <f>(K33+MAX(0,-K32))/Compare!$B$7</f>
        <v/>
      </c>
    </row>
    <row r="35" ht="15" customHeight="1" s="56">
      <c r="G35" s="97" t="inlineStr">
        <is>
          <t>Whole trip cost (university + personal)</t>
        </is>
      </c>
      <c r="H35" s="103">
        <f>H31+H33</f>
        <v/>
      </c>
      <c r="K35" s="103">
        <f>K31+K33</f>
        <v/>
      </c>
    </row>
    <row r="36" ht="15" customHeight="1" s="56">
      <c r="G36" s="99" t="inlineStr">
        <is>
          <t>Time in planes &amp; trains</t>
        </is>
      </c>
      <c r="H36" s="104">
        <f>D10+D11</f>
        <v/>
      </c>
      <c r="K36" s="104">
        <f>D10+D11</f>
        <v/>
      </c>
    </row>
    <row r="38" ht="15" customHeight="1" s="56">
      <c r="A38" s="72" t="inlineStr">
        <is>
          <t>Key facts</t>
        </is>
      </c>
    </row>
    <row r="39" ht="30" customHeight="1" s="56">
      <c r="A39" s="75" t="inlineStr">
        <is>
          <t>Contest</t>
        </is>
      </c>
      <c r="B39" s="74" t="inlineStr">
        <is>
          <t>Asia Shanghai Regional, 5–6 Dec 2026 (provisional), Shanghai University Baoshan campus (gym; metro line 7 Shangda Rd). 2025 pattern: day 1 registration 09:00–14:00, opening 14:00, warm-up 15:00–17:00; day 2 contest 09:00–14:00, awards 15:30–17:00.</t>
        </is>
      </c>
    </row>
    <row r="40" ht="15" customHeight="1" s="56">
      <c r="A40" s="75" t="inlineStr">
        <is>
          <t>Wildcard</t>
        </is>
      </c>
      <c r="B40" s="74" t="inlineStr">
        <is>
          <t>A Mongolian team needs a wildcard (外卡): email shu_icpc@163.com. The first round closed on 17 Oct in 2025 – ask now.</t>
        </is>
      </c>
    </row>
    <row r="41" ht="15" customHeight="1" s="56">
      <c r="A41" s="75" t="inlineStr">
        <is>
          <t>Why this plan</t>
        </is>
      </c>
      <c r="B41" s="74" t="inlineStr">
        <is>
          <t>No rail and no Beijing day: one flight each way at fares far below normal (sale fares – book soon). The hotel is the cheapest decent private rooms near the venue: far-away rooms are only ¥200–330 cheaper in total, which is not worth a 1–2 h commute.</t>
        </is>
      </c>
    </row>
    <row r="42" ht="15" customHeight="1" s="56">
      <c r="A42" s="75" t="inlineStr">
        <is>
          <t>Trade-off</t>
        </is>
      </c>
      <c r="B42" s="74" t="inlineStr">
        <is>
          <t>Seven nights away (more class missed, more meals), hand-baggage-only fare (carry-on only saves ~₮1.0M), a 08:00 flight home from Pudong (leave the hotel ~05:00). The nights after the contest (6, 7 Dec) are ~¥500 for both rooms – 'Fly out, train home' drops them.</t>
        </is>
      </c>
    </row>
    <row r="44" ht="15" customHeight="1" s="56">
      <c r="A44" s="72" t="inlineStr">
        <is>
          <t>Day-by-day plan</t>
        </is>
      </c>
    </row>
    <row r="45" ht="15" customHeight="1" s="56">
      <c r="A45" s="96" t="inlineStr">
        <is>
          <t>Date</t>
        </is>
      </c>
      <c r="B45" s="96" t="inlineStr">
        <is>
          <t>Sleep in</t>
        </is>
      </c>
      <c r="C45" s="96" t="inlineStr">
        <is>
          <t>What happens</t>
        </is>
      </c>
    </row>
    <row r="46" ht="15" customHeight="1" s="56">
      <c r="A46" s="74" t="inlineStr">
        <is>
          <t>Tue 1 Dec</t>
        </is>
      </c>
      <c r="B46" s="74" t="inlineStr">
        <is>
          <t>Shanghai</t>
        </is>
      </c>
      <c r="C46" s="74" t="inlineStr">
        <is>
          <t>Spring 9C6520 UB 13:00 → Shanghai Pudong 17:00; taxi / metro to Hi Inn (Hutai Road).</t>
        </is>
      </c>
    </row>
    <row r="47" ht="15" customHeight="1" s="56">
      <c r="A47" s="74" t="inlineStr">
        <is>
          <t>Wed 2 – Fri 4 Dec</t>
        </is>
      </c>
      <c r="B47" s="74" t="inlineStr">
        <is>
          <t>Shanghai</t>
        </is>
      </c>
      <c r="C47" s="74" t="inlineStr">
        <is>
          <t>Rest / practice days (or sightseeing, lectures).</t>
        </is>
      </c>
    </row>
    <row r="48" ht="15" customHeight="1" s="56">
      <c r="A48" s="74" t="inlineStr">
        <is>
          <t>Sat 5 Dec</t>
        </is>
      </c>
      <c r="B48" s="74" t="inlineStr">
        <is>
          <t>Shanghai</t>
        </is>
      </c>
      <c r="C48" s="74" t="inlineStr">
        <is>
          <t>Registration (09:00–14:00), opening 14:00, warm-up 15:00–17:00 at Shanghai University Baoshan (2025 pattern).</t>
        </is>
      </c>
    </row>
    <row r="49" ht="15" customHeight="1" s="56">
      <c r="A49" s="74" t="inlineStr">
        <is>
          <t>Sun 6 Dec</t>
        </is>
      </c>
      <c r="B49" s="74" t="inlineStr">
        <is>
          <t>Shanghai</t>
        </is>
      </c>
      <c r="C49" s="74" t="inlineStr">
        <is>
          <t>SHANGHAI REGIONAL contest day 09:00–14:00; analysis &amp; awards ~14:30–17:00.</t>
        </is>
      </c>
    </row>
    <row r="50" ht="15" customHeight="1" s="56">
      <c r="A50" s="74" t="inlineStr">
        <is>
          <t>Mon 7 Dec</t>
        </is>
      </c>
      <c r="B50" s="74" t="inlineStr">
        <is>
          <t>Shanghai</t>
        </is>
      </c>
      <c r="C50" s="74" t="inlineStr">
        <is>
          <t>Free day.</t>
        </is>
      </c>
    </row>
    <row r="51" ht="15" customHeight="1" s="56">
      <c r="A51" s="74" t="inlineStr">
        <is>
          <t>Tue 8 Dec</t>
        </is>
      </c>
      <c r="B51" s="74" t="inlineStr">
        <is>
          <t>Home</t>
        </is>
      </c>
      <c r="C51" s="74" t="inlineStr">
        <is>
          <t>Taxi to Pudong (leave ~05:00). Spring 9C6519 PVG 08:00 → UB 12:00.</t>
        </is>
      </c>
    </row>
    <row r="53" ht="15" customHeight="1" s="56">
      <c r="A53" s="72" t="inlineStr">
        <is>
          <t>Door-to-door travel times</t>
        </is>
      </c>
    </row>
    <row r="54" ht="15" customHeight="1" s="56">
      <c r="A54" s="96" t="inlineStr">
        <is>
          <t>Date</t>
        </is>
      </c>
      <c r="B54" s="96" t="inlineStr">
        <is>
          <t>Leg</t>
        </is>
      </c>
      <c r="C54" s="96" t="inlineStr">
        <is>
          <t>Mode</t>
        </is>
      </c>
      <c r="D54" s="96" t="inlineStr">
        <is>
          <t>Expected time</t>
        </is>
      </c>
      <c r="E54" s="96" t="inlineStr">
        <is>
          <t>Notes</t>
        </is>
      </c>
    </row>
    <row r="55" ht="15" customHeight="1" s="56">
      <c r="A55" s="105" t="inlineStr">
        <is>
          <t>1 Dec</t>
        </is>
      </c>
      <c r="B55" s="105" t="inlineStr">
        <is>
          <t>Home → Chinggis Khaan airport</t>
        </is>
      </c>
      <c r="C55" s="82" t="inlineStr">
        <is>
          <t>Taxi (~50 km)</t>
        </is>
      </c>
      <c r="D55" s="104" t="n">
        <v>0.04166666666666666</v>
      </c>
      <c r="E55" s="106" t="inlineStr">
        <is>
          <t>Leave ~10:00 for 13:00 flight</t>
        </is>
      </c>
      <c r="F55" s="107" t="n"/>
      <c r="G55" s="107" t="n"/>
      <c r="H55" s="107" t="n"/>
      <c r="I55" s="107" t="n"/>
      <c r="J55" s="107" t="n"/>
      <c r="K55" s="107" t="n"/>
      <c r="L55" s="107" t="n"/>
    </row>
    <row r="56" ht="15" customHeight="1" s="56">
      <c r="A56" s="105" t="inlineStr">
        <is>
          <t>1 Dec</t>
        </is>
      </c>
      <c r="B56" s="105" t="inlineStr">
        <is>
          <t>Ulaanbaatar → Shanghai (PVG)</t>
        </is>
      </c>
      <c r="C56" s="82" t="inlineStr">
        <is>
          <t>Spring 9C6520 13:00–17:00</t>
        </is>
      </c>
      <c r="D56" s="104" t="n">
        <v>0.1666666666666667</v>
      </c>
      <c r="E56" s="106" t="inlineStr">
        <is>
          <t>Same time zone as China (UTC+8)</t>
        </is>
      </c>
      <c r="F56" s="107" t="n"/>
      <c r="G56" s="107" t="n"/>
      <c r="H56" s="107" t="n"/>
      <c r="I56" s="107" t="n"/>
      <c r="J56" s="107" t="n"/>
      <c r="K56" s="107" t="n"/>
      <c r="L56" s="107" t="n"/>
    </row>
    <row r="57" ht="15" customHeight="1" s="56">
      <c r="A57" s="105" t="inlineStr">
        <is>
          <t>1 Dec</t>
        </is>
      </c>
      <c r="B57" s="105" t="inlineStr">
        <is>
          <t>PVG arrival: immigration, bags</t>
        </is>
      </c>
      <c r="C57" s="82" t="inlineStr">
        <is>
          <t>—</t>
        </is>
      </c>
      <c r="D57" s="104" t="n">
        <v>0.03125</v>
      </c>
      <c r="E57" s="106" t="inlineStr">
        <is>
          <t>Estimate</t>
        </is>
      </c>
      <c r="F57" s="107" t="n"/>
      <c r="G57" s="107" t="n"/>
      <c r="H57" s="107" t="n"/>
      <c r="I57" s="107" t="n"/>
      <c r="J57" s="107" t="n"/>
      <c r="K57" s="107" t="n"/>
      <c r="L57" s="107" t="n"/>
    </row>
    <row r="58" ht="15" customHeight="1" s="56">
      <c r="A58" s="105" t="inlineStr">
        <is>
          <t>1 Dec</t>
        </is>
      </c>
      <c r="B58" s="105" t="inlineStr">
        <is>
          <t>PVG → hotel (Baoshan)</t>
        </is>
      </c>
      <c r="C58" s="82" t="inlineStr">
        <is>
          <t>Taxi (~65 km)</t>
        </is>
      </c>
      <c r="D58" s="104" t="n">
        <v>0.05208333333333334</v>
      </c>
      <c r="E58" s="106" t="inlineStr">
        <is>
          <t>Estimate; metro ~2 h</t>
        </is>
      </c>
      <c r="F58" s="107" t="n"/>
      <c r="G58" s="107" t="n"/>
      <c r="H58" s="107" t="n"/>
      <c r="I58" s="107" t="n"/>
      <c r="J58" s="107" t="n"/>
      <c r="K58" s="107" t="n"/>
      <c r="L58" s="107" t="n"/>
    </row>
    <row r="59" ht="15" customHeight="1" s="56">
      <c r="A59" s="105" t="inlineStr">
        <is>
          <t>5–6 Dec</t>
        </is>
      </c>
      <c r="B59" s="105" t="inlineStr">
        <is>
          <t>Hotel ↔ Shanghai University Baoshan (each way)</t>
        </is>
      </c>
      <c r="C59" s="82" t="inlineStr">
        <is>
          <t>Walk</t>
        </is>
      </c>
      <c r="D59" s="104" t="inlineStr">
        <is>
          <t>daily</t>
        </is>
      </c>
      <c r="E59" s="106" t="inlineStr">
        <is>
          <t>~25 min walk (1.8 km) or a ¥15 taxi</t>
        </is>
      </c>
      <c r="F59" s="107" t="n"/>
      <c r="G59" s="107" t="n"/>
      <c r="H59" s="107" t="n"/>
      <c r="I59" s="107" t="n"/>
      <c r="J59" s="107" t="n"/>
      <c r="K59" s="107" t="n"/>
      <c r="L59" s="107" t="n"/>
    </row>
    <row r="60" ht="15" customHeight="1" s="56">
      <c r="A60" s="105" t="inlineStr">
        <is>
          <t>8 Dec</t>
        </is>
      </c>
      <c r="B60" s="105" t="inlineStr">
        <is>
          <t>Hotel → PVG</t>
        </is>
      </c>
      <c r="C60" s="82" t="inlineStr">
        <is>
          <t>Taxi (~65 km)</t>
        </is>
      </c>
      <c r="D60" s="104" t="n">
        <v>0.05208333333333334</v>
      </c>
      <c r="E60" s="106" t="inlineStr">
        <is>
          <t>Leave ~05:00</t>
        </is>
      </c>
      <c r="F60" s="107" t="n"/>
      <c r="G60" s="107" t="n"/>
      <c r="H60" s="107" t="n"/>
      <c r="I60" s="107" t="n"/>
      <c r="J60" s="107" t="n"/>
      <c r="K60" s="107" t="n"/>
      <c r="L60" s="107" t="n"/>
    </row>
    <row r="61" ht="15" customHeight="1" s="56">
      <c r="A61" s="105" t="inlineStr">
        <is>
          <t>8 Dec</t>
        </is>
      </c>
      <c r="B61" s="105" t="inlineStr">
        <is>
          <t>PVG check-in &amp; security</t>
        </is>
      </c>
      <c r="C61" s="82" t="inlineStr">
        <is>
          <t>—</t>
        </is>
      </c>
      <c r="D61" s="104" t="n">
        <v>0.0625</v>
      </c>
      <c r="E61" s="106" t="inlineStr"/>
      <c r="F61" s="107" t="n"/>
      <c r="G61" s="107" t="n"/>
      <c r="H61" s="107" t="n"/>
      <c r="I61" s="107" t="n"/>
      <c r="J61" s="107" t="n"/>
      <c r="K61" s="107" t="n"/>
      <c r="L61" s="107" t="n"/>
    </row>
    <row r="62" ht="15" customHeight="1" s="56">
      <c r="A62" s="105" t="inlineStr">
        <is>
          <t>8 Dec</t>
        </is>
      </c>
      <c r="B62" s="105" t="inlineStr">
        <is>
          <t>Shanghai (PVG) → Ulaanbaatar</t>
        </is>
      </c>
      <c r="C62" s="82" t="inlineStr">
        <is>
          <t>Spring 9C6519 08:00–12:00</t>
        </is>
      </c>
      <c r="D62" s="104" t="n">
        <v>0.1666666666666667</v>
      </c>
      <c r="E62" s="106" t="inlineStr"/>
      <c r="F62" s="107" t="n"/>
      <c r="G62" s="107" t="n"/>
      <c r="H62" s="107" t="n"/>
      <c r="I62" s="107" t="n"/>
      <c r="J62" s="107" t="n"/>
      <c r="K62" s="107" t="n"/>
      <c r="L62" s="107" t="n"/>
    </row>
    <row r="63" ht="15" customHeight="1" s="56">
      <c r="A63" s="105" t="inlineStr">
        <is>
          <t>8 Dec</t>
        </is>
      </c>
      <c r="B63" s="105" t="inlineStr">
        <is>
          <t>Chinggis Khaan airport → home</t>
        </is>
      </c>
      <c r="C63" s="82" t="inlineStr">
        <is>
          <t>Taxi</t>
        </is>
      </c>
      <c r="D63" s="104" t="n">
        <v>0.04166666666666666</v>
      </c>
      <c r="E63" s="106" t="inlineStr"/>
      <c r="F63" s="107" t="n"/>
      <c r="G63" s="107" t="n"/>
      <c r="H63" s="107" t="n"/>
      <c r="I63" s="107" t="n"/>
      <c r="J63" s="107" t="n"/>
      <c r="K63" s="107" t="n"/>
      <c r="L63" s="107" t="n"/>
    </row>
    <row r="65" ht="15" customHeight="1" s="56">
      <c r="C65" s="59" t="inlineStr">
        <is>
          <t>Total door-to-door</t>
        </is>
      </c>
      <c r="D65" s="109">
        <f>SUM(D55:D63)</f>
        <v/>
      </c>
    </row>
  </sheetData>
  <mergeCells count="19">
    <mergeCell ref="E56:L56"/>
    <mergeCell ref="E58:L58"/>
    <mergeCell ref="C48:L48"/>
    <mergeCell ref="E55:L55"/>
    <mergeCell ref="E62:L62"/>
    <mergeCell ref="C49:L49"/>
    <mergeCell ref="B39:L39"/>
    <mergeCell ref="E63:L63"/>
    <mergeCell ref="B42:L42"/>
    <mergeCell ref="E60:L60"/>
    <mergeCell ref="E59:L59"/>
    <mergeCell ref="C47:L47"/>
    <mergeCell ref="B40:L40"/>
    <mergeCell ref="C50:L50"/>
    <mergeCell ref="E61:L61"/>
    <mergeCell ref="E57:L57"/>
    <mergeCell ref="C51:L51"/>
    <mergeCell ref="C46:L46"/>
    <mergeCell ref="B41:L4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71"/>
  <sheetViews>
    <sheetView workbookViewId="0">
      <pane xSplit="2" ySplit="7" topLeftCell="C8" activePane="bottomRight" state="frozen"/>
      <selection pane="topRight" activeCell="A1" sqref="A1"/>
      <selection pane="bottomLeft" activeCell="A1" sqref="A1"/>
      <selection pane="bottomRight" activeCell="A1" sqref="A1"/>
    </sheetView>
  </sheetViews>
  <sheetFormatPr baseColWidth="8" defaultRowHeight="15"/>
  <cols>
    <col width="26" customWidth="1" style="56" min="1" max="1"/>
    <col width="52" customWidth="1" style="56" min="2" max="2"/>
    <col width="20" customWidth="1" style="56" min="3" max="3"/>
    <col width="15" customWidth="1" style="56" min="4" max="4"/>
    <col width="13" customWidth="1" style="56" min="5" max="5"/>
    <col width="9" customWidth="1" style="56" min="6" max="6"/>
    <col width="17" customWidth="1" style="56" min="8" max="8"/>
    <col width="13" customWidth="1" style="56" min="9" max="9"/>
    <col width="9" customWidth="1" style="56" min="10" max="10"/>
    <col width="17" customWidth="1" style="56" min="11" max="11"/>
    <col width="58" customWidth="1" style="56" min="12" max="12"/>
  </cols>
  <sheetData>
    <row r="1" ht="17.35" customHeight="1" s="56">
      <c r="A1" s="57" t="inlineStr">
        <is>
          <t>Shanghai – Fly out, train home</t>
        </is>
      </c>
    </row>
    <row r="2" ht="15" customHeight="1" s="56">
      <c r="A2" s="62" t="inlineStr">
        <is>
          <t>Spring nonstop out on 1 Dec (5 bed nights before the contest in two cheap rooms), then the D10 overnight seat to Beijing (¥294) right after the contest and Air China to UB on 7 Dec: no hotel nights and no meals after the contest, home a day earlier.</t>
        </is>
      </c>
    </row>
    <row r="4" ht="15" customHeight="1" s="56">
      <c r="A4" s="60" t="inlineStr">
        <is>
          <t>Days in destination (meals &amp; local transport)</t>
        </is>
      </c>
      <c r="B4" s="76" t="n">
        <v>6</v>
      </c>
      <c r="C4" s="62" t="inlineStr">
        <is>
          <t>1 Dec afternoon → 7 Dec morning</t>
        </is>
      </c>
    </row>
    <row r="5" ht="15" customHeight="1" s="56">
      <c r="A5" s="62" t="inlineStr">
        <is>
          <t>Shared inputs are on the Compare sheet. Scroll down for the day-by-day plan and door-to-door travel times.</t>
        </is>
      </c>
    </row>
    <row r="7" ht="31.5" customHeight="1" s="56">
      <c r="A7" s="66" t="inlineStr">
        <is>
          <t>Category</t>
        </is>
      </c>
      <c r="B7" s="66" t="inlineStr">
        <is>
          <t>Item</t>
        </is>
      </c>
      <c r="C7" s="66" t="inlineStr">
        <is>
          <t>Date</t>
        </is>
      </c>
      <c r="D7" s="66" t="inlineStr">
        <is>
          <t>Travel time</t>
        </is>
      </c>
      <c r="E7" s="66" t="inlineStr">
        <is>
          <t>Unit cost (3 ppl)</t>
        </is>
      </c>
      <c r="F7" s="66" t="inlineStr">
        <is>
          <t>Currency</t>
        </is>
      </c>
      <c r="G7" s="66" t="inlineStr">
        <is>
          <t>Qty (3 ppl)</t>
        </is>
      </c>
      <c r="H7" s="66" t="inlineStr">
        <is>
          <t>Total MNT – 3 people</t>
        </is>
      </c>
      <c r="I7" s="66" t="inlineStr">
        <is>
          <t>Unit cost (4 ppl)</t>
        </is>
      </c>
      <c r="J7" s="66" t="inlineStr">
        <is>
          <t>Qty (4 ppl)</t>
        </is>
      </c>
      <c r="K7" s="66" t="inlineStr">
        <is>
          <t>Total MNT – 4 people</t>
        </is>
      </c>
      <c r="L7" s="66" t="inlineStr">
        <is>
          <t>Source / notes</t>
        </is>
      </c>
    </row>
    <row r="8" ht="15" customHeight="1" s="56">
      <c r="A8" s="77" t="inlineStr">
        <is>
          <t>PAID BY UNIVERSITY</t>
        </is>
      </c>
      <c r="B8" s="78" t="n"/>
      <c r="C8" s="78" t="n"/>
      <c r="D8" s="78" t="n"/>
      <c r="E8" s="78" t="n"/>
      <c r="F8" s="78" t="n"/>
      <c r="G8" s="78" t="n"/>
      <c r="H8" s="78" t="n"/>
      <c r="I8" s="78" t="n"/>
      <c r="J8" s="78" t="n"/>
      <c r="K8" s="78" t="n"/>
      <c r="L8" s="78" t="n"/>
    </row>
    <row r="9" ht="15" customHeight="1" s="56">
      <c r="A9" s="79" t="inlineStr">
        <is>
          <t>Flights</t>
        </is>
      </c>
      <c r="B9" s="80" t="n"/>
      <c r="C9" s="80" t="n"/>
      <c r="D9" s="80" t="n"/>
      <c r="E9" s="80" t="n"/>
      <c r="F9" s="80" t="n"/>
      <c r="G9" s="80" t="n"/>
      <c r="H9" s="80" t="n"/>
      <c r="I9" s="80" t="n"/>
      <c r="J9" s="80" t="n"/>
      <c r="K9" s="80" t="n"/>
      <c r="L9" s="80" t="n"/>
    </row>
    <row r="10" ht="45" customHeight="1" s="56">
      <c r="A10" s="81" t="n"/>
      <c r="B10" s="111" t="inlineStr">
        <is>
          <t>Spring Airlines 9C6520 Ulaanbaatar → Shanghai Pudong (PVG), nonstop 13:00–17:00</t>
        </is>
      </c>
      <c r="C10" s="83" t="inlineStr">
        <is>
          <t>1 Dec (Tue)</t>
        </is>
      </c>
      <c r="D10" s="84" t="n">
        <v>0.1666666666666667</v>
      </c>
      <c r="E10" s="85" t="n">
        <v>164</v>
      </c>
      <c r="F10" s="86" t="inlineStr">
        <is>
          <t>USD</t>
        </is>
      </c>
      <c r="G10" s="87">
        <f>Compare!$B$6</f>
        <v/>
      </c>
      <c r="H10" s="88">
        <f>E10*G10*IF(F10="USD",Compare!$B$8,IF(F10="CNY",Compare!$B$9,IF(F10="HKD",Compare!$B$10,1)))</f>
        <v/>
      </c>
      <c r="I10" s="89">
        <f>E10</f>
        <v/>
      </c>
      <c r="J10" s="87">
        <f>Compare!$B$7</f>
        <v/>
      </c>
      <c r="K10" s="88">
        <f>I10*J10*IF(F10="USD",Compare!$B$8,IF(F10="CNY",Compare!$B$9,IF(F10="HKD",Compare!$B$10,1)))</f>
        <v/>
      </c>
      <c r="L10" s="112" t="inlineStr">
        <is>
          <t>SlickTrip 10 Oct: $164 pp (Trip.com $173), far below the usual $465–700 round trip. Flies Tue / Sat only; Sat 5 Dec would land 17:00, after registration closes</t>
        </is>
      </c>
    </row>
    <row r="11" ht="45" customHeight="1" s="56">
      <c r="A11" s="81" t="n"/>
      <c r="B11" s="111" t="inlineStr">
        <is>
          <t>Air China CA955 Beijing (PEK) → Ulaanbaatar, nonstop 12:55–15:05</t>
        </is>
      </c>
      <c r="C11" s="83" t="inlineStr">
        <is>
          <t>7 Dec</t>
        </is>
      </c>
      <c r="D11" s="84" t="n">
        <v>0.09027777777777778</v>
      </c>
      <c r="E11" s="85" t="n">
        <v>172</v>
      </c>
      <c r="F11" s="86" t="inlineStr">
        <is>
          <t>USD</t>
        </is>
      </c>
      <c r="G11" s="87">
        <f>Compare!$B$6</f>
        <v/>
      </c>
      <c r="H11" s="88">
        <f>E11*G11*IF(F11="USD",Compare!$B$8,IF(F11="CNY",Compare!$B$9,IF(F11="HKD",Compare!$B$10,1)))</f>
        <v/>
      </c>
      <c r="I11" s="89">
        <f>E11</f>
        <v/>
      </c>
      <c r="J11" s="87">
        <f>Compare!$B$7</f>
        <v/>
      </c>
      <c r="K11" s="88">
        <f>I11*J11*IF(F11="USD",Compare!$B$8,IF(F11="CNY",Compare!$B$9,IF(F11="HKD",Compare!$B$10,1)))</f>
        <v/>
      </c>
      <c r="L11" s="112" t="inlineStr">
        <is>
          <t>Trip.com 10 Oct: Air China CA955 12:55 $172 pp (08:25 also $172; MIAT 11:30 $193, SlickTrip $197). Checked bag included on Air China. The D10 arrives 09:24 + ~75 min to PEK, about 1 h of buffer before check-in closes</t>
        </is>
      </c>
    </row>
    <row r="12" ht="15" customHeight="1" s="56">
      <c r="A12" s="79" t="inlineStr">
        <is>
          <t>Trains and baggage</t>
        </is>
      </c>
      <c r="B12" s="80" t="n"/>
      <c r="C12" s="80" t="n"/>
      <c r="D12" s="80" t="n"/>
      <c r="E12" s="80" t="n"/>
      <c r="F12" s="80" t="n"/>
      <c r="G12" s="80" t="n"/>
      <c r="H12" s="80" t="n"/>
      <c r="I12" s="80" t="n"/>
      <c r="J12" s="80" t="n"/>
      <c r="K12" s="80" t="n"/>
      <c r="L12" s="80" t="n"/>
    </row>
    <row r="13" ht="45" customHeight="1" s="56">
      <c r="A13" s="81" t="n"/>
      <c r="B13" s="111" t="inlineStr">
        <is>
          <t>Checked baggage Spring Airlines (base fare = 1 hand bag only), 1 bag per person, outbound only</t>
        </is>
      </c>
      <c r="C13" s="83" t="inlineStr">
        <is>
          <t>1 Dec</t>
        </is>
      </c>
      <c r="D13" s="84" t="n"/>
      <c r="E13" s="85" t="n">
        <v>300</v>
      </c>
      <c r="F13" s="86" t="inlineStr">
        <is>
          <t>CNY</t>
        </is>
      </c>
      <c r="G13" s="87">
        <f>Compare!$B$6</f>
        <v/>
      </c>
      <c r="H13" s="88">
        <f>E13*G13*IF(F13="USD",Compare!$B$8,IF(F13="CNY",Compare!$B$9,IF(F13="HKD",Compare!$B$10,1)))</f>
        <v/>
      </c>
      <c r="I13" s="89">
        <f>E13</f>
        <v/>
      </c>
      <c r="J13" s="87">
        <f>Compare!$B$7</f>
        <v/>
      </c>
      <c r="K13" s="88">
        <f>I13*J13*IF(F13="USD",Compare!$B$8,IF(F13="CNY",Compare!$B$9,IF(F13="HKD",Compare!$B$10,1)))</f>
        <v/>
      </c>
      <c r="L13" s="112" t="inlineStr">
        <is>
          <t>ASSUMPTION ~300 CNY per checked bag (Spring sells bags from ~80–270 CNY online by weight tier, more at the airport). The Air China fare home includes a checked bag. Carry-on only saves ~₮0.5M for 3</t>
        </is>
      </c>
    </row>
    <row r="14" ht="60" customHeight="1" s="56">
      <c r="A14" s="81" t="n"/>
      <c r="B14" s="111" t="inlineStr">
        <is>
          <t>Overnight train D10 Shanghai South 21:05 → Beijing South 09:24 (+1), 2nd-class seat</t>
        </is>
      </c>
      <c r="C14" s="83" t="inlineStr">
        <is>
          <t>6 Dec (night)</t>
        </is>
      </c>
      <c r="D14" s="84" t="n">
        <v>0.5131944444444444</v>
      </c>
      <c r="E14" s="85" t="n">
        <v>294</v>
      </c>
      <c r="F14" s="86" t="inlineStr">
        <is>
          <t>CNY</t>
        </is>
      </c>
      <c r="G14" s="87">
        <f>Compare!$B$6</f>
        <v/>
      </c>
      <c r="H14" s="88">
        <f>E14*G14*IF(F14="USD",Compare!$B$8,IF(F14="CNY",Compare!$B$9,IF(F14="HKD",Compare!$B$10,1)))</f>
        <v/>
      </c>
      <c r="I14" s="89">
        <f>E14</f>
        <v/>
      </c>
      <c r="J14" s="87">
        <f>Compare!$B$7</f>
        <v/>
      </c>
      <c r="K14" s="88">
        <f>I14*J14*IF(F14="USD",Compare!$B$8,IF(F14="CNY",Compare!$B$9,IF(F14="HKD",Compare!$B$10,1)))</f>
        <v/>
      </c>
      <c r="L14" s="112" t="inlineStr">
        <is>
          <t>12306 10 Oct (fare fixed): D10 2nd-class seat ¥294 (sleeper ¥442); cheaper still: Z282 Songjiang 19:17 → Fengtai 09:52 hard seat ¥177.5 (needs Songjiang by ~18:30, tight after the awards), T110 Shanghai 16:30 → Beijing 08:33 hard seat ¥177.5 (leave before the awards). D6 21:15 → Beijing station 09:25 ¥338, D8 19:08 ¥361. Sales open 22 Nov 14:45 (ChinaTicketOnline)</t>
        </is>
      </c>
    </row>
    <row r="15" ht="15" customHeight="1" s="56">
      <c r="A15" s="79" t="inlineStr">
        <is>
          <t>Accommodation</t>
        </is>
      </c>
      <c r="B15" s="80" t="n"/>
      <c r="C15" s="80" t="n"/>
      <c r="D15" s="80" t="n"/>
      <c r="E15" s="80" t="n"/>
      <c r="F15" s="80" t="n"/>
      <c r="G15" s="80" t="n"/>
      <c r="H15" s="80" t="n"/>
      <c r="I15" s="80" t="n"/>
      <c r="J15" s="80" t="n"/>
      <c r="K15" s="80" t="n"/>
      <c r="L15" s="80" t="n"/>
    </row>
    <row r="16" ht="105" customHeight="1" s="56">
      <c r="A16" s="81" t="n"/>
      <c r="B16" s="111" t="inlineStr">
        <is>
          <t>Hi Inn Shanghai University Hutai Road (1.8 km, 8.9) – 3 ppl: 2 rooms (2 + 1 beds); 4 ppl: Jtour Inn Hotel Shanghai University (1.8 km, 8.6), 2 rooms of 2</t>
        </is>
      </c>
      <c r="C16" s="83" t="inlineStr">
        <is>
          <t>1–6 Dec (5 nights)</t>
        </is>
      </c>
      <c r="D16" s="81" t="n"/>
      <c r="E16" s="85">
        <f>1284/5</f>
        <v/>
      </c>
      <c r="F16" s="86" t="inlineStr">
        <is>
          <t>CNY</t>
        </is>
      </c>
      <c r="G16" s="91" t="n">
        <v>5</v>
      </c>
      <c r="H16" s="88">
        <f>E16*G16*IF(F16="USD",Compare!$B$8,IF(F16="CNY",Compare!$B$9,IF(F16="HKD",Compare!$B$10,1)))</f>
        <v/>
      </c>
      <c r="I16" s="85">
        <f>1180/5</f>
        <v/>
      </c>
      <c r="J16" s="91" t="n">
        <v>5</v>
      </c>
      <c r="K16" s="88">
        <f>I16*J16*IF(F16="USD",Compare!$B$8,IF(F16="CNY",Compare!$B$9,IF(F16="HKD",Compare!$B$10,1)))</f>
        <v/>
      </c>
      <c r="L16" s="112" t="inlineStr">
        <is>
          <t>Trip.com 10 Oct (Shanghai University landmark, Hotel + private-bathroom filters, lowest price first): Hi Inn Shanghai University Hutai Road (1.8 km walk, 8.9 from 423 reviews, Comfort Twin Room with fresh-air system) ¥1,284 for 5 nights, 2 rooms, for 3 ppl; Jtour Inn Hotel Shanghai University (1.8 km, 8.6 from 142 reviews) ¥1,180 for 4 ppl (2 rooms of 2; it is not offered for 3 adults). Cheaper but worse: Yibai Gucun Park (5.2 km, 7.9) ¥1,040, Boshi Changzhong Rd (2.5 km, 8.2) ¥1,120. Compare Jenny's Apartment, 1 room for 3: ¥2,132.</t>
        </is>
      </c>
    </row>
    <row r="17" ht="15" customHeight="1" s="56">
      <c r="A17" s="79" t="inlineStr">
        <is>
          <t>Meals &amp; local transport</t>
        </is>
      </c>
      <c r="B17" s="80" t="n"/>
      <c r="C17" s="80" t="n"/>
      <c r="D17" s="80" t="n"/>
      <c r="E17" s="80" t="n"/>
      <c r="F17" s="80" t="n"/>
      <c r="G17" s="80" t="n"/>
      <c r="H17" s="80" t="n"/>
      <c r="I17" s="80" t="n"/>
      <c r="J17" s="80" t="n"/>
      <c r="K17" s="80" t="n"/>
      <c r="L17" s="80" t="n"/>
    </row>
    <row r="18" ht="30" customHeight="1" s="56">
      <c r="A18" s="81" t="n"/>
      <c r="B18" s="111" t="inlineStr">
        <is>
          <t>Meals</t>
        </is>
      </c>
      <c r="C18" s="83" t="inlineStr">
        <is>
          <t>in destination</t>
        </is>
      </c>
      <c r="D18" s="81" t="n"/>
      <c r="E18" s="113" t="n">
        <v>80</v>
      </c>
      <c r="F18" s="86" t="inlineStr">
        <is>
          <t>CNY</t>
        </is>
      </c>
      <c r="G18" s="87">
        <f>Compare!$B$6*$B$4</f>
        <v/>
      </c>
      <c r="H18" s="88">
        <f>E18*G18*IF(F18="USD",Compare!$B$8,IF(F18="CNY",Compare!$B$9,IF(F18="HKD",Compare!$B$10,1)))</f>
        <v/>
      </c>
      <c r="I18" s="114">
        <f>E18</f>
        <v/>
      </c>
      <c r="J18" s="87">
        <f>Compare!$B$7*$B$4</f>
        <v/>
      </c>
      <c r="K18" s="88">
        <f>I18*J18*IF(F18="USD",Compare!$B$8,IF(F18="CNY",Compare!$B$9,IF(F18="HKD",Compare!$B$10,1)))</f>
        <v/>
      </c>
      <c r="L18" s="112" t="inlineStr">
        <is>
          <t>ASSUMPTION 80 CNY/person/day; hosts usually provide some meals on contest days</t>
        </is>
      </c>
    </row>
    <row r="19" ht="15" customHeight="1" s="56">
      <c r="A19" s="81" t="n"/>
      <c r="B19" s="111" t="inlineStr">
        <is>
          <t>Local transport (metro, taxis)</t>
        </is>
      </c>
      <c r="C19" s="83" t="inlineStr">
        <is>
          <t>in destination</t>
        </is>
      </c>
      <c r="D19" s="81" t="n"/>
      <c r="E19" s="113" t="n">
        <v>30</v>
      </c>
      <c r="F19" s="86" t="inlineStr">
        <is>
          <t>CNY</t>
        </is>
      </c>
      <c r="G19" s="87">
        <f>Compare!$B$6*$B$4</f>
        <v/>
      </c>
      <c r="H19" s="88">
        <f>E19*G19*IF(F19="USD",Compare!$B$8,IF(F19="CNY",Compare!$B$9,IF(F19="HKD",Compare!$B$10,1)))</f>
        <v/>
      </c>
      <c r="I19" s="114">
        <f>E19</f>
        <v/>
      </c>
      <c r="J19" s="87">
        <f>Compare!$B$7*$B$4</f>
        <v/>
      </c>
      <c r="K19" s="88">
        <f>I19*J19*IF(F19="USD",Compare!$B$8,IF(F19="CNY",Compare!$B$9,IF(F19="HKD",Compare!$B$10,1)))</f>
        <v/>
      </c>
      <c r="L19" s="112" t="inlineStr">
        <is>
          <t>ASSUMPTION 30 CNY/person/day</t>
        </is>
      </c>
    </row>
    <row r="20" ht="30" customHeight="1" s="56">
      <c r="A20" s="81" t="n"/>
      <c r="B20" s="111" t="inlineStr">
        <is>
          <t>Taxi PVG → hotel (Baoshan), arrival</t>
        </is>
      </c>
      <c r="C20" s="83" t="inlineStr">
        <is>
          <t>1 Dec</t>
        </is>
      </c>
      <c r="D20" s="84" t="n"/>
      <c r="E20" s="113" t="n">
        <v>220</v>
      </c>
      <c r="F20" s="86" t="inlineStr">
        <is>
          <t>CNY</t>
        </is>
      </c>
      <c r="G20" s="91" t="n">
        <v>1</v>
      </c>
      <c r="H20" s="88">
        <f>E20*G20*IF(F20="USD",Compare!$B$8,IF(F20="CNY",Compare!$B$9,IF(F20="HKD",Compare!$B$10,1)))</f>
        <v/>
      </c>
      <c r="I20" s="114">
        <f>E20</f>
        <v/>
      </c>
      <c r="J20" s="91" t="n">
        <v>1</v>
      </c>
      <c r="K20" s="88">
        <f>I20*J20*IF(F20="USD",Compare!$B$8,IF(F20="CNY",Compare!$B$9,IF(F20="HKD",Compare!$B$10,1)))</f>
        <v/>
      </c>
      <c r="L20" s="112" t="inlineStr">
        <is>
          <t>ASSUMPTION ~220 CNY per car, ~65 km (metro lines 2 + 7 take ~2 h, ~10 CNY pp)</t>
        </is>
      </c>
    </row>
    <row r="21" ht="30" customHeight="1" s="56">
      <c r="A21" s="81" t="n"/>
      <c r="B21" s="111" t="inlineStr">
        <is>
          <t>Taxi Shanghai University → Shanghai South station</t>
        </is>
      </c>
      <c r="C21" s="83" t="inlineStr">
        <is>
          <t>6 Dec</t>
        </is>
      </c>
      <c r="D21" s="84" t="n"/>
      <c r="E21" s="113" t="n">
        <v>90</v>
      </c>
      <c r="F21" s="86" t="inlineStr">
        <is>
          <t>CNY</t>
        </is>
      </c>
      <c r="G21" s="91" t="n">
        <v>2</v>
      </c>
      <c r="H21" s="88">
        <f>E21*G21*IF(F21="USD",Compare!$B$8,IF(F21="CNY",Compare!$B$9,IF(F21="HKD",Compare!$B$10,1)))</f>
        <v/>
      </c>
      <c r="I21" s="114">
        <f>E21</f>
        <v/>
      </c>
      <c r="J21" s="91" t="n">
        <v>2</v>
      </c>
      <c r="K21" s="88">
        <f>I21*J21*IF(F21="USD",Compare!$B$8,IF(F21="CNY",Compare!$B$9,IF(F21="HKD",Compare!$B$10,1)))</f>
        <v/>
      </c>
      <c r="L21" s="112" t="inlineStr">
        <is>
          <t>ASSUMPTION ~90 CNY per car (~25 km); metro lines 7 + 3 / 1 is ~1 h, ~8 CNY pp</t>
        </is>
      </c>
    </row>
    <row r="22" ht="30" customHeight="1" s="56">
      <c r="A22" s="81" t="n"/>
      <c r="B22" s="111" t="inlineStr">
        <is>
          <t>Beijing South → PEK (metro line 4 + 10 + Airport Express, or taxi)</t>
        </is>
      </c>
      <c r="C22" s="83" t="inlineStr">
        <is>
          <t>7 Dec</t>
        </is>
      </c>
      <c r="D22" s="84" t="n"/>
      <c r="E22" s="113" t="n">
        <v>120</v>
      </c>
      <c r="F22" s="86" t="inlineStr">
        <is>
          <t>CNY</t>
        </is>
      </c>
      <c r="G22" s="91" t="n">
        <v>1</v>
      </c>
      <c r="H22" s="88">
        <f>E22*G22*IF(F22="USD",Compare!$B$8,IF(F22="CNY",Compare!$B$9,IF(F22="HKD",Compare!$B$10,1)))</f>
        <v/>
      </c>
      <c r="I22" s="114">
        <f>E22</f>
        <v/>
      </c>
      <c r="J22" s="91" t="n">
        <v>1</v>
      </c>
      <c r="K22" s="88">
        <f>I22*J22*IF(F22="USD",Compare!$B$8,IF(F22="CNY",Compare!$B$9,IF(F22="HKD",Compare!$B$10,1)))</f>
        <v/>
      </c>
      <c r="L22" s="112" t="inlineStr">
        <is>
          <t>ASSUMPTION ~120 CNY per car (~45 km, 60–75 min); metro + Airport Express is ~35 CNY pp. Leave the station by ~10:00</t>
        </is>
      </c>
    </row>
    <row r="23" ht="15" customHeight="1" s="56">
      <c r="A23" s="94" t="inlineStr">
        <is>
          <t>PAID PERSONALLY (university won't cover)</t>
        </is>
      </c>
      <c r="B23" s="95" t="n"/>
      <c r="C23" s="95" t="n"/>
      <c r="D23" s="95" t="n"/>
      <c r="E23" s="95" t="n"/>
      <c r="F23" s="95" t="n"/>
      <c r="G23" s="95" t="n"/>
      <c r="H23" s="95" t="n"/>
      <c r="I23" s="95" t="n"/>
      <c r="J23" s="95" t="n"/>
      <c r="K23" s="95" t="n"/>
      <c r="L23" s="95" t="n"/>
    </row>
    <row r="24" ht="15" customHeight="1" s="56">
      <c r="A24" s="79" t="inlineStr">
        <is>
          <t>Contest fee</t>
        </is>
      </c>
      <c r="B24" s="80" t="n"/>
      <c r="C24" s="80" t="n"/>
      <c r="D24" s="80" t="n"/>
      <c r="E24" s="80" t="n"/>
      <c r="F24" s="80" t="n"/>
      <c r="G24" s="80" t="n"/>
      <c r="H24" s="80" t="n"/>
      <c r="I24" s="80" t="n"/>
      <c r="J24" s="80" t="n"/>
      <c r="K24" s="80" t="n"/>
      <c r="L24" s="80" t="n"/>
    </row>
    <row r="25" ht="22.35" customHeight="1" s="56">
      <c r="A25" s="81" t="n"/>
      <c r="B25" s="82" t="inlineStr">
        <is>
          <t>Shanghai regional registration fee (per team)</t>
        </is>
      </c>
      <c r="C25" s="83" t="inlineStr">
        <is>
          <t>TBC</t>
        </is>
      </c>
      <c r="D25" s="81" t="n"/>
      <c r="E25" s="113" t="n">
        <v>1500</v>
      </c>
      <c r="F25" s="86" t="inlineStr">
        <is>
          <t>CNY</t>
        </is>
      </c>
      <c r="G25" s="91" t="n">
        <v>1</v>
      </c>
      <c r="H25" s="88">
        <f>E25*G25*IF(F25="USD",Compare!$B$8,IF(F25="CNY",Compare!$B$9,IF(F25="HKD",Compare!$B$10,1)))</f>
        <v/>
      </c>
      <c r="I25" s="114">
        <f>E25</f>
        <v/>
      </c>
      <c r="J25" s="91" t="n">
        <v>1</v>
      </c>
      <c r="K25" s="88">
        <f>I25*J25*IF(F25="USD",Compare!$B$8,IF(F25="CNY",Compare!$B$9,IF(F25="HKD",Compare!$B$10,1)))</f>
        <v/>
      </c>
      <c r="L25" s="90" t="inlineStr">
        <is>
          <t>¥1,500/team in the 2025 Shanghai invitation (shu_icpc); 2026 invitation not seen</t>
        </is>
      </c>
    </row>
    <row r="26" ht="15" customHeight="1" s="56">
      <c r="A26" s="79" t="inlineStr">
        <is>
          <t>Other</t>
        </is>
      </c>
      <c r="B26" s="80" t="n"/>
      <c r="C26" s="80" t="n"/>
      <c r="D26" s="80" t="n"/>
      <c r="E26" s="80" t="n"/>
      <c r="F26" s="80" t="n"/>
      <c r="G26" s="80" t="n"/>
      <c r="H26" s="80" t="n"/>
      <c r="I26" s="80" t="n"/>
      <c r="J26" s="80" t="n"/>
      <c r="K26" s="80" t="n"/>
      <c r="L26" s="80" t="n"/>
    </row>
    <row r="27" ht="15" customHeight="1" s="56">
      <c r="A27" s="81" t="n"/>
      <c r="B27" s="82" t="inlineStr">
        <is>
          <t>Taxi to/from Chinggis Khaan airport (UB), per trip</t>
        </is>
      </c>
      <c r="C27" s="83" t="inlineStr">
        <is>
          <t>out &amp; back</t>
        </is>
      </c>
      <c r="D27" s="84" t="n">
        <v>0.04166666666666666</v>
      </c>
      <c r="E27" s="92" t="n">
        <v>100000</v>
      </c>
      <c r="F27" s="86" t="inlineStr">
        <is>
          <t>MNT</t>
        </is>
      </c>
      <c r="G27" s="91" t="n">
        <v>2</v>
      </c>
      <c r="H27" s="88">
        <f>E27*G27*IF(F27="USD",Compare!$B$8,IF(F27="CNY",Compare!$B$9,IF(F27="HKD",Compare!$B$10,1)))</f>
        <v/>
      </c>
      <c r="I27" s="93">
        <f>E27</f>
        <v/>
      </c>
      <c r="J27" s="91" t="n">
        <v>2</v>
      </c>
      <c r="K27" s="88">
        <f>I27*J27*IF(F27="USD",Compare!$B$8,IF(F27="CNY",Compare!$B$9,IF(F27="HKD",Compare!$B$10,1)))</f>
        <v/>
      </c>
      <c r="L27" s="90" t="inlineStr">
        <is>
          <t>ASSUMPTION 100k MNT per trip for the group</t>
        </is>
      </c>
    </row>
    <row r="28" ht="15" customHeight="1" s="56">
      <c r="A28" s="81" t="n"/>
      <c r="B28" s="82" t="inlineStr">
        <is>
          <t>Travel medical insurance</t>
        </is>
      </c>
      <c r="C28" s="83" t="n"/>
      <c r="D28" s="81" t="n"/>
      <c r="E28" s="92" t="n">
        <v>30000</v>
      </c>
      <c r="F28" s="86" t="inlineStr">
        <is>
          <t>MNT</t>
        </is>
      </c>
      <c r="G28" s="87">
        <f>Compare!$B$6</f>
        <v/>
      </c>
      <c r="H28" s="88">
        <f>E28*G28*IF(F28="USD",Compare!$B$8,IF(F28="CNY",Compare!$B$9,IF(F28="HKD",Compare!$B$10,1)))</f>
        <v/>
      </c>
      <c r="I28" s="93">
        <f>E28</f>
        <v/>
      </c>
      <c r="J28" s="87">
        <f>Compare!$B$7</f>
        <v/>
      </c>
      <c r="K28" s="88">
        <f>I28*J28*IF(F28="USD",Compare!$B$8,IF(F28="CNY",Compare!$B$9,IF(F28="HKD",Compare!$B$10,1)))</f>
        <v/>
      </c>
      <c r="L28" s="90" t="inlineStr">
        <is>
          <t>ASSUMPTION ~30k MNT per person, Mongolian insurer</t>
        </is>
      </c>
    </row>
    <row r="29" ht="15" customHeight="1" s="56">
      <c r="A29" s="81" t="n"/>
      <c r="B29" s="82" t="inlineStr">
        <is>
          <t>Mobile data eSIM</t>
        </is>
      </c>
      <c r="C29" s="83" t="n"/>
      <c r="D29" s="81" t="n"/>
      <c r="E29" s="92" t="n">
        <v>10</v>
      </c>
      <c r="F29" s="86" t="inlineStr">
        <is>
          <t>USD</t>
        </is>
      </c>
      <c r="G29" s="87">
        <f>Compare!$B$6</f>
        <v/>
      </c>
      <c r="H29" s="88">
        <f>E29*G29*IF(F29="USD",Compare!$B$8,IF(F29="CNY",Compare!$B$9,IF(F29="HKD",Compare!$B$10,1)))</f>
        <v/>
      </c>
      <c r="I29" s="93">
        <f>E29</f>
        <v/>
      </c>
      <c r="J29" s="87">
        <f>Compare!$B$7</f>
        <v/>
      </c>
      <c r="K29" s="88">
        <f>I29*J29*IF(F29="USD",Compare!$B$8,IF(F29="CNY",Compare!$B$9,IF(F29="HKD",Compare!$B$10,1)))</f>
        <v/>
      </c>
      <c r="L29" s="90" t="inlineStr">
        <is>
          <t>ASSUMPTION ~$10 pp</t>
        </is>
      </c>
    </row>
    <row r="30" ht="22.35" customHeight="1" s="56">
      <c r="A30" s="81" t="n"/>
      <c r="B30" s="82" t="inlineStr">
        <is>
          <t>Visa</t>
        </is>
      </c>
      <c r="C30" s="83" t="n"/>
      <c r="D30" s="81" t="n"/>
      <c r="E30" s="85" t="n">
        <v>0</v>
      </c>
      <c r="F30" s="86" t="inlineStr">
        <is>
          <t>MNT</t>
        </is>
      </c>
      <c r="G30" s="87">
        <f>Compare!$B$6</f>
        <v/>
      </c>
      <c r="H30" s="88">
        <f>E30*G30*IF(F30="USD",Compare!$B$8,IF(F30="CNY",Compare!$B$9,IF(F30="HKD",Compare!$B$10,1)))</f>
        <v/>
      </c>
      <c r="I30" s="89">
        <f>E30</f>
        <v/>
      </c>
      <c r="J30" s="87">
        <f>Compare!$B$7</f>
        <v/>
      </c>
      <c r="K30" s="88">
        <f>I30*J30*IF(F30="USD",Compare!$B$8,IF(F30="CNY",Compare!$B$9,IF(F30="HKD",Compare!$B$10,1)))</f>
        <v/>
      </c>
      <c r="L30" s="90" t="inlineStr">
        <is>
          <t>Mongolian passports: visa-free (mainland China up to 30 days; Hong Kong up to 14 days)</t>
        </is>
      </c>
    </row>
    <row r="32" ht="15" customHeight="1" s="56">
      <c r="G32" s="60" t="n"/>
      <c r="H32" s="96" t="inlineStr">
        <is>
          <t>3 people – UNFUNDED</t>
        </is>
      </c>
      <c r="K32" s="96" t="inlineStr">
        <is>
          <t>4 people – FUNDED ₮12M</t>
        </is>
      </c>
    </row>
    <row r="33" ht="15" customHeight="1" s="56">
      <c r="G33" s="97" t="inlineStr">
        <is>
          <t>University-paid subtotal</t>
        </is>
      </c>
      <c r="H33" s="98">
        <f>SUM(H9:H22)</f>
        <v/>
      </c>
      <c r="K33" s="98">
        <f>SUM(K9:K22)</f>
        <v/>
      </c>
    </row>
    <row r="34" ht="15" customHeight="1" s="56">
      <c r="G34" s="99" t="inlineStr">
        <is>
          <t>Contingency</t>
        </is>
      </c>
      <c r="H34" s="100">
        <f>H33*Compare!$B$11</f>
        <v/>
      </c>
      <c r="K34" s="100">
        <f>K33*Compare!$B$11</f>
        <v/>
      </c>
    </row>
    <row r="35" ht="15" customHeight="1" s="56">
      <c r="G35" s="97" t="inlineStr">
        <is>
          <t>University-paid total incl. contingency</t>
        </is>
      </c>
      <c r="H35" s="98">
        <f>H33+H34</f>
        <v/>
      </c>
      <c r="K35" s="98">
        <f>K33+K34</f>
        <v/>
      </c>
    </row>
    <row r="36" ht="15" customHeight="1" s="56">
      <c r="G36" s="97" t="inlineStr">
        <is>
          <t>Funding left (negative = over)</t>
        </is>
      </c>
      <c r="H36" s="101">
        <f>Compare!$B$12-H35</f>
        <v/>
      </c>
      <c r="K36" s="101">
        <f>Compare!$B$5-K35</f>
        <v/>
      </c>
    </row>
    <row r="37" ht="15" customHeight="1" s="56">
      <c r="G37" s="97" t="inlineStr">
        <is>
          <t>Personal costs – team</t>
        </is>
      </c>
      <c r="H37" s="102">
        <f>SUM(H24:H30)</f>
        <v/>
      </c>
      <c r="K37" s="102">
        <f>SUM(K24:K30)</f>
        <v/>
      </c>
    </row>
    <row r="38" ht="15" customHeight="1" s="56">
      <c r="G38" s="97" t="inlineStr">
        <is>
          <t>Out-of-pocket per person (personal + any overrun)</t>
        </is>
      </c>
      <c r="H38" s="102">
        <f>(H37+MAX(0,-H36))/Compare!$B$6</f>
        <v/>
      </c>
      <c r="K38" s="102">
        <f>(K37+MAX(0,-K36))/Compare!$B$7</f>
        <v/>
      </c>
    </row>
    <row r="39" ht="15" customHeight="1" s="56">
      <c r="G39" s="97" t="inlineStr">
        <is>
          <t>Whole trip cost (university + personal)</t>
        </is>
      </c>
      <c r="H39" s="103">
        <f>H35+H37</f>
        <v/>
      </c>
      <c r="K39" s="103">
        <f>K35+K37</f>
        <v/>
      </c>
    </row>
    <row r="40" ht="15" customHeight="1" s="56">
      <c r="G40" s="99" t="inlineStr">
        <is>
          <t>Time in planes &amp; trains</t>
        </is>
      </c>
      <c r="H40" s="104">
        <f>D10+D11+D14</f>
        <v/>
      </c>
      <c r="K40" s="104">
        <f>D10+D11+D14</f>
        <v/>
      </c>
    </row>
    <row r="42" ht="15" customHeight="1" s="56">
      <c r="A42" s="72" t="inlineStr">
        <is>
          <t>Key facts</t>
        </is>
      </c>
    </row>
    <row r="43" ht="30" customHeight="1" s="56">
      <c r="A43" s="75" t="inlineStr">
        <is>
          <t>Contest</t>
        </is>
      </c>
      <c r="B43" s="74" t="inlineStr">
        <is>
          <t>Asia Shanghai Regional, 5–6 Dec 2026 (provisional), Shanghai University Baoshan campus (gym; metro line 7 Shangda Rd). 2025 pattern: day 1 registration 09:00–14:00, opening 14:00, warm-up 15:00–17:00; day 2 contest 09:00–14:00, awards 15:30–17:00.</t>
        </is>
      </c>
    </row>
    <row r="44" ht="15" customHeight="1" s="56">
      <c r="A44" s="75" t="inlineStr">
        <is>
          <t>Wildcard</t>
        </is>
      </c>
      <c r="B44" s="74" t="inlineStr">
        <is>
          <t>A Mongolian team needs a wildcard (外卡): email shu_icpc@163.com. The first round closed on 17 Oct in 2025 – ask now.</t>
        </is>
      </c>
    </row>
    <row r="45" ht="15" customHeight="1" s="56">
      <c r="A45" s="75" t="inlineStr">
        <is>
          <t>Why this plan</t>
        </is>
      </c>
      <c r="B45" s="74" t="inlineStr">
        <is>
          <t>Spring's sale fare is the cheapest way in, and the D10 seat + Air China costs about the same as the nonstop home once the two hotel nights, two days of meals and the Pudong taxi are counted. Home on 7 Dec instead of 8 Dec.</t>
        </is>
      </c>
    </row>
    <row r="46" ht="15" customHeight="1" s="56">
      <c r="A46" s="75" t="inlineStr">
        <is>
          <t>Trade-off</t>
        </is>
      </c>
      <c r="B46" s="74" t="inlineStr">
        <is>
          <t>Awards end ~17:00 and D10 leaves 21:05, so there is time to eat; ~12 h seated overnight in a train (sleeper ¥442 if you want to lie down) then straight to the airport: Beijing South → PEK needs ~75 min. Two tickets (Spring, Air China) so no through protection.</t>
        </is>
      </c>
    </row>
    <row r="48" ht="15" customHeight="1" s="56">
      <c r="A48" s="72" t="inlineStr">
        <is>
          <t>Day-by-day plan</t>
        </is>
      </c>
    </row>
    <row r="49" ht="15" customHeight="1" s="56">
      <c r="A49" s="96" t="inlineStr">
        <is>
          <t>Date</t>
        </is>
      </c>
      <c r="B49" s="96" t="inlineStr">
        <is>
          <t>Sleep in</t>
        </is>
      </c>
      <c r="C49" s="96" t="inlineStr">
        <is>
          <t>What happens</t>
        </is>
      </c>
    </row>
    <row r="50" ht="15" customHeight="1" s="56">
      <c r="A50" s="74" t="inlineStr">
        <is>
          <t>Tue 1 Dec</t>
        </is>
      </c>
      <c r="B50" s="74" t="inlineStr">
        <is>
          <t>Shanghai</t>
        </is>
      </c>
      <c r="C50" s="74" t="inlineStr">
        <is>
          <t>Spring 9C6520 UB 13:00 → Shanghai Pudong 17:00; taxi to Hi Inn (Hutai Road).</t>
        </is>
      </c>
    </row>
    <row r="51" ht="15" customHeight="1" s="56">
      <c r="A51" s="74" t="inlineStr">
        <is>
          <t>Wed 2 – Fri 4 Dec</t>
        </is>
      </c>
      <c r="B51" s="74" t="inlineStr">
        <is>
          <t>Shanghai</t>
        </is>
      </c>
      <c r="C51" s="74" t="inlineStr">
        <is>
          <t>Rest / practice days (or sightseeing, lectures).</t>
        </is>
      </c>
    </row>
    <row r="52" ht="15" customHeight="1" s="56">
      <c r="A52" s="74" t="inlineStr">
        <is>
          <t>Sat 5 Dec</t>
        </is>
      </c>
      <c r="B52" s="74" t="inlineStr">
        <is>
          <t>Shanghai</t>
        </is>
      </c>
      <c r="C52" s="74" t="inlineStr">
        <is>
          <t>Registration (09:00–14:00), opening 14:00, warm-up 15:00–17:00 at Shanghai University Baoshan (2025 pattern).</t>
        </is>
      </c>
    </row>
    <row r="53" ht="15" customHeight="1" s="56">
      <c r="A53" s="74" t="inlineStr">
        <is>
          <t>Sun 6 Dec</t>
        </is>
      </c>
      <c r="B53" s="74" t="inlineStr">
        <is>
          <t>Train</t>
        </is>
      </c>
      <c r="C53" s="74" t="inlineStr">
        <is>
          <t>SHANGHAI REGIONAL contest day 09:00–14:00; analysis &amp; awards ~14:30–17:00. Check out of the hotel in the morning (leave the bags at the venue / hotel desk), taxi to Shanghai South; D10 21:05 → Beijing South 09:24.</t>
        </is>
      </c>
    </row>
    <row r="54" ht="15" customHeight="1" s="56">
      <c r="A54" s="74" t="inlineStr">
        <is>
          <t>Mon 7 Dec</t>
        </is>
      </c>
      <c r="B54" s="74" t="inlineStr">
        <is>
          <t>Home</t>
        </is>
      </c>
      <c r="C54" s="74" t="inlineStr">
        <is>
          <t>Beijing South → PEK (metro + Airport Express). Air China CA955 12:55 → UB 15:05.</t>
        </is>
      </c>
    </row>
    <row r="56" ht="15" customHeight="1" s="56">
      <c r="A56" s="72" t="inlineStr">
        <is>
          <t>Door-to-door travel times</t>
        </is>
      </c>
    </row>
    <row r="57" ht="15" customHeight="1" s="56">
      <c r="A57" s="96" t="inlineStr">
        <is>
          <t>Date</t>
        </is>
      </c>
      <c r="B57" s="96" t="inlineStr">
        <is>
          <t>Leg</t>
        </is>
      </c>
      <c r="C57" s="96" t="inlineStr">
        <is>
          <t>Mode</t>
        </is>
      </c>
      <c r="D57" s="96" t="inlineStr">
        <is>
          <t>Expected time</t>
        </is>
      </c>
      <c r="E57" s="96" t="inlineStr">
        <is>
          <t>Notes</t>
        </is>
      </c>
    </row>
    <row r="58" ht="15" customHeight="1" s="56">
      <c r="A58" s="105" t="inlineStr">
        <is>
          <t>1 Dec</t>
        </is>
      </c>
      <c r="B58" s="105" t="inlineStr">
        <is>
          <t>Home → Chinggis Khaan airport</t>
        </is>
      </c>
      <c r="C58" s="82" t="inlineStr">
        <is>
          <t>Taxi (~50 km)</t>
        </is>
      </c>
      <c r="D58" s="104" t="n">
        <v>0.04166666666666666</v>
      </c>
      <c r="E58" s="106" t="inlineStr">
        <is>
          <t>Leave ~10:00 for the 13:00 flight</t>
        </is>
      </c>
      <c r="F58" s="107" t="n"/>
      <c r="G58" s="107" t="n"/>
      <c r="H58" s="107" t="n"/>
      <c r="I58" s="107" t="n"/>
      <c r="J58" s="107" t="n"/>
      <c r="K58" s="107" t="n"/>
      <c r="L58" s="107" t="n"/>
    </row>
    <row r="59" ht="15" customHeight="1" s="56">
      <c r="A59" s="105" t="inlineStr">
        <is>
          <t>1 Dec</t>
        </is>
      </c>
      <c r="B59" s="105" t="inlineStr">
        <is>
          <t>Ulaanbaatar → Shanghai (PVG)</t>
        </is>
      </c>
      <c r="C59" s="82" t="inlineStr">
        <is>
          <t>Spring 9C6520 13:00–17:00</t>
        </is>
      </c>
      <c r="D59" s="104" t="n">
        <v>0.1666666666666667</v>
      </c>
      <c r="E59" s="106" t="inlineStr">
        <is>
          <t>Same time zone as China (UTC+8)</t>
        </is>
      </c>
      <c r="F59" s="107" t="n"/>
      <c r="G59" s="107" t="n"/>
      <c r="H59" s="107" t="n"/>
      <c r="I59" s="107" t="n"/>
      <c r="J59" s="107" t="n"/>
      <c r="K59" s="107" t="n"/>
      <c r="L59" s="107" t="n"/>
    </row>
    <row r="60" ht="15" customHeight="1" s="56">
      <c r="A60" s="105" t="inlineStr">
        <is>
          <t>1 Dec</t>
        </is>
      </c>
      <c r="B60" s="105" t="inlineStr">
        <is>
          <t>PVG arrival: immigration, bags</t>
        </is>
      </c>
      <c r="C60" s="82" t="inlineStr">
        <is>
          <t>—</t>
        </is>
      </c>
      <c r="D60" s="104" t="n">
        <v>0.03125</v>
      </c>
      <c r="E60" s="106" t="inlineStr">
        <is>
          <t>Estimate</t>
        </is>
      </c>
      <c r="F60" s="107" t="n"/>
      <c r="G60" s="107" t="n"/>
      <c r="H60" s="107" t="n"/>
      <c r="I60" s="107" t="n"/>
      <c r="J60" s="107" t="n"/>
      <c r="K60" s="107" t="n"/>
      <c r="L60" s="107" t="n"/>
    </row>
    <row r="61" ht="15" customHeight="1" s="56">
      <c r="A61" s="105" t="inlineStr">
        <is>
          <t>1 Dec</t>
        </is>
      </c>
      <c r="B61" s="105" t="inlineStr">
        <is>
          <t>PVG → hotel (Baoshan)</t>
        </is>
      </c>
      <c r="C61" s="82" t="inlineStr">
        <is>
          <t>Taxi (~65 km)</t>
        </is>
      </c>
      <c r="D61" s="104" t="n">
        <v>0.05208333333333334</v>
      </c>
      <c r="E61" s="106" t="inlineStr">
        <is>
          <t>Estimate; metro ~2 h</t>
        </is>
      </c>
      <c r="F61" s="107" t="n"/>
      <c r="G61" s="107" t="n"/>
      <c r="H61" s="107" t="n"/>
      <c r="I61" s="107" t="n"/>
      <c r="J61" s="107" t="n"/>
      <c r="K61" s="107" t="n"/>
      <c r="L61" s="107" t="n"/>
    </row>
    <row r="62" ht="15" customHeight="1" s="56">
      <c r="A62" s="105" t="inlineStr">
        <is>
          <t>5–6 Dec</t>
        </is>
      </c>
      <c r="B62" s="105" t="inlineStr">
        <is>
          <t>Hotel ↔ Shanghai University Baoshan (each way)</t>
        </is>
      </c>
      <c r="C62" s="82" t="inlineStr">
        <is>
          <t>Walk</t>
        </is>
      </c>
      <c r="D62" s="104" t="inlineStr">
        <is>
          <t>daily</t>
        </is>
      </c>
      <c r="E62" s="106" t="inlineStr">
        <is>
          <t>~25 min walk (Hi Inn 1.8 km) or a ¥15 taxi</t>
        </is>
      </c>
      <c r="F62" s="107" t="n"/>
      <c r="G62" s="107" t="n"/>
      <c r="H62" s="107" t="n"/>
      <c r="I62" s="107" t="n"/>
      <c r="J62" s="107" t="n"/>
      <c r="K62" s="107" t="n"/>
      <c r="L62" s="107" t="n"/>
    </row>
    <row r="63" ht="15" customHeight="1" s="56">
      <c r="A63" s="105" t="inlineStr">
        <is>
          <t>6 Dec</t>
        </is>
      </c>
      <c r="B63" s="105" t="inlineStr">
        <is>
          <t>Campus → Shanghai South station</t>
        </is>
      </c>
      <c r="C63" s="82" t="inlineStr">
        <is>
          <t>Taxi / metro</t>
        </is>
      </c>
      <c r="D63" s="104" t="n">
        <v>0.04166666666666666</v>
      </c>
      <c r="E63" s="106" t="inlineStr">
        <is>
          <t>Leave ~18:30 for the 21:05 train</t>
        </is>
      </c>
      <c r="F63" s="107" t="n"/>
      <c r="G63" s="107" t="n"/>
      <c r="H63" s="107" t="n"/>
      <c r="I63" s="107" t="n"/>
      <c r="J63" s="107" t="n"/>
      <c r="K63" s="107" t="n"/>
      <c r="L63" s="107" t="n"/>
    </row>
    <row r="64" ht="15" customHeight="1" s="56">
      <c r="A64" s="105" t="inlineStr">
        <is>
          <t>6–7 Dec</t>
        </is>
      </c>
      <c r="B64" s="105" t="inlineStr">
        <is>
          <t>Shanghai South → Beijing South</t>
        </is>
      </c>
      <c r="C64" s="82" t="inlineStr">
        <is>
          <t>D10 seat 21:05–09:24</t>
        </is>
      </c>
      <c r="D64" s="104" t="n">
        <v>0.5131944444444444</v>
      </c>
      <c r="E64" s="106" t="inlineStr">
        <is>
          <t>Overnight</t>
        </is>
      </c>
      <c r="F64" s="107" t="n"/>
      <c r="G64" s="107" t="n"/>
      <c r="H64" s="107" t="n"/>
      <c r="I64" s="107" t="n"/>
      <c r="J64" s="107" t="n"/>
      <c r="K64" s="107" t="n"/>
      <c r="L64" s="107" t="n"/>
    </row>
    <row r="65" ht="15" customHeight="1" s="56">
      <c r="A65" s="105" t="inlineStr">
        <is>
          <t>7 Dec</t>
        </is>
      </c>
      <c r="B65" s="105" t="inlineStr">
        <is>
          <t>Beijing South → PEK</t>
        </is>
      </c>
      <c r="C65" s="82" t="inlineStr">
        <is>
          <t>Metro line 4 + 10 + Airport Express / taxi</t>
        </is>
      </c>
      <c r="D65" s="104" t="n">
        <v>0.05208333333333334</v>
      </c>
      <c r="E65" s="106" t="inlineStr">
        <is>
          <t>Be at PEK by ~11:00</t>
        </is>
      </c>
      <c r="F65" s="107" t="n"/>
      <c r="G65" s="107" t="n"/>
      <c r="H65" s="107" t="n"/>
      <c r="I65" s="107" t="n"/>
      <c r="J65" s="107" t="n"/>
      <c r="K65" s="107" t="n"/>
      <c r="L65" s="107" t="n"/>
    </row>
    <row r="66" ht="15" customHeight="1" s="56">
      <c r="A66" s="105" t="inlineStr">
        <is>
          <t>7 Dec</t>
        </is>
      </c>
      <c r="B66" s="105" t="inlineStr">
        <is>
          <t>PEK check-in &amp; security</t>
        </is>
      </c>
      <c r="C66" s="82" t="inlineStr">
        <is>
          <t>—</t>
        </is>
      </c>
      <c r="D66" s="104" t="n">
        <v>0.0625</v>
      </c>
      <c r="E66" s="106" t="inlineStr">
        <is>
          <t>Estimate</t>
        </is>
      </c>
      <c r="F66" s="107" t="n"/>
      <c r="G66" s="107" t="n"/>
      <c r="H66" s="107" t="n"/>
      <c r="I66" s="107" t="n"/>
      <c r="J66" s="107" t="n"/>
      <c r="K66" s="107" t="n"/>
      <c r="L66" s="107" t="n"/>
    </row>
    <row r="67" ht="15" customHeight="1" s="56">
      <c r="A67" s="105" t="inlineStr">
        <is>
          <t>7 Dec</t>
        </is>
      </c>
      <c r="B67" s="105" t="inlineStr">
        <is>
          <t>Beijing (PEK) → Ulaanbaatar</t>
        </is>
      </c>
      <c r="C67" s="82" t="inlineStr">
        <is>
          <t>Air China CA955 12:55–15:05</t>
        </is>
      </c>
      <c r="D67" s="104" t="n">
        <v>0.09027777777777778</v>
      </c>
      <c r="E67" s="106" t="n"/>
      <c r="F67" s="107" t="n"/>
      <c r="G67" s="107" t="n"/>
      <c r="H67" s="107" t="n"/>
      <c r="I67" s="107" t="n"/>
      <c r="J67" s="107" t="n"/>
      <c r="K67" s="107" t="n"/>
      <c r="L67" s="107" t="n"/>
    </row>
    <row r="68" ht="15" customHeight="1" s="56">
      <c r="A68" s="105" t="inlineStr">
        <is>
          <t>7 Dec</t>
        </is>
      </c>
      <c r="B68" s="105" t="inlineStr">
        <is>
          <t>Chinggis Khaan airport → home</t>
        </is>
      </c>
      <c r="C68" s="82" t="inlineStr">
        <is>
          <t>Taxi</t>
        </is>
      </c>
      <c r="D68" s="104" t="n">
        <v>0.04166666666666666</v>
      </c>
      <c r="E68" s="106" t="n"/>
      <c r="F68" s="107" t="n"/>
      <c r="G68" s="107" t="n"/>
      <c r="H68" s="107" t="n"/>
      <c r="I68" s="107" t="n"/>
      <c r="J68" s="107" t="n"/>
      <c r="K68" s="107" t="n"/>
      <c r="L68" s="107" t="n"/>
    </row>
    <row r="69" ht="15" customHeight="1" s="56">
      <c r="A69" s="105" t="n"/>
      <c r="B69" s="105" t="n"/>
      <c r="C69" s="82" t="n"/>
      <c r="D69" s="104" t="n"/>
      <c r="E69" s="106" t="n"/>
      <c r="F69" s="107" t="n"/>
      <c r="G69" s="107" t="n"/>
      <c r="H69" s="107" t="n"/>
      <c r="I69" s="107" t="n"/>
      <c r="J69" s="107" t="n"/>
      <c r="K69" s="107" t="n"/>
      <c r="L69" s="107" t="n"/>
    </row>
    <row r="71" ht="15" customHeight="1" s="56">
      <c r="C71" s="59" t="inlineStr">
        <is>
          <t>Total door-to-door</t>
        </is>
      </c>
      <c r="D71" s="109">
        <f>SUM(D58:D68)</f>
        <v/>
      </c>
    </row>
  </sheetData>
  <mergeCells count="21">
    <mergeCell ref="E58:L58"/>
    <mergeCell ref="C52:L52"/>
    <mergeCell ref="E68:L68"/>
    <mergeCell ref="E62:L62"/>
    <mergeCell ref="B46:L46"/>
    <mergeCell ref="E67:L67"/>
    <mergeCell ref="B43:L43"/>
    <mergeCell ref="C53:L53"/>
    <mergeCell ref="E64:L64"/>
    <mergeCell ref="E63:L63"/>
    <mergeCell ref="E60:L60"/>
    <mergeCell ref="E69:L69"/>
    <mergeCell ref="E65:L65"/>
    <mergeCell ref="B44:L44"/>
    <mergeCell ref="E59:L59"/>
    <mergeCell ref="C54:L54"/>
    <mergeCell ref="C50:L50"/>
    <mergeCell ref="E61:L61"/>
    <mergeCell ref="E66:L66"/>
    <mergeCell ref="C51:L51"/>
    <mergeCell ref="B45:L45"/>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74"/>
  <sheetViews>
    <sheetView workbookViewId="0">
      <pane xSplit="2" ySplit="7" topLeftCell="C8" activePane="bottomRight" state="frozen"/>
      <selection pane="topRight" activeCell="A1" sqref="A1"/>
      <selection pane="bottomLeft" activeCell="A1" sqref="A1"/>
      <selection pane="bottomRight" activeCell="A1" sqref="A1"/>
    </sheetView>
  </sheetViews>
  <sheetFormatPr baseColWidth="8" defaultRowHeight="15"/>
  <cols>
    <col width="26" customWidth="1" style="56" min="1" max="1"/>
    <col width="52" customWidth="1" style="56" min="2" max="2"/>
    <col width="20" customWidth="1" style="56" min="3" max="3"/>
    <col width="15" customWidth="1" style="56" min="4" max="4"/>
    <col width="13" customWidth="1" style="56" min="5" max="5"/>
    <col width="9" customWidth="1" style="56" min="6" max="6"/>
    <col width="17" customWidth="1" style="56" min="8" max="8"/>
    <col width="13" customWidth="1" style="56" min="9" max="9"/>
    <col width="9" customWidth="1" style="56" min="10" max="10"/>
    <col width="17" customWidth="1" style="56" min="11" max="11"/>
    <col width="58" customWidth="1" style="56" min="12" max="12"/>
  </cols>
  <sheetData>
    <row r="1" ht="17.35" customHeight="1" s="56">
      <c r="A1" s="57" t="inlineStr">
        <is>
          <t>Shanghai – Train (no sleeper)</t>
        </is>
      </c>
    </row>
    <row r="2" ht="15" customHeight="1" s="56">
      <c r="A2" s="62" t="inlineStr">
        <is>
          <t>As 'Shanghai – Sleeper' but back by day G-train from Hongqiao after the awards and a Beijing hotel night near Beijing South.</t>
        </is>
      </c>
    </row>
    <row r="4" ht="15" customHeight="1" s="56">
      <c r="A4" s="60" t="inlineStr">
        <is>
          <t>Days in destination (meals &amp; local transport)</t>
        </is>
      </c>
      <c r="B4" s="76" t="n">
        <v>4</v>
      </c>
      <c r="C4" s="62" t="inlineStr">
        <is>
          <t>3 Dec → morning 7 Dec</t>
        </is>
      </c>
    </row>
    <row r="5" ht="15" customHeight="1" s="56">
      <c r="A5" s="62" t="inlineStr">
        <is>
          <t>Shared inputs are on the Compare sheet. Scroll down for the day-by-day plan and door-to-door travel times.</t>
        </is>
      </c>
    </row>
    <row r="7" ht="31.5" customHeight="1" s="56">
      <c r="A7" s="66" t="inlineStr">
        <is>
          <t>Category</t>
        </is>
      </c>
      <c r="B7" s="66" t="inlineStr">
        <is>
          <t>Item</t>
        </is>
      </c>
      <c r="C7" s="66" t="inlineStr">
        <is>
          <t>Date</t>
        </is>
      </c>
      <c r="D7" s="66" t="inlineStr">
        <is>
          <t>Travel time</t>
        </is>
      </c>
      <c r="E7" s="66" t="inlineStr">
        <is>
          <t>Unit cost (3 ppl)</t>
        </is>
      </c>
      <c r="F7" s="66" t="inlineStr">
        <is>
          <t>Currency</t>
        </is>
      </c>
      <c r="G7" s="66" t="inlineStr">
        <is>
          <t>Qty (3 ppl)</t>
        </is>
      </c>
      <c r="H7" s="66" t="inlineStr">
        <is>
          <t>Total MNT – 3 people</t>
        </is>
      </c>
      <c r="I7" s="66" t="inlineStr">
        <is>
          <t>Unit cost (4 ppl)</t>
        </is>
      </c>
      <c r="J7" s="66" t="inlineStr">
        <is>
          <t>Qty (4 ppl)</t>
        </is>
      </c>
      <c r="K7" s="66" t="inlineStr">
        <is>
          <t>Total MNT – 4 people</t>
        </is>
      </c>
      <c r="L7" s="66" t="inlineStr">
        <is>
          <t>Source / notes</t>
        </is>
      </c>
    </row>
    <row r="8" ht="15" customHeight="1" s="56">
      <c r="A8" s="77" t="inlineStr">
        <is>
          <t>PAID BY UNIVERSITY</t>
        </is>
      </c>
      <c r="B8" s="78" t="n"/>
      <c r="C8" s="78" t="n"/>
      <c r="D8" s="78" t="n"/>
      <c r="E8" s="78" t="n"/>
      <c r="F8" s="78" t="n"/>
      <c r="G8" s="78" t="n"/>
      <c r="H8" s="78" t="n"/>
      <c r="I8" s="78" t="n"/>
      <c r="J8" s="78" t="n"/>
      <c r="K8" s="78" t="n"/>
      <c r="L8" s="78" t="n"/>
    </row>
    <row r="9" ht="15" customHeight="1" s="56">
      <c r="A9" s="79" t="inlineStr">
        <is>
          <t>Flights</t>
        </is>
      </c>
      <c r="B9" s="80" t="n"/>
      <c r="C9" s="80" t="n"/>
      <c r="D9" s="80" t="n"/>
      <c r="E9" s="80" t="n"/>
      <c r="F9" s="80" t="n"/>
      <c r="G9" s="80" t="n"/>
      <c r="H9" s="80" t="n"/>
      <c r="I9" s="80" t="n"/>
      <c r="J9" s="80" t="n"/>
      <c r="K9" s="80" t="n"/>
      <c r="L9" s="80" t="n"/>
    </row>
    <row r="10" ht="45" customHeight="1" s="56">
      <c r="A10" s="81" t="n"/>
      <c r="B10" s="111" t="inlineStr">
        <is>
          <t>MIAT OM223 Ulaanbaatar → Beijing (PEK), 07:30–09:45</t>
        </is>
      </c>
      <c r="C10" s="83" t="inlineStr">
        <is>
          <t>3 Dec</t>
        </is>
      </c>
      <c r="D10" s="84" t="n">
        <v>0.09375</v>
      </c>
      <c r="E10" s="85" t="n">
        <v>151</v>
      </c>
      <c r="F10" s="86" t="inlineStr">
        <is>
          <t>USD</t>
        </is>
      </c>
      <c r="G10" s="87">
        <f>Compare!$B$6</f>
        <v/>
      </c>
      <c r="H10" s="88">
        <f>E10*G10*IF(F10="USD",Compare!$B$8,IF(F10="CNY",Compare!$B$9,IF(F10="HKD",Compare!$B$10,1)))</f>
        <v/>
      </c>
      <c r="I10" s="89">
        <f>E10</f>
        <v/>
      </c>
      <c r="J10" s="87">
        <f>Compare!$B$7</f>
        <v/>
      </c>
      <c r="K10" s="88">
        <f>I10*J10*IF(F10="USD",Compare!$B$8,IF(F10="CNY",Compare!$B$9,IF(F10="HKD",Compare!$B$10,1)))</f>
        <v/>
      </c>
      <c r="L10" s="112" t="inlineStr">
        <is>
          <t>Trip.com 10 Oct (built-in browser): MIAT 07:30–09:45 $151 pp; SlickTrip $154 ('low' against the usual $206–410). Air China 11:50 is $200</t>
        </is>
      </c>
    </row>
    <row r="11" ht="45" customHeight="1" s="56">
      <c r="A11" s="81" t="n"/>
      <c r="B11" s="111" t="inlineStr">
        <is>
          <t>Air China CA955 Beijing (PEK) → Ulaanbaatar, nonstop 12:55–15:05</t>
        </is>
      </c>
      <c r="C11" s="83" t="inlineStr">
        <is>
          <t>7 Dec</t>
        </is>
      </c>
      <c r="D11" s="84" t="n">
        <v>0.09027777777777778</v>
      </c>
      <c r="E11" s="85" t="n">
        <v>172</v>
      </c>
      <c r="F11" s="86" t="inlineStr">
        <is>
          <t>USD</t>
        </is>
      </c>
      <c r="G11" s="87">
        <f>Compare!$B$6</f>
        <v/>
      </c>
      <c r="H11" s="88">
        <f>E11*G11*IF(F11="USD",Compare!$B$8,IF(F11="CNY",Compare!$B$9,IF(F11="HKD",Compare!$B$10,1)))</f>
        <v/>
      </c>
      <c r="I11" s="89">
        <f>E11</f>
        <v/>
      </c>
      <c r="J11" s="87">
        <f>Compare!$B$7</f>
        <v/>
      </c>
      <c r="K11" s="88">
        <f>I11*J11*IF(F11="USD",Compare!$B$8,IF(F11="CNY",Compare!$B$9,IF(F11="HKD",Compare!$B$10,1)))</f>
        <v/>
      </c>
      <c r="L11" s="112" t="inlineStr">
        <is>
          <t>Trip.com 10 Oct: Air China 12:55 $172 pp (08:25 also $172; MIAT 11:30 $193, SlickTrip $197). The 12:55 departure leaves time after the D8 sleeper</t>
        </is>
      </c>
    </row>
    <row r="12" ht="15" customHeight="1" s="56">
      <c r="A12" s="79" t="inlineStr">
        <is>
          <t>Trains</t>
        </is>
      </c>
      <c r="B12" s="80" t="n"/>
      <c r="C12" s="80" t="n"/>
      <c r="D12" s="80" t="n"/>
      <c r="E12" s="80" t="n"/>
      <c r="F12" s="80" t="n"/>
      <c r="G12" s="80" t="n"/>
      <c r="H12" s="80" t="n"/>
      <c r="I12" s="80" t="n"/>
      <c r="J12" s="80" t="n"/>
      <c r="K12" s="80" t="n"/>
      <c r="L12" s="80" t="n"/>
    </row>
    <row r="13" ht="45" customHeight="1" s="56">
      <c r="A13" s="81" t="n"/>
      <c r="B13" s="111" t="inlineStr">
        <is>
          <t>High-speed rail Beijing South 13:00 → Shanghai 17:35 (G17), 2nd class</t>
        </is>
      </c>
      <c r="C13" s="83" t="inlineStr">
        <is>
          <t>3 Dec</t>
        </is>
      </c>
      <c r="D13" s="84" t="n">
        <v>0.1909722222222222</v>
      </c>
      <c r="E13" s="85" t="n">
        <v>667</v>
      </c>
      <c r="F13" s="86" t="inlineStr">
        <is>
          <t>CNY</t>
        </is>
      </c>
      <c r="G13" s="87">
        <f>Compare!$B$6</f>
        <v/>
      </c>
      <c r="H13" s="88">
        <f>E13*G13*IF(F13="USD",Compare!$B$8,IF(F13="CNY",Compare!$B$9,IF(F13="HKD",Compare!$B$10,1)))</f>
        <v/>
      </c>
      <c r="I13" s="89">
        <f>E13</f>
        <v/>
      </c>
      <c r="J13" s="87">
        <f>Compare!$B$7</f>
        <v/>
      </c>
      <c r="K13" s="88">
        <f>I13*J13*IF(F13="USD",Compare!$B$8,IF(F13="CNY",Compare!$B$9,IF(F13="HKD",Compare!$B$10,1)))</f>
        <v/>
      </c>
      <c r="L13" s="112" t="inlineStr">
        <is>
          <t>12306 (queried 10 Oct for 20 Oct; fares fixed): G17 ¥667; G15 12:00 → Hongqiao ¥661 is too tight after MIAT lands 09:45; G1 06:30 → Hongqiao ¥598 is too early</t>
        </is>
      </c>
    </row>
    <row r="14" ht="45" customHeight="1" s="56">
      <c r="A14" s="81" t="n"/>
      <c r="B14" s="111" t="inlineStr">
        <is>
          <t>High-speed rail Shanghai Hongqiao 19:25 → Beijing South 23:49 (G32), 2nd class</t>
        </is>
      </c>
      <c r="C14" s="83" t="inlineStr">
        <is>
          <t>6 Dec (evening)</t>
        </is>
      </c>
      <c r="D14" s="84" t="n">
        <v>0.1833333333333333</v>
      </c>
      <c r="E14" s="85" t="n">
        <v>598</v>
      </c>
      <c r="F14" s="86" t="inlineStr">
        <is>
          <t>CNY</t>
        </is>
      </c>
      <c r="G14" s="87">
        <f>Compare!$B$6</f>
        <v/>
      </c>
      <c r="H14" s="88">
        <f>E14*G14*IF(F14="USD",Compare!$B$8,IF(F14="CNY",Compare!$B$9,IF(F14="HKD",Compare!$B$10,1)))</f>
        <v/>
      </c>
      <c r="I14" s="89">
        <f>E14</f>
        <v/>
      </c>
      <c r="J14" s="87">
        <f>Compare!$B$7</f>
        <v/>
      </c>
      <c r="K14" s="88">
        <f>I14*J14*IF(F14="USD",Compare!$B$8,IF(F14="CNY",Compare!$B$9,IF(F14="HKD",Compare!$B$10,1)))</f>
        <v/>
      </c>
      <c r="L14" s="112" t="inlineStr">
        <is>
          <t>12306 (queried 10 Oct for 20 Oct): G32 ¥598; G30 18:52 → 23:21 ¥626 (tight after 17:00 awards); G808 17:25 → 23:16 ¥498 too early</t>
        </is>
      </c>
    </row>
    <row r="15" ht="15" customHeight="1" s="56">
      <c r="A15" s="79" t="inlineStr">
        <is>
          <t>Accommodation</t>
        </is>
      </c>
      <c r="B15" s="80" t="n"/>
      <c r="C15" s="80" t="n"/>
      <c r="D15" s="80" t="n"/>
      <c r="E15" s="80" t="n"/>
      <c r="F15" s="80" t="n"/>
      <c r="G15" s="80" t="n"/>
      <c r="H15" s="80" t="n"/>
      <c r="I15" s="80" t="n"/>
      <c r="J15" s="80" t="n"/>
      <c r="K15" s="80" t="n"/>
      <c r="L15" s="80" t="n"/>
    </row>
    <row r="16" ht="105" customHeight="1" s="56">
      <c r="A16" s="81" t="n"/>
      <c r="B16" s="111" t="inlineStr">
        <is>
          <t>Hi Inn Shanghai University Hutai Road (1.8 km, 8.9) – 3 ppl: 2 rooms (2 + 1 beds); 4 ppl: Jtour Inn Hotel Shanghai University (1.8 km, 8.6), 2 rooms of 2</t>
        </is>
      </c>
      <c r="C16" s="83" t="inlineStr">
        <is>
          <t>3–6 Dec (3 nights)</t>
        </is>
      </c>
      <c r="D16" s="81" t="n"/>
      <c r="E16" s="85">
        <f>820/3</f>
        <v/>
      </c>
      <c r="F16" s="86" t="inlineStr">
        <is>
          <t>CNY</t>
        </is>
      </c>
      <c r="G16" s="91" t="n">
        <v>3</v>
      </c>
      <c r="H16" s="88">
        <f>E16*G16*IF(F16="USD",Compare!$B$8,IF(F16="CNY",Compare!$B$9,IF(F16="HKD",Compare!$B$10,1)))</f>
        <v/>
      </c>
      <c r="I16" s="85">
        <f>708/3</f>
        <v/>
      </c>
      <c r="J16" s="91" t="n">
        <v>3</v>
      </c>
      <c r="K16" s="88">
        <f>I16*J16*IF(F16="USD",Compare!$B$8,IF(F16="CNY",Compare!$B$9,IF(F16="HKD",Compare!$B$10,1)))</f>
        <v/>
      </c>
      <c r="L16" s="112" t="inlineStr">
        <is>
          <t>Trip.com 10 Oct (Shanghai University landmark, Hotel + private-bathroom filters, lowest price first): Hi Inn Shanghai University Hutai Road (1.8 km walk, 8.9 from 423 reviews, Comfort Twin Room with fresh-air system) ¥820 for 3 nights, 2 rooms, for 3 ppl; Jtour Inn Hotel Shanghai University (1.8 km, 8.6 from 142 reviews) ¥708 for 4 ppl (2 rooms of 2; it is not offered for 3 adults). Cheaper but worse: Yibai Gucun Park (5.2 km, 7.9) ¥624, Boshi Changzhong Rd (2.5 km, 8.2) ¥684. Compare Jenny's Apartment, 1 room for 3: ¥1,375.</t>
        </is>
      </c>
    </row>
    <row r="17" ht="30" customHeight="1" s="56">
      <c r="A17" s="81" t="n"/>
      <c r="B17" s="111" t="inlineStr">
        <is>
          <t>Beijing budget hotel near Beijing South (3 ppl 1 room; 4 ppl 2 rooms)</t>
        </is>
      </c>
      <c r="C17" s="83" t="inlineStr">
        <is>
          <t>6 Dec (1 night)</t>
        </is>
      </c>
      <c r="D17" s="81" t="n"/>
      <c r="E17" s="113" t="n">
        <v>300</v>
      </c>
      <c r="F17" s="86" t="inlineStr">
        <is>
          <t>CNY</t>
        </is>
      </c>
      <c r="G17" s="91" t="n">
        <v>1</v>
      </c>
      <c r="H17" s="88">
        <f>E17*G17*IF(F17="USD",Compare!$B$8,IF(F17="CNY",Compare!$B$9,IF(F17="HKD",Compare!$B$10,1)))</f>
        <v/>
      </c>
      <c r="I17" s="113" t="n">
        <v>600</v>
      </c>
      <c r="J17" s="91" t="n">
        <v>1</v>
      </c>
      <c r="K17" s="88">
        <f>I17*J17*IF(F17="USD",Compare!$B$8,IF(F17="CNY",Compare!$B$9,IF(F17="HKD",Compare!$B$10,1)))</f>
        <v/>
      </c>
      <c r="L17" s="112" t="inlineStr">
        <is>
          <t>ASSUMPTION ~300 CNY/room (Booking.com 6–7 Nov quotes: 227–366 CNY/night for 3 people)</t>
        </is>
      </c>
    </row>
    <row r="18" ht="15" customHeight="1" s="56">
      <c r="A18" s="79" t="inlineStr">
        <is>
          <t>Meals &amp; local transport</t>
        </is>
      </c>
      <c r="B18" s="80" t="n"/>
      <c r="C18" s="80" t="n"/>
      <c r="D18" s="80" t="n"/>
      <c r="E18" s="80" t="n"/>
      <c r="F18" s="80" t="n"/>
      <c r="G18" s="80" t="n"/>
      <c r="H18" s="80" t="n"/>
      <c r="I18" s="80" t="n"/>
      <c r="J18" s="80" t="n"/>
      <c r="K18" s="80" t="n"/>
      <c r="L18" s="80" t="n"/>
    </row>
    <row r="19" ht="30" customHeight="1" s="56">
      <c r="A19" s="81" t="n"/>
      <c r="B19" s="111" t="inlineStr">
        <is>
          <t>Meals</t>
        </is>
      </c>
      <c r="C19" s="83" t="inlineStr">
        <is>
          <t>in destination</t>
        </is>
      </c>
      <c r="D19" s="81" t="n"/>
      <c r="E19" s="113" t="n">
        <v>80</v>
      </c>
      <c r="F19" s="86" t="inlineStr">
        <is>
          <t>CNY</t>
        </is>
      </c>
      <c r="G19" s="87">
        <f>Compare!$B$6*$B$4</f>
        <v/>
      </c>
      <c r="H19" s="88">
        <f>E19*G19*IF(F19="USD",Compare!$B$8,IF(F19="CNY",Compare!$B$9,IF(F19="HKD",Compare!$B$10,1)))</f>
        <v/>
      </c>
      <c r="I19" s="114">
        <f>E19</f>
        <v/>
      </c>
      <c r="J19" s="87">
        <f>Compare!$B$7*$B$4</f>
        <v/>
      </c>
      <c r="K19" s="88">
        <f>I19*J19*IF(F19="USD",Compare!$B$8,IF(F19="CNY",Compare!$B$9,IF(F19="HKD",Compare!$B$10,1)))</f>
        <v/>
      </c>
      <c r="L19" s="112" t="inlineStr">
        <is>
          <t>ASSUMPTION 80 CNY/person/day; hosts usually provide some meals on contest days</t>
        </is>
      </c>
    </row>
    <row r="20" ht="15" customHeight="1" s="56">
      <c r="A20" s="81" t="n"/>
      <c r="B20" s="111" t="inlineStr">
        <is>
          <t>Local transport (metro, taxis)</t>
        </is>
      </c>
      <c r="C20" s="83" t="inlineStr">
        <is>
          <t>in destination</t>
        </is>
      </c>
      <c r="D20" s="81" t="n"/>
      <c r="E20" s="113" t="n">
        <v>30</v>
      </c>
      <c r="F20" s="86" t="inlineStr">
        <is>
          <t>CNY</t>
        </is>
      </c>
      <c r="G20" s="87">
        <f>Compare!$B$6*$B$4</f>
        <v/>
      </c>
      <c r="H20" s="88">
        <f>E20*G20*IF(F20="USD",Compare!$B$8,IF(F20="CNY",Compare!$B$9,IF(F20="HKD",Compare!$B$10,1)))</f>
        <v/>
      </c>
      <c r="I20" s="114">
        <f>E20</f>
        <v/>
      </c>
      <c r="J20" s="87">
        <f>Compare!$B$7*$B$4</f>
        <v/>
      </c>
      <c r="K20" s="88">
        <f>I20*J20*IF(F20="USD",Compare!$B$8,IF(F20="CNY",Compare!$B$9,IF(F20="HKD",Compare!$B$10,1)))</f>
        <v/>
      </c>
      <c r="L20" s="112" t="inlineStr">
        <is>
          <t>ASSUMPTION 30 CNY/person/day</t>
        </is>
      </c>
    </row>
    <row r="21" ht="15" customHeight="1" s="56">
      <c r="A21" s="81" t="n"/>
      <c r="B21" s="111" t="inlineStr">
        <is>
          <t>Taxi PEK → Beijing South</t>
        </is>
      </c>
      <c r="C21" s="83" t="inlineStr">
        <is>
          <t>3 Dec</t>
        </is>
      </c>
      <c r="D21" s="84" t="n"/>
      <c r="E21" s="113" t="n">
        <v>120</v>
      </c>
      <c r="F21" s="86" t="inlineStr">
        <is>
          <t>CNY</t>
        </is>
      </c>
      <c r="G21" s="91" t="n">
        <v>1</v>
      </c>
      <c r="H21" s="88">
        <f>E21*G21*IF(F21="USD",Compare!$B$8,IF(F21="CNY",Compare!$B$9,IF(F21="HKD",Compare!$B$10,1)))</f>
        <v/>
      </c>
      <c r="I21" s="114">
        <f>E21</f>
        <v/>
      </c>
      <c r="J21" s="91" t="n">
        <v>1</v>
      </c>
      <c r="K21" s="88">
        <f>I21*J21*IF(F21="USD",Compare!$B$8,IF(F21="CNY",Compare!$B$9,IF(F21="HKD",Compare!$B$10,1)))</f>
        <v/>
      </c>
      <c r="L21" s="112" t="inlineStr">
        <is>
          <t>ASSUMPTION ~120 CNY per car (~45 km)</t>
        </is>
      </c>
    </row>
    <row r="22" ht="15" customHeight="1" s="56">
      <c r="A22" s="81" t="n"/>
      <c r="B22" s="111" t="inlineStr">
        <is>
          <t>Taxi Shanghai station → hotel</t>
        </is>
      </c>
      <c r="C22" s="83" t="inlineStr">
        <is>
          <t>3 Dec</t>
        </is>
      </c>
      <c r="D22" s="84" t="n"/>
      <c r="E22" s="113" t="n">
        <v>80</v>
      </c>
      <c r="F22" s="86" t="inlineStr">
        <is>
          <t>CNY</t>
        </is>
      </c>
      <c r="G22" s="91" t="n">
        <v>1</v>
      </c>
      <c r="H22" s="88">
        <f>E22*G22*IF(F22="USD",Compare!$B$8,IF(F22="CNY",Compare!$B$9,IF(F22="HKD",Compare!$B$10,1)))</f>
        <v/>
      </c>
      <c r="I22" s="114">
        <f>E22</f>
        <v/>
      </c>
      <c r="J22" s="91" t="n">
        <v>1</v>
      </c>
      <c r="K22" s="88">
        <f>I22*J22*IF(F22="USD",Compare!$B$8,IF(F22="CNY",Compare!$B$9,IF(F22="HKD",Compare!$B$10,1)))</f>
        <v/>
      </c>
      <c r="L22" s="112" t="inlineStr">
        <is>
          <t>ASSUMPTION ~80 CNY per car, ~25 km</t>
        </is>
      </c>
    </row>
    <row r="23" ht="30" customHeight="1" s="56">
      <c r="A23" s="81" t="n"/>
      <c r="B23" s="111" t="inlineStr">
        <is>
          <t>Taxi campus → Hongqiao station</t>
        </is>
      </c>
      <c r="C23" s="83" t="inlineStr">
        <is>
          <t>6 Dec</t>
        </is>
      </c>
      <c r="D23" s="84" t="n"/>
      <c r="E23" s="113" t="n">
        <v>110</v>
      </c>
      <c r="F23" s="86" t="inlineStr">
        <is>
          <t>CNY</t>
        </is>
      </c>
      <c r="G23" s="91" t="n">
        <v>1</v>
      </c>
      <c r="H23" s="88">
        <f>E23*G23*IF(F23="USD",Compare!$B$8,IF(F23="CNY",Compare!$B$9,IF(F23="HKD",Compare!$B$10,1)))</f>
        <v/>
      </c>
      <c r="I23" s="114">
        <f>E23</f>
        <v/>
      </c>
      <c r="J23" s="91" t="n">
        <v>1</v>
      </c>
      <c r="K23" s="88">
        <f>I23*J23*IF(F23="USD",Compare!$B$8,IF(F23="CNY",Compare!$B$9,IF(F23="HKD",Compare!$B$10,1)))</f>
        <v/>
      </c>
      <c r="L23" s="112" t="inlineStr">
        <is>
          <t>ASSUMPTION ~110 CNY per car, ~35 km (metro line 7 + 2 ~1 h 15 min)</t>
        </is>
      </c>
    </row>
    <row r="24" ht="15" customHeight="1" s="56">
      <c r="A24" s="81" t="n"/>
      <c r="B24" s="111" t="inlineStr">
        <is>
          <t>Taxi hotel (Beijing South) → PEK</t>
        </is>
      </c>
      <c r="C24" s="83" t="inlineStr">
        <is>
          <t>7 Dec</t>
        </is>
      </c>
      <c r="D24" s="84" t="n"/>
      <c r="E24" s="113" t="n">
        <v>150</v>
      </c>
      <c r="F24" s="86" t="inlineStr">
        <is>
          <t>CNY</t>
        </is>
      </c>
      <c r="G24" s="91" t="n">
        <v>1</v>
      </c>
      <c r="H24" s="88">
        <f>E24*G24*IF(F24="USD",Compare!$B$8,IF(F24="CNY",Compare!$B$9,IF(F24="HKD",Compare!$B$10,1)))</f>
        <v/>
      </c>
      <c r="I24" s="114">
        <f>E24</f>
        <v/>
      </c>
      <c r="J24" s="91" t="n">
        <v>1</v>
      </c>
      <c r="K24" s="88">
        <f>I24*J24*IF(F24="USD",Compare!$B$8,IF(F24="CNY",Compare!$B$9,IF(F24="HKD",Compare!$B$10,1)))</f>
        <v/>
      </c>
      <c r="L24" s="112" t="inlineStr">
        <is>
          <t>ASSUMPTION ~150 CNY per car, ~50 km, leave ~09:30</t>
        </is>
      </c>
    </row>
    <row r="25" ht="15" customHeight="1" s="56">
      <c r="A25" s="94" t="inlineStr">
        <is>
          <t>PAID PERSONALLY (university won't cover)</t>
        </is>
      </c>
      <c r="B25" s="95" t="n"/>
      <c r="C25" s="95" t="n"/>
      <c r="D25" s="95" t="n"/>
      <c r="E25" s="95" t="n"/>
      <c r="F25" s="95" t="n"/>
      <c r="G25" s="95" t="n"/>
      <c r="H25" s="95" t="n"/>
      <c r="I25" s="95" t="n"/>
      <c r="J25" s="95" t="n"/>
      <c r="K25" s="95" t="n"/>
      <c r="L25" s="95" t="n"/>
    </row>
    <row r="26" ht="15" customHeight="1" s="56">
      <c r="A26" s="79" t="inlineStr">
        <is>
          <t>Contest fee</t>
        </is>
      </c>
      <c r="B26" s="80" t="n"/>
      <c r="C26" s="80" t="n"/>
      <c r="D26" s="80" t="n"/>
      <c r="E26" s="80" t="n"/>
      <c r="F26" s="80" t="n"/>
      <c r="G26" s="80" t="n"/>
      <c r="H26" s="80" t="n"/>
      <c r="I26" s="80" t="n"/>
      <c r="J26" s="80" t="n"/>
      <c r="K26" s="80" t="n"/>
      <c r="L26" s="80" t="n"/>
    </row>
    <row r="27" ht="22.35" customHeight="1" s="56">
      <c r="A27" s="81" t="n"/>
      <c r="B27" s="82" t="inlineStr">
        <is>
          <t>Shanghai regional registration fee (per team)</t>
        </is>
      </c>
      <c r="C27" s="83" t="inlineStr">
        <is>
          <t>TBC</t>
        </is>
      </c>
      <c r="D27" s="81" t="n"/>
      <c r="E27" s="113" t="n">
        <v>1500</v>
      </c>
      <c r="F27" s="86" t="inlineStr">
        <is>
          <t>CNY</t>
        </is>
      </c>
      <c r="G27" s="91" t="n">
        <v>1</v>
      </c>
      <c r="H27" s="88">
        <f>E27*G27*IF(F27="USD",Compare!$B$8,IF(F27="CNY",Compare!$B$9,IF(F27="HKD",Compare!$B$10,1)))</f>
        <v/>
      </c>
      <c r="I27" s="114">
        <f>E27</f>
        <v/>
      </c>
      <c r="J27" s="91" t="n">
        <v>1</v>
      </c>
      <c r="K27" s="88">
        <f>I27*J27*IF(F27="USD",Compare!$B$8,IF(F27="CNY",Compare!$B$9,IF(F27="HKD",Compare!$B$10,1)))</f>
        <v/>
      </c>
      <c r="L27" s="90" t="inlineStr">
        <is>
          <t>¥1,500/team in the 2025 Shanghai invitation (shu_icpc); 2026 invitation not seen</t>
        </is>
      </c>
    </row>
    <row r="28" ht="15" customHeight="1" s="56">
      <c r="A28" s="79" t="inlineStr">
        <is>
          <t>Other</t>
        </is>
      </c>
      <c r="B28" s="80" t="n"/>
      <c r="C28" s="80" t="n"/>
      <c r="D28" s="80" t="n"/>
      <c r="E28" s="80" t="n"/>
      <c r="F28" s="80" t="n"/>
      <c r="G28" s="80" t="n"/>
      <c r="H28" s="80" t="n"/>
      <c r="I28" s="80" t="n"/>
      <c r="J28" s="80" t="n"/>
      <c r="K28" s="80" t="n"/>
      <c r="L28" s="80" t="n"/>
    </row>
    <row r="29" ht="15" customHeight="1" s="56">
      <c r="A29" s="81" t="n"/>
      <c r="B29" s="82" t="inlineStr">
        <is>
          <t>Taxi to/from Chinggis Khaan airport (UB), per trip</t>
        </is>
      </c>
      <c r="C29" s="83" t="inlineStr">
        <is>
          <t>out &amp; back</t>
        </is>
      </c>
      <c r="D29" s="84" t="n">
        <v>0.04166666666666666</v>
      </c>
      <c r="E29" s="92" t="n">
        <v>100000</v>
      </c>
      <c r="F29" s="86" t="inlineStr">
        <is>
          <t>MNT</t>
        </is>
      </c>
      <c r="G29" s="91" t="n">
        <v>2</v>
      </c>
      <c r="H29" s="88">
        <f>E29*G29*IF(F29="USD",Compare!$B$8,IF(F29="CNY",Compare!$B$9,IF(F29="HKD",Compare!$B$10,1)))</f>
        <v/>
      </c>
      <c r="I29" s="93">
        <f>E29</f>
        <v/>
      </c>
      <c r="J29" s="91" t="n">
        <v>2</v>
      </c>
      <c r="K29" s="88">
        <f>I29*J29*IF(F29="USD",Compare!$B$8,IF(F29="CNY",Compare!$B$9,IF(F29="HKD",Compare!$B$10,1)))</f>
        <v/>
      </c>
      <c r="L29" s="90" t="inlineStr">
        <is>
          <t>ASSUMPTION 100k MNT per trip for the group</t>
        </is>
      </c>
    </row>
    <row r="30" ht="15" customHeight="1" s="56">
      <c r="A30" s="81" t="n"/>
      <c r="B30" s="82" t="inlineStr">
        <is>
          <t>Travel medical insurance</t>
        </is>
      </c>
      <c r="C30" s="83" t="n"/>
      <c r="D30" s="81" t="n"/>
      <c r="E30" s="92" t="n">
        <v>30000</v>
      </c>
      <c r="F30" s="86" t="inlineStr">
        <is>
          <t>MNT</t>
        </is>
      </c>
      <c r="G30" s="87">
        <f>Compare!$B$6</f>
        <v/>
      </c>
      <c r="H30" s="88">
        <f>E30*G30*IF(F30="USD",Compare!$B$8,IF(F30="CNY",Compare!$B$9,IF(F30="HKD",Compare!$B$10,1)))</f>
        <v/>
      </c>
      <c r="I30" s="93">
        <f>E30</f>
        <v/>
      </c>
      <c r="J30" s="87">
        <f>Compare!$B$7</f>
        <v/>
      </c>
      <c r="K30" s="88">
        <f>I30*J30*IF(F30="USD",Compare!$B$8,IF(F30="CNY",Compare!$B$9,IF(F30="HKD",Compare!$B$10,1)))</f>
        <v/>
      </c>
      <c r="L30" s="90" t="inlineStr">
        <is>
          <t>ASSUMPTION ~30k MNT per person, Mongolian insurer</t>
        </is>
      </c>
    </row>
    <row r="31" ht="15" customHeight="1" s="56">
      <c r="A31" s="81" t="n"/>
      <c r="B31" s="82" t="inlineStr">
        <is>
          <t>Mobile data eSIM</t>
        </is>
      </c>
      <c r="C31" s="83" t="n"/>
      <c r="D31" s="81" t="n"/>
      <c r="E31" s="92" t="n">
        <v>10</v>
      </c>
      <c r="F31" s="86" t="inlineStr">
        <is>
          <t>USD</t>
        </is>
      </c>
      <c r="G31" s="87">
        <f>Compare!$B$6</f>
        <v/>
      </c>
      <c r="H31" s="88">
        <f>E31*G31*IF(F31="USD",Compare!$B$8,IF(F31="CNY",Compare!$B$9,IF(F31="HKD",Compare!$B$10,1)))</f>
        <v/>
      </c>
      <c r="I31" s="93">
        <f>E31</f>
        <v/>
      </c>
      <c r="J31" s="87">
        <f>Compare!$B$7</f>
        <v/>
      </c>
      <c r="K31" s="88">
        <f>I31*J31*IF(F31="USD",Compare!$B$8,IF(F31="CNY",Compare!$B$9,IF(F31="HKD",Compare!$B$10,1)))</f>
        <v/>
      </c>
      <c r="L31" s="90" t="inlineStr">
        <is>
          <t>ASSUMPTION ~$10 pp</t>
        </is>
      </c>
    </row>
    <row r="32" ht="22.35" customHeight="1" s="56">
      <c r="A32" s="81" t="n"/>
      <c r="B32" s="82" t="inlineStr">
        <is>
          <t>Visa</t>
        </is>
      </c>
      <c r="C32" s="83" t="n"/>
      <c r="D32" s="81" t="n"/>
      <c r="E32" s="85" t="n">
        <v>0</v>
      </c>
      <c r="F32" s="86" t="inlineStr">
        <is>
          <t>MNT</t>
        </is>
      </c>
      <c r="G32" s="87">
        <f>Compare!$B$6</f>
        <v/>
      </c>
      <c r="H32" s="88">
        <f>E32*G32*IF(F32="USD",Compare!$B$8,IF(F32="CNY",Compare!$B$9,IF(F32="HKD",Compare!$B$10,1)))</f>
        <v/>
      </c>
      <c r="I32" s="89">
        <f>E32</f>
        <v/>
      </c>
      <c r="J32" s="87">
        <f>Compare!$B$7</f>
        <v/>
      </c>
      <c r="K32" s="88">
        <f>I32*J32*IF(F32="USD",Compare!$B$8,IF(F32="CNY",Compare!$B$9,IF(F32="HKD",Compare!$B$10,1)))</f>
        <v/>
      </c>
      <c r="L32" s="90" t="inlineStr">
        <is>
          <t>Mongolian passports: visa-free (mainland China up to 30 days; Hong Kong up to 14 days)</t>
        </is>
      </c>
    </row>
    <row r="34" ht="15" customHeight="1" s="56">
      <c r="G34" s="60" t="n"/>
      <c r="H34" s="96" t="inlineStr">
        <is>
          <t>3 people – UNFUNDED</t>
        </is>
      </c>
      <c r="K34" s="96" t="inlineStr">
        <is>
          <t>4 people – FUNDED ₮12M</t>
        </is>
      </c>
    </row>
    <row r="35" ht="15" customHeight="1" s="56">
      <c r="G35" s="97" t="inlineStr">
        <is>
          <t>University-paid subtotal</t>
        </is>
      </c>
      <c r="H35" s="98">
        <f>SUM(H9:H24)</f>
        <v/>
      </c>
      <c r="K35" s="98">
        <f>SUM(K9:K24)</f>
        <v/>
      </c>
    </row>
    <row r="36" ht="15" customHeight="1" s="56">
      <c r="G36" s="99" t="inlineStr">
        <is>
          <t>Contingency</t>
        </is>
      </c>
      <c r="H36" s="100">
        <f>H35*Compare!$B$11</f>
        <v/>
      </c>
      <c r="K36" s="100">
        <f>K35*Compare!$B$11</f>
        <v/>
      </c>
    </row>
    <row r="37" ht="15" customHeight="1" s="56">
      <c r="G37" s="97" t="inlineStr">
        <is>
          <t>University-paid total incl. contingency</t>
        </is>
      </c>
      <c r="H37" s="98">
        <f>H35+H36</f>
        <v/>
      </c>
      <c r="K37" s="98">
        <f>K35+K36</f>
        <v/>
      </c>
    </row>
    <row r="38" ht="15" customHeight="1" s="56">
      <c r="G38" s="97" t="inlineStr">
        <is>
          <t>Funding left (negative = over)</t>
        </is>
      </c>
      <c r="H38" s="101">
        <f>Compare!$B$12-H37</f>
        <v/>
      </c>
      <c r="K38" s="101">
        <f>Compare!$B$5-K37</f>
        <v/>
      </c>
    </row>
    <row r="39" ht="15" customHeight="1" s="56">
      <c r="G39" s="97" t="inlineStr">
        <is>
          <t>Personal costs – team</t>
        </is>
      </c>
      <c r="H39" s="102">
        <f>SUM(H26:H32)</f>
        <v/>
      </c>
      <c r="K39" s="102">
        <f>SUM(K26:K32)</f>
        <v/>
      </c>
    </row>
    <row r="40" ht="15" customHeight="1" s="56">
      <c r="G40" s="97" t="inlineStr">
        <is>
          <t>Out-of-pocket per person (personal + any overrun)</t>
        </is>
      </c>
      <c r="H40" s="102">
        <f>(H39+MAX(0,-H38))/Compare!$B$6</f>
        <v/>
      </c>
      <c r="K40" s="102">
        <f>(K39+MAX(0,-K38))/Compare!$B$7</f>
        <v/>
      </c>
    </row>
    <row r="41" ht="15" customHeight="1" s="56">
      <c r="G41" s="97" t="inlineStr">
        <is>
          <t>Whole trip cost (university + personal)</t>
        </is>
      </c>
      <c r="H41" s="103">
        <f>H37+H39</f>
        <v/>
      </c>
      <c r="K41" s="103">
        <f>K37+K39</f>
        <v/>
      </c>
    </row>
    <row r="42" ht="15" customHeight="1" s="56">
      <c r="G42" s="99" t="inlineStr">
        <is>
          <t>Time in planes &amp; trains</t>
        </is>
      </c>
      <c r="H42" s="104">
        <f>D10+D11+D13+D14</f>
        <v/>
      </c>
      <c r="K42" s="104">
        <f>D10+D11+D13+D14</f>
        <v/>
      </c>
    </row>
    <row r="44" ht="15" customHeight="1" s="56">
      <c r="A44" s="72" t="inlineStr">
        <is>
          <t>Key facts</t>
        </is>
      </c>
    </row>
    <row r="45" ht="30" customHeight="1" s="56">
      <c r="A45" s="75" t="inlineStr">
        <is>
          <t>Contest</t>
        </is>
      </c>
      <c r="B45" s="74" t="inlineStr">
        <is>
          <t>Asia Shanghai Regional, 5–6 Dec 2026 (provisional), Shanghai University Baoshan campus (gym; metro line 7 Shangda Rd). 2025 pattern: day 1 registration 09:00–14:00, opening 14:00, warm-up 15:00–17:00; day 2 contest 09:00–14:00, awards 15:30–17:00.</t>
        </is>
      </c>
    </row>
    <row r="46" ht="15" customHeight="1" s="56">
      <c r="A46" s="75" t="inlineStr">
        <is>
          <t>Wildcard</t>
        </is>
      </c>
      <c r="B46" s="74" t="inlineStr">
        <is>
          <t>A Mongolian team needs a wildcard (外卡): email shu_icpc@163.com. The first round closed on 17 Oct in 2025 – ask now.</t>
        </is>
      </c>
    </row>
    <row r="47" ht="15" customHeight="1" s="56">
      <c r="A47" s="75" t="inlineStr">
        <is>
          <t>Why this plan</t>
        </is>
      </c>
      <c r="B47" s="74" t="inlineStr">
        <is>
          <t>Sleeps in a bed both nights and arrives in Beijing at 23:49 with time to rest before the 12:55 flight.</t>
        </is>
      </c>
    </row>
    <row r="48" ht="15" customHeight="1" s="56">
      <c r="A48" s="75" t="inlineStr">
        <is>
          <t>Trade-off</t>
        </is>
      </c>
      <c r="B48" s="74" t="inlineStr">
        <is>
          <t>A Beijing hotel night (¥300) and a dearer day train (¥598 vs ¥361 seat) – about ₮0.63M more than the sleeper plan (3 ppl).</t>
        </is>
      </c>
    </row>
    <row r="50" ht="15" customHeight="1" s="56">
      <c r="A50" s="72" t="inlineStr">
        <is>
          <t>Day-by-day plan</t>
        </is>
      </c>
    </row>
    <row r="51" ht="15" customHeight="1" s="56">
      <c r="A51" s="96" t="inlineStr">
        <is>
          <t>Date</t>
        </is>
      </c>
      <c r="B51" s="96" t="inlineStr">
        <is>
          <t>Sleep in</t>
        </is>
      </c>
      <c r="C51" s="96" t="inlineStr">
        <is>
          <t>What happens</t>
        </is>
      </c>
    </row>
    <row r="52" ht="15" customHeight="1" s="56">
      <c r="A52" s="74" t="inlineStr">
        <is>
          <t>Thu 3 Dec</t>
        </is>
      </c>
      <c r="B52" s="74" t="inlineStr">
        <is>
          <t>Shanghai</t>
        </is>
      </c>
      <c r="C52" s="74" t="inlineStr">
        <is>
          <t>MIAT OM223 UB 07:30 → Beijing 09:45; taxi to Beijing South; G17 13:00 → Shanghai 17:35; taxi to Hi Inn (Hutai Road).</t>
        </is>
      </c>
    </row>
    <row r="53" ht="15" customHeight="1" s="56">
      <c r="A53" s="74" t="inlineStr">
        <is>
          <t>Fri 4 Dec</t>
        </is>
      </c>
      <c r="B53" s="74" t="inlineStr">
        <is>
          <t>Shanghai</t>
        </is>
      </c>
      <c r="C53" s="74" t="inlineStr">
        <is>
          <t>Rest / practice day.</t>
        </is>
      </c>
    </row>
    <row r="54" ht="15" customHeight="1" s="56">
      <c r="A54" s="74" t="inlineStr">
        <is>
          <t>Sat 5 Dec</t>
        </is>
      </c>
      <c r="B54" s="74" t="inlineStr">
        <is>
          <t>Shanghai</t>
        </is>
      </c>
      <c r="C54" s="74" t="inlineStr">
        <is>
          <t>Registration (09:00–14:00), opening 14:00, warm-up 15:00–17:00 at Shanghai University Baoshan (2025 pattern).</t>
        </is>
      </c>
    </row>
    <row r="55" ht="15" customHeight="1" s="56">
      <c r="A55" s="74" t="inlineStr">
        <is>
          <t>Sun 6 Dec</t>
        </is>
      </c>
      <c r="B55" s="74" t="inlineStr">
        <is>
          <t>Beijing</t>
        </is>
      </c>
      <c r="C55" s="74" t="inlineStr">
        <is>
          <t>SHANGHAI REGIONAL contest day 09:00–14:00; awards ~15:30–17:00. Taxi to Hongqiao; G32 19:25 → Beijing South 23:49; hotel.</t>
        </is>
      </c>
    </row>
    <row r="56" ht="15" customHeight="1" s="56">
      <c r="A56" s="74" t="inlineStr">
        <is>
          <t>Mon 7 Dec</t>
        </is>
      </c>
      <c r="B56" s="74" t="inlineStr">
        <is>
          <t>Home</t>
        </is>
      </c>
      <c r="C56" s="74" t="inlineStr">
        <is>
          <t>Taxi to PEK (leave ~09:30). Air China CA955 12:55 → UB 15:05.</t>
        </is>
      </c>
    </row>
    <row r="58" ht="15" customHeight="1" s="56">
      <c r="A58" s="72" t="inlineStr">
        <is>
          <t>Door-to-door travel times</t>
        </is>
      </c>
    </row>
    <row r="59" ht="15" customHeight="1" s="56">
      <c r="A59" s="96" t="inlineStr">
        <is>
          <t>Date</t>
        </is>
      </c>
      <c r="B59" s="96" t="inlineStr">
        <is>
          <t>Leg</t>
        </is>
      </c>
      <c r="C59" s="96" t="inlineStr">
        <is>
          <t>Mode</t>
        </is>
      </c>
      <c r="D59" s="96" t="inlineStr">
        <is>
          <t>Expected time</t>
        </is>
      </c>
      <c r="E59" s="96" t="inlineStr">
        <is>
          <t>Notes</t>
        </is>
      </c>
    </row>
    <row r="60" ht="15" customHeight="1" s="56">
      <c r="A60" s="105" t="inlineStr">
        <is>
          <t>3 Dec</t>
        </is>
      </c>
      <c r="B60" s="105" t="inlineStr">
        <is>
          <t>Home → Chinggis Khaan airport</t>
        </is>
      </c>
      <c r="C60" s="82" t="inlineStr">
        <is>
          <t>Taxi (~50 km)</t>
        </is>
      </c>
      <c r="D60" s="104" t="n">
        <v>0.04166666666666666</v>
      </c>
      <c r="E60" s="106" t="inlineStr">
        <is>
          <t>Leave ~04:30 for 07:30 flight</t>
        </is>
      </c>
      <c r="F60" s="107" t="n"/>
      <c r="G60" s="107" t="n"/>
      <c r="H60" s="107" t="n"/>
      <c r="I60" s="107" t="n"/>
      <c r="J60" s="107" t="n"/>
      <c r="K60" s="107" t="n"/>
      <c r="L60" s="107" t="n"/>
    </row>
    <row r="61" ht="15" customHeight="1" s="56">
      <c r="A61" s="105" t="inlineStr">
        <is>
          <t>3 Dec</t>
        </is>
      </c>
      <c r="B61" s="105" t="inlineStr">
        <is>
          <t>Ulaanbaatar → Beijing (PEK)</t>
        </is>
      </c>
      <c r="C61" s="82" t="inlineStr">
        <is>
          <t>MIAT OM223 07:30–09:45</t>
        </is>
      </c>
      <c r="D61" s="104" t="n">
        <v>0.09375</v>
      </c>
      <c r="E61" s="106" t="inlineStr"/>
      <c r="F61" s="107" t="n"/>
      <c r="G61" s="107" t="n"/>
      <c r="H61" s="107" t="n"/>
      <c r="I61" s="107" t="n"/>
      <c r="J61" s="107" t="n"/>
      <c r="K61" s="107" t="n"/>
      <c r="L61" s="107" t="n"/>
    </row>
    <row r="62" ht="15" customHeight="1" s="56">
      <c r="A62" s="105" t="inlineStr">
        <is>
          <t>3 Dec</t>
        </is>
      </c>
      <c r="B62" s="105" t="inlineStr">
        <is>
          <t>PEK arrival: immigration, bags</t>
        </is>
      </c>
      <c r="C62" s="82" t="inlineStr">
        <is>
          <t>—</t>
        </is>
      </c>
      <c r="D62" s="104" t="n">
        <v>0.03125</v>
      </c>
      <c r="E62" s="106" t="inlineStr">
        <is>
          <t>Estimate</t>
        </is>
      </c>
      <c r="F62" s="107" t="n"/>
      <c r="G62" s="107" t="n"/>
      <c r="H62" s="107" t="n"/>
      <c r="I62" s="107" t="n"/>
      <c r="J62" s="107" t="n"/>
      <c r="K62" s="107" t="n"/>
      <c r="L62" s="107" t="n"/>
    </row>
    <row r="63" ht="15" customHeight="1" s="56">
      <c r="A63" s="105" t="inlineStr">
        <is>
          <t>3 Dec</t>
        </is>
      </c>
      <c r="B63" s="105" t="inlineStr">
        <is>
          <t>PEK → Beijing South</t>
        </is>
      </c>
      <c r="C63" s="82" t="inlineStr">
        <is>
          <t>Taxi / Airport Express + metro</t>
        </is>
      </c>
      <c r="D63" s="104" t="n">
        <v>0.04166666666666666</v>
      </c>
      <c r="E63" s="106" t="inlineStr">
        <is>
          <t>Estimate; arrive by ~12:00</t>
        </is>
      </c>
      <c r="F63" s="107" t="n"/>
      <c r="G63" s="107" t="n"/>
      <c r="H63" s="107" t="n"/>
      <c r="I63" s="107" t="n"/>
      <c r="J63" s="107" t="n"/>
      <c r="K63" s="107" t="n"/>
      <c r="L63" s="107" t="n"/>
    </row>
    <row r="64" ht="15" customHeight="1" s="56">
      <c r="A64" s="105" t="inlineStr">
        <is>
          <t>3 Dec</t>
        </is>
      </c>
      <c r="B64" s="105" t="inlineStr">
        <is>
          <t>Beijing South → Shanghai</t>
        </is>
      </c>
      <c r="C64" s="82" t="inlineStr">
        <is>
          <t>G17 13:00–17:35</t>
        </is>
      </c>
      <c r="D64" s="104" t="n">
        <v>0.1909722222222222</v>
      </c>
      <c r="E64" s="106" t="inlineStr"/>
      <c r="F64" s="107" t="n"/>
      <c r="G64" s="107" t="n"/>
      <c r="H64" s="107" t="n"/>
      <c r="I64" s="107" t="n"/>
      <c r="J64" s="107" t="n"/>
      <c r="K64" s="107" t="n"/>
      <c r="L64" s="107" t="n"/>
    </row>
    <row r="65" ht="15" customHeight="1" s="56">
      <c r="A65" s="105" t="inlineStr">
        <is>
          <t>3 Dec</t>
        </is>
      </c>
      <c r="B65" s="105" t="inlineStr">
        <is>
          <t>Shanghai station → hotel (Baoshan)</t>
        </is>
      </c>
      <c r="C65" s="82" t="inlineStr">
        <is>
          <t>Taxi / metro</t>
        </is>
      </c>
      <c r="D65" s="104" t="n">
        <v>0.03472222222222222</v>
      </c>
      <c r="E65" s="106" t="inlineStr">
        <is>
          <t>Estimate</t>
        </is>
      </c>
      <c r="F65" s="107" t="n"/>
      <c r="G65" s="107" t="n"/>
      <c r="H65" s="107" t="n"/>
      <c r="I65" s="107" t="n"/>
      <c r="J65" s="107" t="n"/>
      <c r="K65" s="107" t="n"/>
      <c r="L65" s="107" t="n"/>
    </row>
    <row r="66" ht="15" customHeight="1" s="56">
      <c r="A66" s="105" t="inlineStr">
        <is>
          <t>5–6 Dec</t>
        </is>
      </c>
      <c r="B66" s="105" t="inlineStr">
        <is>
          <t>Hotel ↔ Shanghai University Baoshan (each way)</t>
        </is>
      </c>
      <c r="C66" s="82" t="inlineStr">
        <is>
          <t>Walk</t>
        </is>
      </c>
      <c r="D66" s="104" t="inlineStr">
        <is>
          <t>daily</t>
        </is>
      </c>
      <c r="E66" s="106" t="inlineStr">
        <is>
          <t>~25 min walk (Hi Inn 1.8 km) or a ¥15 taxi</t>
        </is>
      </c>
      <c r="F66" s="107" t="n"/>
      <c r="G66" s="107" t="n"/>
      <c r="H66" s="107" t="n"/>
      <c r="I66" s="107" t="n"/>
      <c r="J66" s="107" t="n"/>
      <c r="K66" s="107" t="n"/>
      <c r="L66" s="107" t="n"/>
    </row>
    <row r="67" ht="15" customHeight="1" s="56">
      <c r="A67" s="105" t="inlineStr">
        <is>
          <t>6 Dec</t>
        </is>
      </c>
      <c r="B67" s="105" t="inlineStr">
        <is>
          <t>Campus → Shanghai Hongqiao</t>
        </is>
      </c>
      <c r="C67" s="82" t="inlineStr">
        <is>
          <t>Taxi / metro</t>
        </is>
      </c>
      <c r="D67" s="104" t="n">
        <v>0.04166666666666666</v>
      </c>
      <c r="E67" s="106" t="inlineStr">
        <is>
          <t>Leave ~17:30 for the 19:25 train</t>
        </is>
      </c>
      <c r="F67" s="107" t="n"/>
      <c r="G67" s="107" t="n"/>
      <c r="H67" s="107" t="n"/>
      <c r="I67" s="107" t="n"/>
      <c r="J67" s="107" t="n"/>
      <c r="K67" s="107" t="n"/>
      <c r="L67" s="107" t="n"/>
    </row>
    <row r="68" ht="15" customHeight="1" s="56">
      <c r="A68" s="105" t="inlineStr">
        <is>
          <t>6 Dec</t>
        </is>
      </c>
      <c r="B68" s="105" t="inlineStr">
        <is>
          <t>Hongqiao → Beijing South</t>
        </is>
      </c>
      <c r="C68" s="82" t="inlineStr">
        <is>
          <t>G32 19:25–23:49</t>
        </is>
      </c>
      <c r="D68" s="104" t="n">
        <v>0.1833333333333333</v>
      </c>
      <c r="E68" s="106" t="inlineStr"/>
      <c r="F68" s="107" t="n"/>
      <c r="G68" s="107" t="n"/>
      <c r="H68" s="107" t="n"/>
      <c r="I68" s="107" t="n"/>
      <c r="J68" s="107" t="n"/>
      <c r="K68" s="107" t="n"/>
      <c r="L68" s="107" t="n"/>
    </row>
    <row r="69" ht="15" customHeight="1" s="56">
      <c r="A69" s="105" t="inlineStr">
        <is>
          <t>6 Dec</t>
        </is>
      </c>
      <c r="B69" s="105" t="inlineStr">
        <is>
          <t>Beijing South → hotel</t>
        </is>
      </c>
      <c r="C69" s="82" t="inlineStr">
        <is>
          <t>Walk / taxi</t>
        </is>
      </c>
      <c r="D69" s="104" t="n">
        <v>0.01041666666666667</v>
      </c>
      <c r="E69" s="106" t="inlineStr">
        <is>
          <t>Estimate</t>
        </is>
      </c>
      <c r="F69" s="107" t="n"/>
      <c r="G69" s="107" t="n"/>
      <c r="H69" s="107" t="n"/>
      <c r="I69" s="107" t="n"/>
      <c r="J69" s="107" t="n"/>
      <c r="K69" s="107" t="n"/>
      <c r="L69" s="107" t="n"/>
    </row>
    <row r="70" ht="15" customHeight="1" s="56">
      <c r="A70" s="105" t="inlineStr">
        <is>
          <t>7 Dec</t>
        </is>
      </c>
      <c r="B70" s="105" t="inlineStr">
        <is>
          <t>Hotel → PEK</t>
        </is>
      </c>
      <c r="C70" s="82" t="inlineStr">
        <is>
          <t>Taxi</t>
        </is>
      </c>
      <c r="D70" s="104" t="n">
        <v>0.04166666666666666</v>
      </c>
      <c r="E70" s="106" t="inlineStr">
        <is>
          <t>Be at PEK by ~10:55</t>
        </is>
      </c>
      <c r="F70" s="107" t="n"/>
      <c r="G70" s="107" t="n"/>
      <c r="H70" s="107" t="n"/>
      <c r="I70" s="107" t="n"/>
      <c r="J70" s="107" t="n"/>
      <c r="K70" s="107" t="n"/>
      <c r="L70" s="107" t="n"/>
    </row>
    <row r="71" ht="15" customHeight="1" s="56">
      <c r="A71" s="105" t="inlineStr">
        <is>
          <t>7 Dec</t>
        </is>
      </c>
      <c r="B71" s="105" t="inlineStr">
        <is>
          <t>Beijing (PEK) → Ulaanbaatar</t>
        </is>
      </c>
      <c r="C71" s="82" t="inlineStr">
        <is>
          <t>Air China CA955 12:55–15:05</t>
        </is>
      </c>
      <c r="D71" s="104" t="n">
        <v>0.09027777777777778</v>
      </c>
      <c r="E71" s="106" t="inlineStr"/>
      <c r="F71" s="107" t="n"/>
      <c r="G71" s="107" t="n"/>
      <c r="H71" s="107" t="n"/>
      <c r="I71" s="107" t="n"/>
      <c r="J71" s="107" t="n"/>
      <c r="K71" s="107" t="n"/>
      <c r="L71" s="107" t="n"/>
    </row>
    <row r="72" ht="15" customHeight="1" s="56">
      <c r="A72" s="105" t="inlineStr">
        <is>
          <t>7 Dec</t>
        </is>
      </c>
      <c r="B72" s="105" t="inlineStr">
        <is>
          <t>Chinggis Khaan airport → home</t>
        </is>
      </c>
      <c r="C72" s="82" t="inlineStr">
        <is>
          <t>Taxi</t>
        </is>
      </c>
      <c r="D72" s="104" t="n">
        <v>0.04166666666666666</v>
      </c>
      <c r="E72" s="106" t="inlineStr"/>
      <c r="F72" s="107" t="n"/>
      <c r="G72" s="107" t="n"/>
      <c r="H72" s="107" t="n"/>
      <c r="I72" s="107" t="n"/>
      <c r="J72" s="107" t="n"/>
      <c r="K72" s="107" t="n"/>
      <c r="L72" s="107" t="n"/>
    </row>
    <row r="74" ht="15" customHeight="1" s="56">
      <c r="C74" s="59" t="inlineStr">
        <is>
          <t>Total door-to-door</t>
        </is>
      </c>
      <c r="D74" s="109">
        <f>SUM(D60:D72)</f>
        <v/>
      </c>
    </row>
  </sheetData>
  <mergeCells count="22">
    <mergeCell ref="C52:L52"/>
    <mergeCell ref="E68:L68"/>
    <mergeCell ref="E71:L71"/>
    <mergeCell ref="B47:L47"/>
    <mergeCell ref="E62:L62"/>
    <mergeCell ref="B46:L46"/>
    <mergeCell ref="E67:L67"/>
    <mergeCell ref="C53:L53"/>
    <mergeCell ref="E64:L64"/>
    <mergeCell ref="B48:L48"/>
    <mergeCell ref="E63:L63"/>
    <mergeCell ref="E60:L60"/>
    <mergeCell ref="E69:L69"/>
    <mergeCell ref="E65:L65"/>
    <mergeCell ref="C54:L54"/>
    <mergeCell ref="E70:L70"/>
    <mergeCell ref="E61:L61"/>
    <mergeCell ref="C55:L55"/>
    <mergeCell ref="C56:L56"/>
    <mergeCell ref="E72:L72"/>
    <mergeCell ref="E66:L66"/>
    <mergeCell ref="B45:L45"/>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70"/>
  <sheetViews>
    <sheetView workbookViewId="0">
      <pane xSplit="2" ySplit="7" topLeftCell="C8" activePane="bottomRight" state="frozen"/>
      <selection pane="topRight" activeCell="A1" sqref="A1"/>
      <selection pane="bottomLeft" activeCell="A1" sqref="A1"/>
      <selection pane="bottomRight" activeCell="A1" sqref="A1"/>
    </sheetView>
  </sheetViews>
  <sheetFormatPr baseColWidth="8" defaultRowHeight="15"/>
  <cols>
    <col width="26" customWidth="1" style="56" min="1" max="1"/>
    <col width="52" customWidth="1" style="56" min="2" max="2"/>
    <col width="20" customWidth="1" style="56" min="3" max="3"/>
    <col width="15" customWidth="1" style="56" min="4" max="4"/>
    <col width="13" customWidth="1" style="56" min="5" max="5"/>
    <col width="9" customWidth="1" style="56" min="6" max="6"/>
    <col width="17" customWidth="1" style="56" min="8" max="8"/>
    <col width="13" customWidth="1" style="56" min="9" max="9"/>
    <col width="9" customWidth="1" style="56" min="10" max="10"/>
    <col width="17" customWidth="1" style="56" min="11" max="11"/>
    <col width="58" customWidth="1" style="56" min="12" max="12"/>
  </cols>
  <sheetData>
    <row r="1" ht="17.35" customHeight="1" s="56">
      <c r="A1" s="57" t="inlineStr">
        <is>
          <t>Nanchang – Sleeper</t>
        </is>
      </c>
    </row>
    <row r="2" ht="15" customHeight="1" s="56">
      <c r="A2" s="62" t="inlineStr">
        <is>
          <t>Air China to Beijing in the afternoon, Z111 hard sleeper to Nanchang (arrive 11:52 on 18 Dec), D136 seat back after the closing, Air China home on 21 Dec.</t>
        </is>
      </c>
    </row>
    <row r="4" ht="15" customHeight="1" s="56">
      <c r="A4" s="60" t="inlineStr">
        <is>
          <t>Days in destination (meals &amp; local transport)</t>
        </is>
      </c>
      <c r="B4" s="76" t="n">
        <v>3.5</v>
      </c>
      <c r="C4" s="62" t="inlineStr">
        <is>
          <t>17 Dec evening → morning 21 Dec</t>
        </is>
      </c>
    </row>
    <row r="5" ht="15" customHeight="1" s="56">
      <c r="A5" s="62" t="inlineStr">
        <is>
          <t>Shared inputs are on the Compare sheet. Scroll down for the day-by-day plan and door-to-door travel times.</t>
        </is>
      </c>
    </row>
    <row r="7" ht="31.5" customHeight="1" s="56">
      <c r="A7" s="66" t="inlineStr">
        <is>
          <t>Category</t>
        </is>
      </c>
      <c r="B7" s="66" t="inlineStr">
        <is>
          <t>Item</t>
        </is>
      </c>
      <c r="C7" s="66" t="inlineStr">
        <is>
          <t>Date</t>
        </is>
      </c>
      <c r="D7" s="66" t="inlineStr">
        <is>
          <t>Travel time</t>
        </is>
      </c>
      <c r="E7" s="66" t="inlineStr">
        <is>
          <t>Unit cost (3 ppl)</t>
        </is>
      </c>
      <c r="F7" s="66" t="inlineStr">
        <is>
          <t>Currency</t>
        </is>
      </c>
      <c r="G7" s="66" t="inlineStr">
        <is>
          <t>Qty (3 ppl)</t>
        </is>
      </c>
      <c r="H7" s="66" t="inlineStr">
        <is>
          <t>Total MNT – 3 people</t>
        </is>
      </c>
      <c r="I7" s="66" t="inlineStr">
        <is>
          <t>Unit cost (4 ppl)</t>
        </is>
      </c>
      <c r="J7" s="66" t="inlineStr">
        <is>
          <t>Qty (4 ppl)</t>
        </is>
      </c>
      <c r="K7" s="66" t="inlineStr">
        <is>
          <t>Total MNT – 4 people</t>
        </is>
      </c>
      <c r="L7" s="66" t="inlineStr">
        <is>
          <t>Source / notes</t>
        </is>
      </c>
    </row>
    <row r="8" ht="15" customHeight="1" s="56">
      <c r="A8" s="77" t="inlineStr">
        <is>
          <t>PAID BY UNIVERSITY</t>
        </is>
      </c>
      <c r="B8" s="78" t="n"/>
      <c r="C8" s="78" t="n"/>
      <c r="D8" s="78" t="n"/>
      <c r="E8" s="78" t="n"/>
      <c r="F8" s="78" t="n"/>
      <c r="G8" s="78" t="n"/>
      <c r="H8" s="78" t="n"/>
      <c r="I8" s="78" t="n"/>
      <c r="J8" s="78" t="n"/>
      <c r="K8" s="78" t="n"/>
      <c r="L8" s="78" t="n"/>
    </row>
    <row r="9" ht="15" customHeight="1" s="56">
      <c r="A9" s="79" t="inlineStr">
        <is>
          <t>Flights</t>
        </is>
      </c>
      <c r="B9" s="80" t="n"/>
      <c r="C9" s="80" t="n"/>
      <c r="D9" s="80" t="n"/>
      <c r="E9" s="80" t="n"/>
      <c r="F9" s="80" t="n"/>
      <c r="G9" s="80" t="n"/>
      <c r="H9" s="80" t="n"/>
      <c r="I9" s="80" t="n"/>
      <c r="J9" s="80" t="n"/>
      <c r="K9" s="80" t="n"/>
      <c r="L9" s="80" t="n"/>
    </row>
    <row r="10" ht="60" customHeight="1" s="56">
      <c r="A10" s="81" t="n"/>
      <c r="B10" s="111" t="inlineStr">
        <is>
          <t>Air China CA956 Ulaanbaatar → Beijing (PEK), nonstop 16:10–18:20</t>
        </is>
      </c>
      <c r="C10" s="83" t="inlineStr">
        <is>
          <t>17 Dec</t>
        </is>
      </c>
      <c r="D10" s="84" t="n">
        <v>0.09027777777777778</v>
      </c>
      <c r="E10" s="85" t="n">
        <v>157</v>
      </c>
      <c r="F10" s="86" t="inlineStr">
        <is>
          <t>USD</t>
        </is>
      </c>
      <c r="G10" s="87">
        <f>Compare!$B$6</f>
        <v/>
      </c>
      <c r="H10" s="88">
        <f>E10*G10*IF(F10="USD",Compare!$B$8,IF(F10="CNY",Compare!$B$9,IF(F10="HKD",Compare!$B$10,1)))</f>
        <v/>
      </c>
      <c r="I10" s="89">
        <f>E10</f>
        <v/>
      </c>
      <c r="J10" s="87">
        <f>Compare!$B$7</f>
        <v/>
      </c>
      <c r="K10" s="88">
        <f>I10*J10*IF(F10="USD",Compare!$B$8,IF(F10="CNY",Compare!$B$9,IF(F10="HKD",Compare!$B$10,1)))</f>
        <v/>
      </c>
      <c r="L10" s="112" t="inlineStr">
        <is>
          <t>Trip.com 10 Oct (built-in browser): Air China CA956 16:10–18:20 $157 pp = cheapest on the day; MIAT 07:30 $193; Air China 11:50 $363. SlickTrip does not price this Air China flight</t>
        </is>
      </c>
    </row>
    <row r="11" ht="45" customHeight="1" s="56">
      <c r="A11" s="81" t="n"/>
      <c r="B11" s="111" t="inlineStr">
        <is>
          <t>Air China CA955 Beijing (PEK) → Ulaanbaatar, nonstop 12:55–15:05</t>
        </is>
      </c>
      <c r="C11" s="83" t="inlineStr">
        <is>
          <t>21 Dec</t>
        </is>
      </c>
      <c r="D11" s="84" t="n">
        <v>0.09027777777777778</v>
      </c>
      <c r="E11" s="85" t="n">
        <v>172</v>
      </c>
      <c r="F11" s="86" t="inlineStr">
        <is>
          <t>USD</t>
        </is>
      </c>
      <c r="G11" s="87">
        <f>Compare!$B$6</f>
        <v/>
      </c>
      <c r="H11" s="88">
        <f>E11*G11*IF(F11="USD",Compare!$B$8,IF(F11="CNY",Compare!$B$9,IF(F11="HKD",Compare!$B$10,1)))</f>
        <v/>
      </c>
      <c r="I11" s="89">
        <f>E11</f>
        <v/>
      </c>
      <c r="J11" s="87">
        <f>Compare!$B$7</f>
        <v/>
      </c>
      <c r="K11" s="88">
        <f>I11*J11*IF(F11="USD",Compare!$B$8,IF(F11="CNY",Compare!$B$9,IF(F11="HKD",Compare!$B$10,1)))</f>
        <v/>
      </c>
      <c r="L11" s="112" t="inlineStr">
        <is>
          <t>Trip.com 10 Oct: Air China 12:55 $172 pp (08:25 also $172); MIAT 11:30 $193 (SlickTrip $224). The 12:55 departure leaves ~3 h after the sleeper arrives at Fengtai (07:31)</t>
        </is>
      </c>
    </row>
    <row r="12" ht="15" customHeight="1" s="56">
      <c r="A12" s="79" t="inlineStr">
        <is>
          <t>Trains</t>
        </is>
      </c>
      <c r="B12" s="80" t="n"/>
      <c r="C12" s="80" t="n"/>
      <c r="D12" s="80" t="n"/>
      <c r="E12" s="80" t="n"/>
      <c r="F12" s="80" t="n"/>
      <c r="G12" s="80" t="n"/>
      <c r="H12" s="80" t="n"/>
      <c r="I12" s="80" t="n"/>
      <c r="J12" s="80" t="n"/>
      <c r="K12" s="80" t="n"/>
      <c r="L12" s="80" t="n"/>
    </row>
    <row r="13" ht="90" customHeight="1" s="56">
      <c r="A13" s="81" t="n"/>
      <c r="B13" s="111" t="inlineStr">
        <is>
          <t>Overnight train Z111 Beijing Fengtai 23:06 → Nanchang 11:52 (+1), hard sleeper (6-berth)</t>
        </is>
      </c>
      <c r="C13" s="83" t="inlineStr">
        <is>
          <t>17 Dec (night)</t>
        </is>
      </c>
      <c r="D13" s="84" t="n">
        <v>0.5319444444444444</v>
      </c>
      <c r="E13" s="85" t="n">
        <v>296.5</v>
      </c>
      <c r="F13" s="86" t="inlineStr">
        <is>
          <t>CNY</t>
        </is>
      </c>
      <c r="G13" s="87">
        <f>Compare!$B$6</f>
        <v/>
      </c>
      <c r="H13" s="88">
        <f>E13*G13*IF(F13="USD",Compare!$B$8,IF(F13="CNY",Compare!$B$9,IF(F13="HKD",Compare!$B$10,1)))</f>
        <v/>
      </c>
      <c r="I13" s="89">
        <f>E13</f>
        <v/>
      </c>
      <c r="J13" s="87">
        <f>Compare!$B$7</f>
        <v/>
      </c>
      <c r="K13" s="88">
        <f>I13*J13*IF(F13="USD",Compare!$B$8,IF(F13="CNY",Compare!$B$9,IF(F13="HKD",Compare!$B$10,1)))</f>
        <v/>
      </c>
      <c r="L13" s="112" t="inlineStr">
        <is>
          <t>12306 10 Oct (fares for the 20 Oct train): Z111 hard sleeper ¥296.5, soft ¥464.5, seat ¥173.5. ChinaTicketOnline lists Z111 on 17 Dec ($50 + $9.5 fee ≈ ¥317), sales open 3 Dec 08:00. Backup: K105 Beijing West 23:31 → 16:00 hard sleeper ¥304.5; or MIAT 07:30 ($193) + D135 Fengtai 19:48 → 07:49 sleeper ¥382</t>
        </is>
      </c>
    </row>
    <row r="14" ht="75" customHeight="1" s="56">
      <c r="A14" s="81" t="n"/>
      <c r="B14" s="111" t="inlineStr">
        <is>
          <t>Overnight train D136 Nanchang 19:22 → Beijing Fengtai 07:31 (+1), 2nd-class seat (after the contest)</t>
        </is>
      </c>
      <c r="C14" s="83" t="inlineStr">
        <is>
          <t>20 Dec (night)</t>
        </is>
      </c>
      <c r="D14" s="84" t="n">
        <v>0.50625</v>
      </c>
      <c r="E14" s="85" t="n">
        <v>271</v>
      </c>
      <c r="F14" s="86" t="inlineStr">
        <is>
          <t>CNY</t>
        </is>
      </c>
      <c r="G14" s="87">
        <f>Compare!$B$6</f>
        <v/>
      </c>
      <c r="H14" s="88">
        <f>E14*G14*IF(F14="USD",Compare!$B$8,IF(F14="CNY",Compare!$B$9,IF(F14="HKD",Compare!$B$10,1)))</f>
        <v/>
      </c>
      <c r="I14" s="89">
        <f>E14</f>
        <v/>
      </c>
      <c r="J14" s="87">
        <f>Compare!$B$7</f>
        <v/>
      </c>
      <c r="K14" s="88">
        <f>I14*J14*IF(F14="USD",Compare!$B$8,IF(F14="CNY",Compare!$B$9,IF(F14="HKD",Compare!$B$10,1)))</f>
        <v/>
      </c>
      <c r="L14" s="112" t="inlineStr">
        <is>
          <t>12306 10 Oct (fares for the 20 Oct train): D136 2nd-class seat ¥271 (sleeper ¥382, saves ¥111 pp); D138 19:38 → 07:38 ¥271, D140 Nanchang West 19:18 → 07:25 ¥307, D134 Nanchang West 20:58 → 09:01 ¥273. Cheapest: Z182 20:01 → 08:46 hard seat. After the contest sleep no longer matters. ChinaTicketOnline lists D136 on 20 Dec, sales open 6 Dec 09:45</t>
        </is>
      </c>
    </row>
    <row r="15" ht="15" customHeight="1" s="56">
      <c r="A15" s="79" t="inlineStr">
        <is>
          <t>Accommodation</t>
        </is>
      </c>
      <c r="B15" s="80" t="n"/>
      <c r="C15" s="80" t="n"/>
      <c r="D15" s="80" t="n"/>
      <c r="E15" s="80" t="n"/>
      <c r="F15" s="80" t="n"/>
      <c r="G15" s="80" t="n"/>
      <c r="H15" s="80" t="n"/>
      <c r="I15" s="80" t="n"/>
      <c r="J15" s="80" t="n"/>
      <c r="K15" s="80" t="n"/>
      <c r="L15" s="80" t="n"/>
    </row>
    <row r="16" ht="75" customHeight="1" s="56">
      <c r="A16" s="81" t="n"/>
      <c r="B16" s="111" t="inlineStr">
        <is>
          <t>Orange Hotel (Nanchang Yaohu West Subway Station, Normal University branch; ~0.7 km to JXNU; 3 ppl 1 room; 4 ppl Family Room)</t>
        </is>
      </c>
      <c r="C16" s="83" t="inlineStr">
        <is>
          <t>18–20 Dec (2 nights)</t>
        </is>
      </c>
      <c r="D16" s="81" t="n"/>
      <c r="E16" s="85" t="n">
        <v>396</v>
      </c>
      <c r="F16" s="86" t="inlineStr">
        <is>
          <t>CNY</t>
        </is>
      </c>
      <c r="G16" s="91" t="n">
        <v>2</v>
      </c>
      <c r="H16" s="88">
        <f>E16*G16*IF(F16="USD",Compare!$B$8,IF(F16="CNY",Compare!$B$9,IF(F16="HKD",Compare!$B$10,1)))</f>
        <v/>
      </c>
      <c r="I16" s="85" t="n">
        <v>414</v>
      </c>
      <c r="J16" s="91" t="n">
        <v>2</v>
      </c>
      <c r="K16" s="88">
        <f>I16*J16*IF(F16="USD",Compare!$B$8,IF(F16="CNY",Compare!$B$9,IF(F16="HKD",Compare!$B$10,1)))</f>
        <v/>
      </c>
      <c r="L16" s="112" t="inlineStr">
        <is>
          <t>Trip.com 10 Oct: ¥792 (3 adults) / ¥828 (4 adults, Deluxe Family Room) for 2 nights; rated 9.6 (662 reviews). Other near-campus options: Lavande Aixi Lake (9.4, 1.3 km) ¥1,216; Xana Hotel Taizidian Station (9.0) ¥1,358/3 nights; Meimei Apartment (6.8) ¥105/night</t>
        </is>
      </c>
    </row>
    <row r="17" ht="15" customHeight="1" s="56">
      <c r="A17" s="79" t="inlineStr">
        <is>
          <t>Meals &amp; local transport</t>
        </is>
      </c>
      <c r="B17" s="80" t="n"/>
      <c r="C17" s="80" t="n"/>
      <c r="D17" s="80" t="n"/>
      <c r="E17" s="80" t="n"/>
      <c r="F17" s="80" t="n"/>
      <c r="G17" s="80" t="n"/>
      <c r="H17" s="80" t="n"/>
      <c r="I17" s="80" t="n"/>
      <c r="J17" s="80" t="n"/>
      <c r="K17" s="80" t="n"/>
      <c r="L17" s="80" t="n"/>
    </row>
    <row r="18" ht="30" customHeight="1" s="56">
      <c r="A18" s="81" t="n"/>
      <c r="B18" s="111" t="inlineStr">
        <is>
          <t>Meals</t>
        </is>
      </c>
      <c r="C18" s="83" t="inlineStr">
        <is>
          <t>in destination</t>
        </is>
      </c>
      <c r="D18" s="81" t="n"/>
      <c r="E18" s="113" t="n">
        <v>80</v>
      </c>
      <c r="F18" s="86" t="inlineStr">
        <is>
          <t>CNY</t>
        </is>
      </c>
      <c r="G18" s="87">
        <f>Compare!$B$6*$B$4</f>
        <v/>
      </c>
      <c r="H18" s="88">
        <f>E18*G18*IF(F18="USD",Compare!$B$8,IF(F18="CNY",Compare!$B$9,IF(F18="HKD",Compare!$B$10,1)))</f>
        <v/>
      </c>
      <c r="I18" s="114">
        <f>E18</f>
        <v/>
      </c>
      <c r="J18" s="87">
        <f>Compare!$B$7*$B$4</f>
        <v/>
      </c>
      <c r="K18" s="88">
        <f>I18*J18*IF(F18="USD",Compare!$B$8,IF(F18="CNY",Compare!$B$9,IF(F18="HKD",Compare!$B$10,1)))</f>
        <v/>
      </c>
      <c r="L18" s="112" t="inlineStr">
        <is>
          <t>ASSUMPTION 80 CNY/person/day; hosts usually provide some meals on contest days</t>
        </is>
      </c>
    </row>
    <row r="19" ht="15" customHeight="1" s="56">
      <c r="A19" s="81" t="n"/>
      <c r="B19" s="111" t="inlineStr">
        <is>
          <t>Local transport (metro, taxis)</t>
        </is>
      </c>
      <c r="C19" s="83" t="inlineStr">
        <is>
          <t>in destination</t>
        </is>
      </c>
      <c r="D19" s="81" t="n"/>
      <c r="E19" s="113" t="n">
        <v>30</v>
      </c>
      <c r="F19" s="86" t="inlineStr">
        <is>
          <t>CNY</t>
        </is>
      </c>
      <c r="G19" s="87">
        <f>Compare!$B$6*$B$4</f>
        <v/>
      </c>
      <c r="H19" s="88">
        <f>E19*G19*IF(F19="USD",Compare!$B$8,IF(F19="CNY",Compare!$B$9,IF(F19="HKD",Compare!$B$10,1)))</f>
        <v/>
      </c>
      <c r="I19" s="114">
        <f>E19</f>
        <v/>
      </c>
      <c r="J19" s="87">
        <f>Compare!$B$7*$B$4</f>
        <v/>
      </c>
      <c r="K19" s="88">
        <f>I19*J19*IF(F19="USD",Compare!$B$8,IF(F19="CNY",Compare!$B$9,IF(F19="HKD",Compare!$B$10,1)))</f>
        <v/>
      </c>
      <c r="L19" s="112" t="inlineStr">
        <is>
          <t>ASSUMPTION 30 CNY/person/day</t>
        </is>
      </c>
    </row>
    <row r="20" ht="30" customHeight="1" s="56">
      <c r="A20" s="81" t="n"/>
      <c r="B20" s="111" t="inlineStr">
        <is>
          <t>Taxi PEK ↔ Beijing Fengtai station (17 Dec out, 21 Dec back)</t>
        </is>
      </c>
      <c r="C20" s="83" t="inlineStr">
        <is>
          <t>17 &amp; 21 Dec</t>
        </is>
      </c>
      <c r="D20" s="84" t="n"/>
      <c r="E20" s="113" t="n">
        <v>150</v>
      </c>
      <c r="F20" s="86" t="inlineStr">
        <is>
          <t>CNY</t>
        </is>
      </c>
      <c r="G20" s="91" t="n">
        <v>2</v>
      </c>
      <c r="H20" s="88">
        <f>E20*G20*IF(F20="USD",Compare!$B$8,IF(F20="CNY",Compare!$B$9,IF(F20="HKD",Compare!$B$10,1)))</f>
        <v/>
      </c>
      <c r="I20" s="114">
        <f>E20</f>
        <v/>
      </c>
      <c r="J20" s="91" t="n">
        <v>2</v>
      </c>
      <c r="K20" s="88">
        <f>I20*J20*IF(F20="USD",Compare!$B$8,IF(F20="CNY",Compare!$B$9,IF(F20="HKD",Compare!$B$10,1)))</f>
        <v/>
      </c>
      <c r="L20" s="112" t="inlineStr">
        <is>
          <t>ASSUMPTION ~150 CNY per car, ~45 km (metro line 10 + Airport Express ~40 CNY pp). 4 ppl may need an XL car</t>
        </is>
      </c>
    </row>
    <row r="21" ht="30" customHeight="1" s="56">
      <c r="A21" s="81" t="n"/>
      <c r="B21" s="111" t="inlineStr">
        <is>
          <t>Taxi Nanchang station ↔ hotel (18 Dec arrival, 20 Dec departure)</t>
        </is>
      </c>
      <c r="C21" s="83" t="inlineStr">
        <is>
          <t>18 &amp; 20 Dec</t>
        </is>
      </c>
      <c r="D21" s="84" t="n"/>
      <c r="E21" s="113" t="n">
        <v>60</v>
      </c>
      <c r="F21" s="86" t="inlineStr">
        <is>
          <t>CNY</t>
        </is>
      </c>
      <c r="G21" s="91" t="n">
        <v>2</v>
      </c>
      <c r="H21" s="88">
        <f>E21*G21*IF(F21="USD",Compare!$B$8,IF(F21="CNY",Compare!$B$9,IF(F21="HKD",Compare!$B$10,1)))</f>
        <v/>
      </c>
      <c r="I21" s="114">
        <f>E21</f>
        <v/>
      </c>
      <c r="J21" s="91" t="n">
        <v>2</v>
      </c>
      <c r="K21" s="88">
        <f>I21*J21*IF(F21="USD",Compare!$B$8,IF(F21="CNY",Compare!$B$9,IF(F21="HKD",Compare!$B$10,1)))</f>
        <v/>
      </c>
      <c r="L21" s="112" t="inlineStr">
        <is>
          <t>ASSUMPTION ~60 CNY per car, ~15 km each way (metro 1 h, ¥3 pp)</t>
        </is>
      </c>
    </row>
    <row r="22" ht="15" customHeight="1" s="56">
      <c r="A22" s="94" t="inlineStr">
        <is>
          <t>PAID PERSONALLY (university won't cover)</t>
        </is>
      </c>
      <c r="B22" s="95" t="n"/>
      <c r="C22" s="95" t="n"/>
      <c r="D22" s="95" t="n"/>
      <c r="E22" s="95" t="n"/>
      <c r="F22" s="95" t="n"/>
      <c r="G22" s="95" t="n"/>
      <c r="H22" s="95" t="n"/>
      <c r="I22" s="95" t="n"/>
      <c r="J22" s="95" t="n"/>
      <c r="K22" s="95" t="n"/>
      <c r="L22" s="95" t="n"/>
    </row>
    <row r="23" ht="15" customHeight="1" s="56">
      <c r="A23" s="79" t="inlineStr">
        <is>
          <t>Contest fee</t>
        </is>
      </c>
      <c r="B23" s="80" t="n"/>
      <c r="C23" s="80" t="n"/>
      <c r="D23" s="80" t="n"/>
      <c r="E23" s="80" t="n"/>
      <c r="F23" s="80" t="n"/>
      <c r="G23" s="80" t="n"/>
      <c r="H23" s="80" t="n"/>
      <c r="I23" s="80" t="n"/>
      <c r="J23" s="80" t="n"/>
      <c r="K23" s="80" t="n"/>
      <c r="L23" s="80" t="n"/>
    </row>
    <row r="24" ht="22.35" customHeight="1" s="56">
      <c r="A24" s="81" t="n"/>
      <c r="B24" s="82" t="inlineStr">
        <is>
          <t>Nanchang regional registration fee (per team)</t>
        </is>
      </c>
      <c r="C24" s="83" t="inlineStr">
        <is>
          <t>TBC</t>
        </is>
      </c>
      <c r="D24" s="81" t="n"/>
      <c r="E24" s="113" t="n">
        <v>1500</v>
      </c>
      <c r="F24" s="86" t="inlineStr">
        <is>
          <t>CNY</t>
        </is>
      </c>
      <c r="G24" s="91" t="n">
        <v>1</v>
      </c>
      <c r="H24" s="88">
        <f>E24*G24*IF(F24="USD",Compare!$B$8,IF(F24="CNY",Compare!$B$9,IF(F24="HKD",Compare!$B$10,1)))</f>
        <v/>
      </c>
      <c r="I24" s="114">
        <f>E24</f>
        <v/>
      </c>
      <c r="J24" s="91" t="n">
        <v>1</v>
      </c>
      <c r="K24" s="88">
        <f>I24*J24*IF(F24="USD",Compare!$B$8,IF(F24="CNY",Compare!$B$9,IF(F24="HKD",Compare!$B$10,1)))</f>
        <v/>
      </c>
      <c r="L24" s="90" t="inlineStr">
        <is>
          <t>ASSUMPTION: 1,500 CNY/team like other EC regionals; the 2019 Nanchang handbook has no fee and the 2026 invitation is not seen</t>
        </is>
      </c>
    </row>
    <row r="25" ht="15" customHeight="1" s="56">
      <c r="A25" s="79" t="inlineStr">
        <is>
          <t>Other</t>
        </is>
      </c>
      <c r="B25" s="80" t="n"/>
      <c r="C25" s="80" t="n"/>
      <c r="D25" s="80" t="n"/>
      <c r="E25" s="80" t="n"/>
      <c r="F25" s="80" t="n"/>
      <c r="G25" s="80" t="n"/>
      <c r="H25" s="80" t="n"/>
      <c r="I25" s="80" t="n"/>
      <c r="J25" s="80" t="n"/>
      <c r="K25" s="80" t="n"/>
      <c r="L25" s="80" t="n"/>
    </row>
    <row r="26" ht="15" customHeight="1" s="56">
      <c r="A26" s="81" t="n"/>
      <c r="B26" s="82" t="inlineStr">
        <is>
          <t>Taxi to/from Chinggis Khaan airport (UB), per trip</t>
        </is>
      </c>
      <c r="C26" s="83" t="inlineStr">
        <is>
          <t>out &amp; back</t>
        </is>
      </c>
      <c r="D26" s="84" t="n">
        <v>0.04166666666666666</v>
      </c>
      <c r="E26" s="92" t="n">
        <v>100000</v>
      </c>
      <c r="F26" s="86" t="inlineStr">
        <is>
          <t>MNT</t>
        </is>
      </c>
      <c r="G26" s="91" t="n">
        <v>2</v>
      </c>
      <c r="H26" s="88">
        <f>E26*G26*IF(F26="USD",Compare!$B$8,IF(F26="CNY",Compare!$B$9,IF(F26="HKD",Compare!$B$10,1)))</f>
        <v/>
      </c>
      <c r="I26" s="93">
        <f>E26</f>
        <v/>
      </c>
      <c r="J26" s="91" t="n">
        <v>2</v>
      </c>
      <c r="K26" s="88">
        <f>I26*J26*IF(F26="USD",Compare!$B$8,IF(F26="CNY",Compare!$B$9,IF(F26="HKD",Compare!$B$10,1)))</f>
        <v/>
      </c>
      <c r="L26" s="90" t="inlineStr">
        <is>
          <t>ASSUMPTION 100k MNT per trip for the group</t>
        </is>
      </c>
    </row>
    <row r="27" ht="15" customHeight="1" s="56">
      <c r="A27" s="81" t="n"/>
      <c r="B27" s="82" t="inlineStr">
        <is>
          <t>Travel medical insurance</t>
        </is>
      </c>
      <c r="C27" s="83" t="n"/>
      <c r="D27" s="81" t="n"/>
      <c r="E27" s="92" t="n">
        <v>30000</v>
      </c>
      <c r="F27" s="86" t="inlineStr">
        <is>
          <t>MNT</t>
        </is>
      </c>
      <c r="G27" s="87">
        <f>Compare!$B$6</f>
        <v/>
      </c>
      <c r="H27" s="88">
        <f>E27*G27*IF(F27="USD",Compare!$B$8,IF(F27="CNY",Compare!$B$9,IF(F27="HKD",Compare!$B$10,1)))</f>
        <v/>
      </c>
      <c r="I27" s="93">
        <f>E27</f>
        <v/>
      </c>
      <c r="J27" s="87">
        <f>Compare!$B$7</f>
        <v/>
      </c>
      <c r="K27" s="88">
        <f>I27*J27*IF(F27="USD",Compare!$B$8,IF(F27="CNY",Compare!$B$9,IF(F27="HKD",Compare!$B$10,1)))</f>
        <v/>
      </c>
      <c r="L27" s="90" t="inlineStr">
        <is>
          <t>ASSUMPTION ~30k MNT per person, Mongolian insurer</t>
        </is>
      </c>
    </row>
    <row r="28" ht="15" customHeight="1" s="56">
      <c r="A28" s="81" t="n"/>
      <c r="B28" s="82" t="inlineStr">
        <is>
          <t>Mobile data eSIM</t>
        </is>
      </c>
      <c r="C28" s="83" t="n"/>
      <c r="D28" s="81" t="n"/>
      <c r="E28" s="92" t="n">
        <v>10</v>
      </c>
      <c r="F28" s="86" t="inlineStr">
        <is>
          <t>USD</t>
        </is>
      </c>
      <c r="G28" s="87">
        <f>Compare!$B$6</f>
        <v/>
      </c>
      <c r="H28" s="88">
        <f>E28*G28*IF(F28="USD",Compare!$B$8,IF(F28="CNY",Compare!$B$9,IF(F28="HKD",Compare!$B$10,1)))</f>
        <v/>
      </c>
      <c r="I28" s="93">
        <f>E28</f>
        <v/>
      </c>
      <c r="J28" s="87">
        <f>Compare!$B$7</f>
        <v/>
      </c>
      <c r="K28" s="88">
        <f>I28*J28*IF(F28="USD",Compare!$B$8,IF(F28="CNY",Compare!$B$9,IF(F28="HKD",Compare!$B$10,1)))</f>
        <v/>
      </c>
      <c r="L28" s="90" t="inlineStr">
        <is>
          <t>ASSUMPTION ~$10 pp</t>
        </is>
      </c>
    </row>
    <row r="29" ht="22.35" customHeight="1" s="56">
      <c r="A29" s="81" t="n"/>
      <c r="B29" s="82" t="inlineStr">
        <is>
          <t>Visa</t>
        </is>
      </c>
      <c r="C29" s="83" t="n"/>
      <c r="D29" s="81" t="n"/>
      <c r="E29" s="85" t="n">
        <v>0</v>
      </c>
      <c r="F29" s="86" t="inlineStr">
        <is>
          <t>MNT</t>
        </is>
      </c>
      <c r="G29" s="87">
        <f>Compare!$B$6</f>
        <v/>
      </c>
      <c r="H29" s="88">
        <f>E29*G29*IF(F29="USD",Compare!$B$8,IF(F29="CNY",Compare!$B$9,IF(F29="HKD",Compare!$B$10,1)))</f>
        <v/>
      </c>
      <c r="I29" s="89">
        <f>E29</f>
        <v/>
      </c>
      <c r="J29" s="87">
        <f>Compare!$B$7</f>
        <v/>
      </c>
      <c r="K29" s="88">
        <f>I29*J29*IF(F29="USD",Compare!$B$8,IF(F29="CNY",Compare!$B$9,IF(F29="HKD",Compare!$B$10,1)))</f>
        <v/>
      </c>
      <c r="L29" s="90" t="inlineStr">
        <is>
          <t>Mongolian passports: visa-free (mainland China up to 30 days; Hong Kong up to 14 days)</t>
        </is>
      </c>
    </row>
    <row r="31" ht="15" customHeight="1" s="56">
      <c r="G31" s="60" t="n"/>
      <c r="H31" s="96" t="inlineStr">
        <is>
          <t>3 people – UNFUNDED</t>
        </is>
      </c>
      <c r="K31" s="96" t="inlineStr">
        <is>
          <t>4 people – FUNDED ₮12M</t>
        </is>
      </c>
    </row>
    <row r="32" ht="15" customHeight="1" s="56">
      <c r="G32" s="97" t="inlineStr">
        <is>
          <t>University-paid subtotal</t>
        </is>
      </c>
      <c r="H32" s="98">
        <f>SUM(H9:H21)</f>
        <v/>
      </c>
      <c r="K32" s="98">
        <f>SUM(K9:K21)</f>
        <v/>
      </c>
    </row>
    <row r="33" ht="15" customHeight="1" s="56">
      <c r="G33" s="99" t="inlineStr">
        <is>
          <t>Contingency</t>
        </is>
      </c>
      <c r="H33" s="100">
        <f>H32*Compare!$B$11</f>
        <v/>
      </c>
      <c r="K33" s="100">
        <f>K32*Compare!$B$11</f>
        <v/>
      </c>
    </row>
    <row r="34" ht="15" customHeight="1" s="56">
      <c r="G34" s="97" t="inlineStr">
        <is>
          <t>University-paid total incl. contingency</t>
        </is>
      </c>
      <c r="H34" s="98">
        <f>H32+H33</f>
        <v/>
      </c>
      <c r="K34" s="98">
        <f>K32+K33</f>
        <v/>
      </c>
    </row>
    <row r="35" ht="15" customHeight="1" s="56">
      <c r="G35" s="97" t="inlineStr">
        <is>
          <t>Funding left (negative = over)</t>
        </is>
      </c>
      <c r="H35" s="101">
        <f>Compare!$B$12-H34</f>
        <v/>
      </c>
      <c r="K35" s="101">
        <f>Compare!$B$5-K34</f>
        <v/>
      </c>
    </row>
    <row r="36" ht="15" customHeight="1" s="56">
      <c r="G36" s="97" t="inlineStr">
        <is>
          <t>Personal costs – team</t>
        </is>
      </c>
      <c r="H36" s="102">
        <f>SUM(H23:H29)</f>
        <v/>
      </c>
      <c r="K36" s="102">
        <f>SUM(K23:K29)</f>
        <v/>
      </c>
    </row>
    <row r="37" ht="15" customHeight="1" s="56">
      <c r="G37" s="97" t="inlineStr">
        <is>
          <t>Out-of-pocket per person (personal + any overrun)</t>
        </is>
      </c>
      <c r="H37" s="102">
        <f>(H36+MAX(0,-H35))/Compare!$B$6</f>
        <v/>
      </c>
      <c r="K37" s="102">
        <f>(K36+MAX(0,-K35))/Compare!$B$7</f>
        <v/>
      </c>
    </row>
    <row r="38" ht="15" customHeight="1" s="56">
      <c r="G38" s="97" t="inlineStr">
        <is>
          <t>Whole trip cost (university + personal)</t>
        </is>
      </c>
      <c r="H38" s="103">
        <f>H34+H36</f>
        <v/>
      </c>
      <c r="K38" s="103">
        <f>K34+K36</f>
        <v/>
      </c>
    </row>
    <row r="39" ht="15" customHeight="1" s="56">
      <c r="G39" s="99" t="inlineStr">
        <is>
          <t>Time in planes &amp; trains</t>
        </is>
      </c>
      <c r="H39" s="104">
        <f>D10+D11+D13+D14</f>
        <v/>
      </c>
      <c r="K39" s="104">
        <f>D10+D11+D13+D14</f>
        <v/>
      </c>
    </row>
    <row r="41" ht="15" customHeight="1" s="56">
      <c r="A41" s="72" t="inlineStr">
        <is>
          <t>Key facts</t>
        </is>
      </c>
    </row>
    <row r="42" ht="45" customHeight="1" s="56">
      <c r="A42" s="75" t="inlineStr">
        <is>
          <t>Contest</t>
        </is>
      </c>
      <c r="B42" s="74" t="inlineStr">
        <is>
          <t>Asia Nanchang Regional, 19–20 Dec 2026 (provisional), host Jiangxi Normal University, Yaohu campus (Zixia Ave 99; gym ~28.683 N, 116.032 E). The 2019 Nanchang regional used the same campus: registration 13:00–18:00 the day before and 08:00–12:00 on day 1, opening 14:30, warm-up 15:00–17:00; day 2 contest 09:00–14:00, closing 15:00–16:30. Confirm all of this in the 2026 invitation.</t>
        </is>
      </c>
    </row>
    <row r="43" ht="30" customHeight="1" s="56">
      <c r="A43" s="75" t="inlineStr">
        <is>
          <t>Getting there</t>
        </is>
      </c>
      <c r="B43" s="74" t="inlineStr">
        <is>
          <t>Metro line 1 to Aoti Zhongxin station, exit 2, ~100 m from the campus (53 min from Nanchang station, 1 h 8 min from Nanchang West; taxi ~¥40 / ~¥105 per the 2019 handbook).</t>
        </is>
      </c>
    </row>
    <row r="44" ht="30" customHeight="1" s="56">
      <c r="A44" s="75" t="inlineStr">
        <is>
          <t>Why this plan</t>
        </is>
      </c>
      <c r="B44" s="74" t="inlineStr">
        <is>
          <t>Cheapest fit: $157 + $172 flights, a Z111 sleeper (¥297) and a D136 seat (¥271) replace two hotel nights; no 04:30 start and no 10-hour wait in Beijing. 18 Dec afternoon is a rest day in Nanchang.</t>
        </is>
      </c>
    </row>
    <row r="45" ht="30" customHeight="1" s="56">
      <c r="A45" s="75" t="inlineStr">
        <is>
          <t>Trade-off</t>
        </is>
      </c>
      <c r="B45" s="74" t="inlineStr">
        <is>
          <t>A 12 h 46 min hard-sleeper berth on Z111 (soft sleeper ¥464.5) and Beijing Fengtai is far from PEK (~1 h 15 min). Trains go on sale on 3 Dec 08:00 (Z111) and 6 Dec (D136) – set reminders. Soft sleeper on Z111 (¥464.5) is the upgrade if the team sleeps badly on trains. Backup if Z111 sells out: MIAT 07:30 ($193) + D135 sleeper ¥382.</t>
        </is>
      </c>
    </row>
    <row r="47" ht="15" customHeight="1" s="56">
      <c r="A47" s="72" t="inlineStr">
        <is>
          <t>Day-by-day plan</t>
        </is>
      </c>
    </row>
    <row r="48" ht="15" customHeight="1" s="56">
      <c r="A48" s="96" t="inlineStr">
        <is>
          <t>Date</t>
        </is>
      </c>
      <c r="B48" s="96" t="inlineStr">
        <is>
          <t>Sleep in</t>
        </is>
      </c>
      <c r="C48" s="96" t="inlineStr">
        <is>
          <t>What happens</t>
        </is>
      </c>
    </row>
    <row r="49" ht="30" customHeight="1" s="56">
      <c r="A49" s="74" t="inlineStr">
        <is>
          <t>Thu 17 Dec</t>
        </is>
      </c>
      <c r="B49" s="74" t="inlineStr">
        <is>
          <t>Train</t>
        </is>
      </c>
      <c r="C49" s="74" t="inlineStr">
        <is>
          <t>Air China CA956 UB 16:10 → Beijing 18:20; taxi / Airport Express + metro to Beijing Fengtai (~20:00; dinner); Z111 23:06 → Nanchang.</t>
        </is>
      </c>
    </row>
    <row r="50" ht="30" customHeight="1" s="56">
      <c r="A50" s="74" t="inlineStr">
        <is>
          <t>Fri 18 Dec</t>
        </is>
      </c>
      <c r="B50" s="74" t="inlineStr">
        <is>
          <t>Nanchang</t>
        </is>
      </c>
      <c r="C50" s="74" t="inlineStr">
        <is>
          <t>Arrive Nanchang 11:52; metro line 2 + 1 to the hotel (leave bags, check-in ~14:00). Registration may open 13:00–18:00 (2019 pattern).</t>
        </is>
      </c>
    </row>
    <row r="51" ht="15" customHeight="1" s="56">
      <c r="A51" s="74" t="inlineStr">
        <is>
          <t>Sat 19 Dec</t>
        </is>
      </c>
      <c r="B51" s="74" t="inlineStr">
        <is>
          <t>Nanchang</t>
        </is>
      </c>
      <c r="C51" s="74" t="inlineStr">
        <is>
          <t>Registration (08:00–12:00), opening ~14:30, warm-up 15:00–17:00 at the JXNU Yaohu gym (2019 pattern).</t>
        </is>
      </c>
    </row>
    <row r="52" ht="15" customHeight="1" s="56">
      <c r="A52" s="74" t="inlineStr">
        <is>
          <t>Sun 20 Dec</t>
        </is>
      </c>
      <c r="B52" s="74" t="inlineStr">
        <is>
          <t>Train</t>
        </is>
      </c>
      <c r="C52" s="74" t="inlineStr">
        <is>
          <t>NANCHANG REGIONAL contest day 09:00–14:00; closing ~15:00–16:30. Metro to Nanchang station; D136 19:22 → Beijing Fengtai 07:31.</t>
        </is>
      </c>
    </row>
    <row r="53" ht="15" customHeight="1" s="56">
      <c r="A53" s="74" t="inlineStr">
        <is>
          <t>Mon 21 Dec</t>
        </is>
      </c>
      <c r="B53" s="74" t="inlineStr">
        <is>
          <t>Home</t>
        </is>
      </c>
      <c r="C53" s="74" t="inlineStr">
        <is>
          <t>Taxi Fengtai → PEK. Air China CA955 12:55 → UB 15:05.</t>
        </is>
      </c>
    </row>
    <row r="55" ht="15" customHeight="1" s="56">
      <c r="A55" s="72" t="inlineStr">
        <is>
          <t>Door-to-door travel times</t>
        </is>
      </c>
    </row>
    <row r="56" ht="15" customHeight="1" s="56">
      <c r="A56" s="96" t="inlineStr">
        <is>
          <t>Date</t>
        </is>
      </c>
      <c r="B56" s="96" t="inlineStr">
        <is>
          <t>Leg</t>
        </is>
      </c>
      <c r="C56" s="96" t="inlineStr">
        <is>
          <t>Mode</t>
        </is>
      </c>
      <c r="D56" s="96" t="inlineStr">
        <is>
          <t>Expected time</t>
        </is>
      </c>
      <c r="E56" s="96" t="inlineStr">
        <is>
          <t>Notes</t>
        </is>
      </c>
    </row>
    <row r="57" ht="15" customHeight="1" s="56">
      <c r="A57" s="105" t="inlineStr">
        <is>
          <t>17 Dec</t>
        </is>
      </c>
      <c r="B57" s="105" t="inlineStr">
        <is>
          <t>Home → Chinggis Khaan airport</t>
        </is>
      </c>
      <c r="C57" s="82" t="inlineStr">
        <is>
          <t>Taxi (~50 km)</t>
        </is>
      </c>
      <c r="D57" s="104" t="n">
        <v>0.04166666666666666</v>
      </c>
      <c r="E57" s="106" t="inlineStr">
        <is>
          <t>Leave ~13:00 for 16:10 flight</t>
        </is>
      </c>
      <c r="F57" s="107" t="n"/>
      <c r="G57" s="107" t="n"/>
      <c r="H57" s="107" t="n"/>
      <c r="I57" s="107" t="n"/>
      <c r="J57" s="107" t="n"/>
      <c r="K57" s="107" t="n"/>
      <c r="L57" s="107" t="n"/>
    </row>
    <row r="58" ht="15" customHeight="1" s="56">
      <c r="A58" s="105" t="inlineStr">
        <is>
          <t>17 Dec</t>
        </is>
      </c>
      <c r="B58" s="105" t="inlineStr">
        <is>
          <t>Ulaanbaatar → Beijing (PEK)</t>
        </is>
      </c>
      <c r="C58" s="82" t="inlineStr">
        <is>
          <t>Air China CA956 16:10–18:20</t>
        </is>
      </c>
      <c r="D58" s="104" t="n">
        <v>0.09027777777777778</v>
      </c>
      <c r="E58" s="106" t="inlineStr"/>
      <c r="F58" s="107" t="n"/>
      <c r="G58" s="107" t="n"/>
      <c r="H58" s="107" t="n"/>
      <c r="I58" s="107" t="n"/>
      <c r="J58" s="107" t="n"/>
      <c r="K58" s="107" t="n"/>
      <c r="L58" s="107" t="n"/>
    </row>
    <row r="59" ht="15" customHeight="1" s="56">
      <c r="A59" s="105" t="inlineStr">
        <is>
          <t>17 Dec</t>
        </is>
      </c>
      <c r="B59" s="105" t="inlineStr">
        <is>
          <t>PEK arrival: immigration, bags</t>
        </is>
      </c>
      <c r="C59" s="82" t="inlineStr">
        <is>
          <t>—</t>
        </is>
      </c>
      <c r="D59" s="104" t="n">
        <v>0.03125</v>
      </c>
      <c r="E59" s="106" t="inlineStr">
        <is>
          <t>Estimate</t>
        </is>
      </c>
      <c r="F59" s="107" t="n"/>
      <c r="G59" s="107" t="n"/>
      <c r="H59" s="107" t="n"/>
      <c r="I59" s="107" t="n"/>
      <c r="J59" s="107" t="n"/>
      <c r="K59" s="107" t="n"/>
      <c r="L59" s="107" t="n"/>
    </row>
    <row r="60" ht="15" customHeight="1" s="56">
      <c r="A60" s="105" t="inlineStr">
        <is>
          <t>17 Dec</t>
        </is>
      </c>
      <c r="B60" s="105" t="inlineStr">
        <is>
          <t>PEK → Beijing Fengtai station</t>
        </is>
      </c>
      <c r="C60" s="82" t="inlineStr">
        <is>
          <t>Taxi / Airport Express + metro</t>
        </is>
      </c>
      <c r="D60" s="104" t="n">
        <v>0.05208333333333334</v>
      </c>
      <c r="E60" s="106" t="inlineStr">
        <is>
          <t>Estimate; arrive ~20:20, train 23:06</t>
        </is>
      </c>
      <c r="F60" s="107" t="n"/>
      <c r="G60" s="107" t="n"/>
      <c r="H60" s="107" t="n"/>
      <c r="I60" s="107" t="n"/>
      <c r="J60" s="107" t="n"/>
      <c r="K60" s="107" t="n"/>
      <c r="L60" s="107" t="n"/>
    </row>
    <row r="61" ht="15" customHeight="1" s="56">
      <c r="A61" s="105" t="inlineStr">
        <is>
          <t>17–18 Dec</t>
        </is>
      </c>
      <c r="B61" s="105" t="inlineStr">
        <is>
          <t>Beijing Fengtai → Nanchang</t>
        </is>
      </c>
      <c r="C61" s="82" t="inlineStr">
        <is>
          <t>Z111 hard sleeper 23:06–11:52</t>
        </is>
      </c>
      <c r="D61" s="104" t="n">
        <v>0.5319444444444444</v>
      </c>
      <c r="E61" s="106" t="inlineStr">
        <is>
          <t>Overnight</t>
        </is>
      </c>
      <c r="F61" s="107" t="n"/>
      <c r="G61" s="107" t="n"/>
      <c r="H61" s="107" t="n"/>
      <c r="I61" s="107" t="n"/>
      <c r="J61" s="107" t="n"/>
      <c r="K61" s="107" t="n"/>
      <c r="L61" s="107" t="n"/>
    </row>
    <row r="62" ht="15" customHeight="1" s="56">
      <c r="A62" s="105" t="inlineStr">
        <is>
          <t>18 Dec</t>
        </is>
      </c>
      <c r="B62" s="105" t="inlineStr">
        <is>
          <t>Nanchang station → hotel</t>
        </is>
      </c>
      <c r="C62" s="82" t="inlineStr">
        <is>
          <t>Metro line 2 + 1 (or taxi ~¥40)</t>
        </is>
      </c>
      <c r="D62" s="104" t="n">
        <v>0.03819444444444445</v>
      </c>
      <c r="E62" s="106" t="inlineStr"/>
      <c r="F62" s="107" t="n"/>
      <c r="G62" s="107" t="n"/>
      <c r="H62" s="107" t="n"/>
      <c r="I62" s="107" t="n"/>
      <c r="J62" s="107" t="n"/>
      <c r="K62" s="107" t="n"/>
      <c r="L62" s="107" t="n"/>
    </row>
    <row r="63" ht="15" customHeight="1" s="56">
      <c r="A63" s="105" t="inlineStr">
        <is>
          <t>19–20 Dec</t>
        </is>
      </c>
      <c r="B63" s="105" t="inlineStr">
        <is>
          <t>Hotel ↔ JXNU Yaohu campus (each way)</t>
        </is>
      </c>
      <c r="C63" s="82" t="inlineStr">
        <is>
          <t>Walk</t>
        </is>
      </c>
      <c r="D63" s="104" t="inlineStr">
        <is>
          <t>daily</t>
        </is>
      </c>
      <c r="E63" s="106" t="inlineStr">
        <is>
          <t>~10–15 min walk (Orange Hotel ~0.7 km)</t>
        </is>
      </c>
      <c r="F63" s="107" t="n"/>
      <c r="G63" s="107" t="n"/>
      <c r="H63" s="107" t="n"/>
      <c r="I63" s="107" t="n"/>
      <c r="J63" s="107" t="n"/>
      <c r="K63" s="107" t="n"/>
      <c r="L63" s="107" t="n"/>
    </row>
    <row r="64" ht="15" customHeight="1" s="56">
      <c r="A64" s="105" t="inlineStr">
        <is>
          <t>20 Dec</t>
        </is>
      </c>
      <c r="B64" s="105" t="inlineStr">
        <is>
          <t>JXNU Yaohu campus → Nanchang station</t>
        </is>
      </c>
      <c r="C64" s="82" t="inlineStr">
        <is>
          <t>Metro line 1 + 2 / taxi</t>
        </is>
      </c>
      <c r="D64" s="104" t="n">
        <v>0.03819444444444445</v>
      </c>
      <c r="E64" s="106" t="inlineStr">
        <is>
          <t>Leave ~17:45 for the 19:22 train</t>
        </is>
      </c>
      <c r="F64" s="107" t="n"/>
      <c r="G64" s="107" t="n"/>
      <c r="H64" s="107" t="n"/>
      <c r="I64" s="107" t="n"/>
      <c r="J64" s="107" t="n"/>
      <c r="K64" s="107" t="n"/>
      <c r="L64" s="107" t="n"/>
    </row>
    <row r="65" ht="15" customHeight="1" s="56">
      <c r="A65" s="105" t="inlineStr">
        <is>
          <t>20–21 Dec</t>
        </is>
      </c>
      <c r="B65" s="105" t="inlineStr">
        <is>
          <t>Nanchang → Beijing Fengtai</t>
        </is>
      </c>
      <c r="C65" s="82" t="inlineStr">
        <is>
          <t>D136 seat 19:22–07:31</t>
        </is>
      </c>
      <c r="D65" s="104" t="n">
        <v>0.50625</v>
      </c>
      <c r="E65" s="106" t="inlineStr">
        <is>
          <t>Overnight</t>
        </is>
      </c>
      <c r="F65" s="107" t="n"/>
      <c r="G65" s="107" t="n"/>
      <c r="H65" s="107" t="n"/>
      <c r="I65" s="107" t="n"/>
      <c r="J65" s="107" t="n"/>
      <c r="K65" s="107" t="n"/>
      <c r="L65" s="107" t="n"/>
    </row>
    <row r="66" ht="15" customHeight="1" s="56">
      <c r="A66" s="105" t="inlineStr">
        <is>
          <t>21 Dec</t>
        </is>
      </c>
      <c r="B66" s="105" t="inlineStr">
        <is>
          <t>Beijing Fengtai → PEK</t>
        </is>
      </c>
      <c r="C66" s="82" t="inlineStr">
        <is>
          <t>Taxi (~45 km)</t>
        </is>
      </c>
      <c r="D66" s="104" t="n">
        <v>0.05208333333333334</v>
      </c>
      <c r="E66" s="106" t="inlineStr">
        <is>
          <t>Be at PEK by ~10:55 for the 12:55 flight</t>
        </is>
      </c>
      <c r="F66" s="107" t="n"/>
      <c r="G66" s="107" t="n"/>
      <c r="H66" s="107" t="n"/>
      <c r="I66" s="107" t="n"/>
      <c r="J66" s="107" t="n"/>
      <c r="K66" s="107" t="n"/>
      <c r="L66" s="107" t="n"/>
    </row>
    <row r="67" ht="15" customHeight="1" s="56">
      <c r="A67" s="105" t="inlineStr">
        <is>
          <t>21 Dec</t>
        </is>
      </c>
      <c r="B67" s="105" t="inlineStr">
        <is>
          <t>Beijing (PEK) → Ulaanbaatar</t>
        </is>
      </c>
      <c r="C67" s="82" t="inlineStr">
        <is>
          <t>Air China CA955 12:55–15:05</t>
        </is>
      </c>
      <c r="D67" s="104" t="n">
        <v>0.09027777777777778</v>
      </c>
      <c r="E67" s="106" t="inlineStr"/>
      <c r="F67" s="107" t="n"/>
      <c r="G67" s="107" t="n"/>
      <c r="H67" s="107" t="n"/>
      <c r="I67" s="107" t="n"/>
      <c r="J67" s="107" t="n"/>
      <c r="K67" s="107" t="n"/>
      <c r="L67" s="107" t="n"/>
    </row>
    <row r="68" ht="15" customHeight="1" s="56">
      <c r="A68" s="105" t="inlineStr">
        <is>
          <t>21 Dec</t>
        </is>
      </c>
      <c r="B68" s="105" t="inlineStr">
        <is>
          <t>Chinggis Khaan airport → home</t>
        </is>
      </c>
      <c r="C68" s="82" t="inlineStr">
        <is>
          <t>Taxi</t>
        </is>
      </c>
      <c r="D68" s="104" t="n">
        <v>0.04166666666666666</v>
      </c>
      <c r="E68" s="106" t="inlineStr"/>
      <c r="F68" s="107" t="n"/>
      <c r="G68" s="107" t="n"/>
      <c r="H68" s="107" t="n"/>
      <c r="I68" s="107" t="n"/>
      <c r="J68" s="107" t="n"/>
      <c r="K68" s="107" t="n"/>
      <c r="L68" s="107" t="n"/>
    </row>
    <row r="70" ht="15" customHeight="1" s="56">
      <c r="C70" s="59" t="inlineStr">
        <is>
          <t>Total door-to-door</t>
        </is>
      </c>
      <c r="D70" s="109">
        <f>SUM(D57:D68)</f>
        <v/>
      </c>
    </row>
  </sheetData>
  <mergeCells count="21">
    <mergeCell ref="E58:L58"/>
    <mergeCell ref="C52:L52"/>
    <mergeCell ref="E68:L68"/>
    <mergeCell ref="E62:L62"/>
    <mergeCell ref="E67:L67"/>
    <mergeCell ref="B43:L43"/>
    <mergeCell ref="C53:L53"/>
    <mergeCell ref="E64:L64"/>
    <mergeCell ref="C49:L49"/>
    <mergeCell ref="E63:L63"/>
    <mergeCell ref="B42:L42"/>
    <mergeCell ref="E60:L60"/>
    <mergeCell ref="E65:L65"/>
    <mergeCell ref="B44:L44"/>
    <mergeCell ref="E59:L59"/>
    <mergeCell ref="C50:L50"/>
    <mergeCell ref="E61:L61"/>
    <mergeCell ref="E57:L57"/>
    <mergeCell ref="E66:L66"/>
    <mergeCell ref="C51:L51"/>
    <mergeCell ref="B45:L45"/>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L72"/>
  <sheetViews>
    <sheetView workbookViewId="0">
      <pane xSplit="2" ySplit="7" topLeftCell="C8" activePane="bottomRight" state="frozen"/>
      <selection pane="topRight" activeCell="A1" sqref="A1"/>
      <selection pane="bottomLeft" activeCell="A1" sqref="A1"/>
      <selection pane="bottomRight" activeCell="A1" sqref="A1"/>
    </sheetView>
  </sheetViews>
  <sheetFormatPr baseColWidth="8" defaultRowHeight="15"/>
  <cols>
    <col width="26" customWidth="1" style="56" min="1" max="1"/>
    <col width="52" customWidth="1" style="56" min="2" max="2"/>
    <col width="20" customWidth="1" style="56" min="3" max="3"/>
    <col width="15" customWidth="1" style="56" min="4" max="4"/>
    <col width="13" customWidth="1" style="56" min="5" max="5"/>
    <col width="9" customWidth="1" style="56" min="6" max="6"/>
    <col width="17" customWidth="1" style="56" min="8" max="8"/>
    <col width="13" customWidth="1" style="56" min="9" max="9"/>
    <col width="9" customWidth="1" style="56" min="10" max="10"/>
    <col width="17" customWidth="1" style="56" min="11" max="11"/>
    <col width="58" customWidth="1" style="56" min="12" max="12"/>
  </cols>
  <sheetData>
    <row r="1" ht="17.35" customHeight="1" s="56">
      <c r="A1" s="57" t="inlineStr">
        <is>
          <t>Nanchang – Comfort</t>
        </is>
      </c>
    </row>
    <row r="2" ht="15" customHeight="1" s="56">
      <c r="A2" s="62" t="inlineStr">
        <is>
          <t>MIAT + daytime high-speed train to Nanchang West on 17 Dec (arrive for dinner, rest day 18 Dec); D136 seat back and Air China home on 21 Dec.</t>
        </is>
      </c>
    </row>
    <row r="4" ht="15" customHeight="1" s="56">
      <c r="A4" s="60" t="inlineStr">
        <is>
          <t>Days in destination (meals &amp; local transport)</t>
        </is>
      </c>
      <c r="B4" s="76" t="n">
        <v>4.5</v>
      </c>
      <c r="C4" s="62" t="inlineStr">
        <is>
          <t>17 Dec → morning 21 Dec</t>
        </is>
      </c>
    </row>
    <row r="5" ht="15" customHeight="1" s="56">
      <c r="A5" s="62" t="inlineStr">
        <is>
          <t>Shared inputs are on the Compare sheet. Scroll down for the day-by-day plan and door-to-door travel times.</t>
        </is>
      </c>
    </row>
    <row r="7" ht="31.5" customHeight="1" s="56">
      <c r="A7" s="66" t="inlineStr">
        <is>
          <t>Category</t>
        </is>
      </c>
      <c r="B7" s="66" t="inlineStr">
        <is>
          <t>Item</t>
        </is>
      </c>
      <c r="C7" s="66" t="inlineStr">
        <is>
          <t>Date</t>
        </is>
      </c>
      <c r="D7" s="66" t="inlineStr">
        <is>
          <t>Travel time</t>
        </is>
      </c>
      <c r="E7" s="66" t="inlineStr">
        <is>
          <t>Unit cost (3 ppl)</t>
        </is>
      </c>
      <c r="F7" s="66" t="inlineStr">
        <is>
          <t>Currency</t>
        </is>
      </c>
      <c r="G7" s="66" t="inlineStr">
        <is>
          <t>Qty (3 ppl)</t>
        </is>
      </c>
      <c r="H7" s="66" t="inlineStr">
        <is>
          <t>Total MNT – 3 people</t>
        </is>
      </c>
      <c r="I7" s="66" t="inlineStr">
        <is>
          <t>Unit cost (4 ppl)</t>
        </is>
      </c>
      <c r="J7" s="66" t="inlineStr">
        <is>
          <t>Qty (4 ppl)</t>
        </is>
      </c>
      <c r="K7" s="66" t="inlineStr">
        <is>
          <t>Total MNT – 4 people</t>
        </is>
      </c>
      <c r="L7" s="66" t="inlineStr">
        <is>
          <t>Source / notes</t>
        </is>
      </c>
    </row>
    <row r="8" ht="15" customHeight="1" s="56">
      <c r="A8" s="77" t="inlineStr">
        <is>
          <t>PAID BY UNIVERSITY</t>
        </is>
      </c>
      <c r="B8" s="78" t="n"/>
      <c r="C8" s="78" t="n"/>
      <c r="D8" s="78" t="n"/>
      <c r="E8" s="78" t="n"/>
      <c r="F8" s="78" t="n"/>
      <c r="G8" s="78" t="n"/>
      <c r="H8" s="78" t="n"/>
      <c r="I8" s="78" t="n"/>
      <c r="J8" s="78" t="n"/>
      <c r="K8" s="78" t="n"/>
      <c r="L8" s="78" t="n"/>
    </row>
    <row r="9" ht="15" customHeight="1" s="56">
      <c r="A9" s="79" t="inlineStr">
        <is>
          <t>Flights</t>
        </is>
      </c>
      <c r="B9" s="80" t="n"/>
      <c r="C9" s="80" t="n"/>
      <c r="D9" s="80" t="n"/>
      <c r="E9" s="80" t="n"/>
      <c r="F9" s="80" t="n"/>
      <c r="G9" s="80" t="n"/>
      <c r="H9" s="80" t="n"/>
      <c r="I9" s="80" t="n"/>
      <c r="J9" s="80" t="n"/>
      <c r="K9" s="80" t="n"/>
      <c r="L9" s="80" t="n"/>
    </row>
    <row r="10" ht="30" customHeight="1" s="56">
      <c r="A10" s="81" t="n"/>
      <c r="B10" s="111" t="inlineStr">
        <is>
          <t>MIAT OM223 Ulaanbaatar → Beijing (PEK), 07:30–09:45</t>
        </is>
      </c>
      <c r="C10" s="83" t="inlineStr">
        <is>
          <t>17 Dec</t>
        </is>
      </c>
      <c r="D10" s="84" t="n">
        <v>0.09375</v>
      </c>
      <c r="E10" s="85" t="n">
        <v>193</v>
      </c>
      <c r="F10" s="86" t="inlineStr">
        <is>
          <t>USD</t>
        </is>
      </c>
      <c r="G10" s="87">
        <f>Compare!$B$6</f>
        <v/>
      </c>
      <c r="H10" s="88">
        <f>E10*G10*IF(F10="USD",Compare!$B$8,IF(F10="CNY",Compare!$B$9,IF(F10="HKD",Compare!$B$10,1)))</f>
        <v/>
      </c>
      <c r="I10" s="89">
        <f>E10</f>
        <v/>
      </c>
      <c r="J10" s="87">
        <f>Compare!$B$7</f>
        <v/>
      </c>
      <c r="K10" s="88">
        <f>I10*J10*IF(F10="USD",Compare!$B$8,IF(F10="CNY",Compare!$B$9,IF(F10="HKD",Compare!$B$10,1)))</f>
        <v/>
      </c>
      <c r="L10" s="112" t="inlineStr">
        <is>
          <t>Trip.com 10 Oct: MIAT 07:30–09:45 $193 pp (SlickTrip $196, 'low' against the usual $206–410)</t>
        </is>
      </c>
    </row>
    <row r="11" ht="45" customHeight="1" s="56">
      <c r="A11" s="81" t="n"/>
      <c r="B11" s="111" t="inlineStr">
        <is>
          <t>Air China CA955 Beijing (PEK) → Ulaanbaatar, nonstop 12:55–15:05</t>
        </is>
      </c>
      <c r="C11" s="83" t="inlineStr">
        <is>
          <t>21 Dec</t>
        </is>
      </c>
      <c r="D11" s="84" t="n">
        <v>0.09027777777777778</v>
      </c>
      <c r="E11" s="85" t="n">
        <v>172</v>
      </c>
      <c r="F11" s="86" t="inlineStr">
        <is>
          <t>USD</t>
        </is>
      </c>
      <c r="G11" s="87">
        <f>Compare!$B$6</f>
        <v/>
      </c>
      <c r="H11" s="88">
        <f>E11*G11*IF(F11="USD",Compare!$B$8,IF(F11="CNY",Compare!$B$9,IF(F11="HKD",Compare!$B$10,1)))</f>
        <v/>
      </c>
      <c r="I11" s="89">
        <f>E11</f>
        <v/>
      </c>
      <c r="J11" s="87">
        <f>Compare!$B$7</f>
        <v/>
      </c>
      <c r="K11" s="88">
        <f>I11*J11*IF(F11="USD",Compare!$B$8,IF(F11="CNY",Compare!$B$9,IF(F11="HKD",Compare!$B$10,1)))</f>
        <v/>
      </c>
      <c r="L11" s="112" t="inlineStr">
        <is>
          <t>Trip.com 10 Oct: Air China 12:55 $172 pp (08:25 also $172); MIAT 11:30 $193 (SlickTrip $224). The 12:55 departure leaves ~3 h after the sleeper arrives at Fengtai (07:31)</t>
        </is>
      </c>
    </row>
    <row r="12" ht="15" customHeight="1" s="56">
      <c r="A12" s="79" t="inlineStr">
        <is>
          <t>Trains</t>
        </is>
      </c>
      <c r="B12" s="80" t="n"/>
      <c r="C12" s="80" t="n"/>
      <c r="D12" s="80" t="n"/>
      <c r="E12" s="80" t="n"/>
      <c r="F12" s="80" t="n"/>
      <c r="G12" s="80" t="n"/>
      <c r="H12" s="80" t="n"/>
      <c r="I12" s="80" t="n"/>
      <c r="J12" s="80" t="n"/>
      <c r="K12" s="80" t="n"/>
      <c r="L12" s="80" t="n"/>
    </row>
    <row r="13" ht="60" customHeight="1" s="56">
      <c r="A13" s="81" t="n"/>
      <c r="B13" s="111" t="inlineStr">
        <is>
          <t>High-speed rail Beijing West 12:00 → Nanchang West 17:52 (G335), 2nd class</t>
        </is>
      </c>
      <c r="C13" s="83" t="inlineStr">
        <is>
          <t>17 Dec</t>
        </is>
      </c>
      <c r="D13" s="84" t="n">
        <v>0.2444444444444444</v>
      </c>
      <c r="E13" s="85" t="n">
        <v>745</v>
      </c>
      <c r="F13" s="86" t="inlineStr">
        <is>
          <t>CNY</t>
        </is>
      </c>
      <c r="G13" s="87">
        <f>Compare!$B$6</f>
        <v/>
      </c>
      <c r="H13" s="88">
        <f>E13*G13*IF(F13="USD",Compare!$B$8,IF(F13="CNY",Compare!$B$9,IF(F13="HKD",Compare!$B$10,1)))</f>
        <v/>
      </c>
      <c r="I13" s="89">
        <f>E13</f>
        <v/>
      </c>
      <c r="J13" s="87">
        <f>Compare!$B$7</f>
        <v/>
      </c>
      <c r="K13" s="88">
        <f>I13*J13*IF(F13="USD",Compare!$B$8,IF(F13="CNY",Compare!$B$9,IF(F13="HKD",Compare!$B$10,1)))</f>
        <v/>
      </c>
      <c r="L13" s="112" t="inlineStr">
        <is>
          <t>12306 10 Oct (fares for the 20 Oct train): G335 ¥745 (CTO ¥760 incl. fee); G337 16:55 → 22:53 ¥732 is the safe fallback (MIAT lands 09:45; G333 08:05 is impossible). ~1 h 30 min from PEK to Beijing West at midday – tight</t>
        </is>
      </c>
    </row>
    <row r="14" ht="75" customHeight="1" s="56">
      <c r="A14" s="81" t="n"/>
      <c r="B14" s="111" t="inlineStr">
        <is>
          <t>Overnight train D136 Nanchang 19:22 → Beijing Fengtai 07:31 (+1), 2nd-class seat (after the contest)</t>
        </is>
      </c>
      <c r="C14" s="83" t="inlineStr">
        <is>
          <t>20 Dec (night)</t>
        </is>
      </c>
      <c r="D14" s="84" t="n">
        <v>0.50625</v>
      </c>
      <c r="E14" s="85" t="n">
        <v>271</v>
      </c>
      <c r="F14" s="86" t="inlineStr">
        <is>
          <t>CNY</t>
        </is>
      </c>
      <c r="G14" s="87">
        <f>Compare!$B$6</f>
        <v/>
      </c>
      <c r="H14" s="88">
        <f>E14*G14*IF(F14="USD",Compare!$B$8,IF(F14="CNY",Compare!$B$9,IF(F14="HKD",Compare!$B$10,1)))</f>
        <v/>
      </c>
      <c r="I14" s="89">
        <f>E14</f>
        <v/>
      </c>
      <c r="J14" s="87">
        <f>Compare!$B$7</f>
        <v/>
      </c>
      <c r="K14" s="88">
        <f>I14*J14*IF(F14="USD",Compare!$B$8,IF(F14="CNY",Compare!$B$9,IF(F14="HKD",Compare!$B$10,1)))</f>
        <v/>
      </c>
      <c r="L14" s="112" t="inlineStr">
        <is>
          <t>12306 10 Oct (fares for the 20 Oct train): D136 2nd-class seat ¥271 (sleeper ¥382, saves ¥111 pp); D138 19:38 → 07:38 ¥271, D140 Nanchang West 19:18 → 07:25 ¥307, D134 Nanchang West 20:58 → 09:01 ¥273. Cheapest: Z182 20:01 → 08:46 hard seat. After the contest sleep no longer matters. ChinaTicketOnline lists D136 on 20 Dec, sales open 6 Dec 09:45</t>
        </is>
      </c>
    </row>
    <row r="15" ht="15" customHeight="1" s="56">
      <c r="A15" s="79" t="inlineStr">
        <is>
          <t>Accommodation</t>
        </is>
      </c>
      <c r="B15" s="80" t="n"/>
      <c r="C15" s="80" t="n"/>
      <c r="D15" s="80" t="n"/>
      <c r="E15" s="80" t="n"/>
      <c r="F15" s="80" t="n"/>
      <c r="G15" s="80" t="n"/>
      <c r="H15" s="80" t="n"/>
      <c r="I15" s="80" t="n"/>
      <c r="J15" s="80" t="n"/>
      <c r="K15" s="80" t="n"/>
      <c r="L15" s="80" t="n"/>
    </row>
    <row r="16" ht="45" customHeight="1" s="56">
      <c r="A16" s="81" t="n"/>
      <c r="B16" s="111" t="inlineStr">
        <is>
          <t>Orange Hotel (Nanchang Yaohu West Subway Station, Normal University branch; ~0.7 km to JXNU; 3 ppl 1 room; 4 ppl Family Room)</t>
        </is>
      </c>
      <c r="C16" s="83" t="inlineStr">
        <is>
          <t>17–20 Dec (3 nights)</t>
        </is>
      </c>
      <c r="D16" s="81" t="n"/>
      <c r="E16" s="85" t="n">
        <v>386.67</v>
      </c>
      <c r="F16" s="86" t="inlineStr">
        <is>
          <t>CNY</t>
        </is>
      </c>
      <c r="G16" s="91" t="n">
        <v>3</v>
      </c>
      <c r="H16" s="88">
        <f>E16*G16*IF(F16="USD",Compare!$B$8,IF(F16="CNY",Compare!$B$9,IF(F16="HKD",Compare!$B$10,1)))</f>
        <v/>
      </c>
      <c r="I16" s="85" t="n">
        <v>404.67</v>
      </c>
      <c r="J16" s="91" t="n">
        <v>3</v>
      </c>
      <c r="K16" s="88">
        <f>I16*J16*IF(F16="USD",Compare!$B$8,IF(F16="CNY",Compare!$B$9,IF(F16="HKD",Compare!$B$10,1)))</f>
        <v/>
      </c>
      <c r="L16" s="112" t="inlineStr">
        <is>
          <t>Trip.com 10 Oct: ¥1,160 (3 adults) / ¥1,214 (4 adults, Deluxe Family Room) for 3 nights; rated 9.6 (662 reviews)</t>
        </is>
      </c>
    </row>
    <row r="17" ht="15" customHeight="1" s="56">
      <c r="A17" s="79" t="inlineStr">
        <is>
          <t>Meals &amp; local transport</t>
        </is>
      </c>
      <c r="B17" s="80" t="n"/>
      <c r="C17" s="80" t="n"/>
      <c r="D17" s="80" t="n"/>
      <c r="E17" s="80" t="n"/>
      <c r="F17" s="80" t="n"/>
      <c r="G17" s="80" t="n"/>
      <c r="H17" s="80" t="n"/>
      <c r="I17" s="80" t="n"/>
      <c r="J17" s="80" t="n"/>
      <c r="K17" s="80" t="n"/>
      <c r="L17" s="80" t="n"/>
    </row>
    <row r="18" ht="30" customHeight="1" s="56">
      <c r="A18" s="81" t="n"/>
      <c r="B18" s="111" t="inlineStr">
        <is>
          <t>Meals</t>
        </is>
      </c>
      <c r="C18" s="83" t="inlineStr">
        <is>
          <t>in destination</t>
        </is>
      </c>
      <c r="D18" s="81" t="n"/>
      <c r="E18" s="113" t="n">
        <v>80</v>
      </c>
      <c r="F18" s="86" t="inlineStr">
        <is>
          <t>CNY</t>
        </is>
      </c>
      <c r="G18" s="87">
        <f>Compare!$B$6*$B$4</f>
        <v/>
      </c>
      <c r="H18" s="88">
        <f>E18*G18*IF(F18="USD",Compare!$B$8,IF(F18="CNY",Compare!$B$9,IF(F18="HKD",Compare!$B$10,1)))</f>
        <v/>
      </c>
      <c r="I18" s="114">
        <f>E18</f>
        <v/>
      </c>
      <c r="J18" s="87">
        <f>Compare!$B$7*$B$4</f>
        <v/>
      </c>
      <c r="K18" s="88">
        <f>I18*J18*IF(F18="USD",Compare!$B$8,IF(F18="CNY",Compare!$B$9,IF(F18="HKD",Compare!$B$10,1)))</f>
        <v/>
      </c>
      <c r="L18" s="112" t="inlineStr">
        <is>
          <t>ASSUMPTION 80 CNY/person/day; hosts usually provide some meals on contest days</t>
        </is>
      </c>
    </row>
    <row r="19" ht="15" customHeight="1" s="56">
      <c r="A19" s="81" t="n"/>
      <c r="B19" s="111" t="inlineStr">
        <is>
          <t>Local transport (metro, taxis)</t>
        </is>
      </c>
      <c r="C19" s="83" t="inlineStr">
        <is>
          <t>in destination</t>
        </is>
      </c>
      <c r="D19" s="81" t="n"/>
      <c r="E19" s="113" t="n">
        <v>30</v>
      </c>
      <c r="F19" s="86" t="inlineStr">
        <is>
          <t>CNY</t>
        </is>
      </c>
      <c r="G19" s="87">
        <f>Compare!$B$6*$B$4</f>
        <v/>
      </c>
      <c r="H19" s="88">
        <f>E19*G19*IF(F19="USD",Compare!$B$8,IF(F19="CNY",Compare!$B$9,IF(F19="HKD",Compare!$B$10,1)))</f>
        <v/>
      </c>
      <c r="I19" s="114">
        <f>E19</f>
        <v/>
      </c>
      <c r="J19" s="87">
        <f>Compare!$B$7*$B$4</f>
        <v/>
      </c>
      <c r="K19" s="88">
        <f>I19*J19*IF(F19="USD",Compare!$B$8,IF(F19="CNY",Compare!$B$9,IF(F19="HKD",Compare!$B$10,1)))</f>
        <v/>
      </c>
      <c r="L19" s="112" t="inlineStr">
        <is>
          <t>ASSUMPTION 30 CNY/person/day</t>
        </is>
      </c>
    </row>
    <row r="20" ht="30" customHeight="1" s="56">
      <c r="A20" s="81" t="n"/>
      <c r="B20" s="111" t="inlineStr">
        <is>
          <t>Taxi PEK → Beijing West station</t>
        </is>
      </c>
      <c r="C20" s="83" t="inlineStr">
        <is>
          <t>17 Dec</t>
        </is>
      </c>
      <c r="D20" s="84" t="n"/>
      <c r="E20" s="113" t="n">
        <v>130</v>
      </c>
      <c r="F20" s="86" t="inlineStr">
        <is>
          <t>CNY</t>
        </is>
      </c>
      <c r="G20" s="91" t="n">
        <v>1</v>
      </c>
      <c r="H20" s="88">
        <f>E20*G20*IF(F20="USD",Compare!$B$8,IF(F20="CNY",Compare!$B$9,IF(F20="HKD",Compare!$B$10,1)))</f>
        <v/>
      </c>
      <c r="I20" s="114">
        <f>E20</f>
        <v/>
      </c>
      <c r="J20" s="91" t="n">
        <v>1</v>
      </c>
      <c r="K20" s="88">
        <f>I20*J20*IF(F20="USD",Compare!$B$8,IF(F20="CNY",Compare!$B$9,IF(F20="HKD",Compare!$B$10,1)))</f>
        <v/>
      </c>
      <c r="L20" s="112" t="inlineStr">
        <is>
          <t>ASSUMPTION ~130 CNY per car, ~45 km (Airport Express + metro line 10/7 ~45 CNY pp)</t>
        </is>
      </c>
    </row>
    <row r="21" ht="30" customHeight="1" s="56">
      <c r="A21" s="81" t="n"/>
      <c r="B21" s="111" t="inlineStr">
        <is>
          <t>Taxi Nanchang West station → hotel</t>
        </is>
      </c>
      <c r="C21" s="83" t="inlineStr">
        <is>
          <t>17 Dec</t>
        </is>
      </c>
      <c r="D21" s="84" t="n"/>
      <c r="E21" s="113" t="n">
        <v>110</v>
      </c>
      <c r="F21" s="86" t="inlineStr">
        <is>
          <t>CNY</t>
        </is>
      </c>
      <c r="G21" s="91" t="n">
        <v>1</v>
      </c>
      <c r="H21" s="88">
        <f>E21*G21*IF(F21="USD",Compare!$B$8,IF(F21="CNY",Compare!$B$9,IF(F21="HKD",Compare!$B$10,1)))</f>
        <v/>
      </c>
      <c r="I21" s="114">
        <f>E21</f>
        <v/>
      </c>
      <c r="J21" s="91" t="n">
        <v>1</v>
      </c>
      <c r="K21" s="88">
        <f>I21*J21*IF(F21="USD",Compare!$B$8,IF(F21="CNY",Compare!$B$9,IF(F21="HKD",Compare!$B$10,1)))</f>
        <v/>
      </c>
      <c r="L21" s="112" t="inlineStr">
        <is>
          <t>ASSUMPTION ~110 CNY per car, ~35 km (2019 handbook ¥105; metro 2 + 1 1 h 8 min)</t>
        </is>
      </c>
    </row>
    <row r="22" ht="15" customHeight="1" s="56">
      <c r="A22" s="81" t="n"/>
      <c r="B22" s="111" t="inlineStr">
        <is>
          <t>Taxi Beijing Fengtai → PEK</t>
        </is>
      </c>
      <c r="C22" s="83" t="inlineStr">
        <is>
          <t>21 Dec</t>
        </is>
      </c>
      <c r="D22" s="84" t="n"/>
      <c r="E22" s="113" t="n">
        <v>150</v>
      </c>
      <c r="F22" s="86" t="inlineStr">
        <is>
          <t>CNY</t>
        </is>
      </c>
      <c r="G22" s="91" t="n">
        <v>1</v>
      </c>
      <c r="H22" s="88">
        <f>E22*G22*IF(F22="USD",Compare!$B$8,IF(F22="CNY",Compare!$B$9,IF(F22="HKD",Compare!$B$10,1)))</f>
        <v/>
      </c>
      <c r="I22" s="114">
        <f>E22</f>
        <v/>
      </c>
      <c r="J22" s="91" t="n">
        <v>1</v>
      </c>
      <c r="K22" s="88">
        <f>I22*J22*IF(F22="USD",Compare!$B$8,IF(F22="CNY",Compare!$B$9,IF(F22="HKD",Compare!$B$10,1)))</f>
        <v/>
      </c>
      <c r="L22" s="112" t="inlineStr">
        <is>
          <t>ASSUMPTION ~150 CNY per car, ~45 km</t>
        </is>
      </c>
    </row>
    <row r="23" ht="15" customHeight="1" s="56">
      <c r="A23" s="81" t="n"/>
      <c r="B23" s="111" t="inlineStr">
        <is>
          <t>Taxi Nanchang station ↔ hotel departure</t>
        </is>
      </c>
      <c r="C23" s="83" t="inlineStr">
        <is>
          <t>20 Dec</t>
        </is>
      </c>
      <c r="D23" s="84" t="n"/>
      <c r="E23" s="113" t="n">
        <v>60</v>
      </c>
      <c r="F23" s="86" t="inlineStr">
        <is>
          <t>CNY</t>
        </is>
      </c>
      <c r="G23" s="91" t="n">
        <v>1</v>
      </c>
      <c r="H23" s="88">
        <f>E23*G23*IF(F23="USD",Compare!$B$8,IF(F23="CNY",Compare!$B$9,IF(F23="HKD",Compare!$B$10,1)))</f>
        <v/>
      </c>
      <c r="I23" s="114">
        <f>E23</f>
        <v/>
      </c>
      <c r="J23" s="91" t="n">
        <v>1</v>
      </c>
      <c r="K23" s="88">
        <f>I23*J23*IF(F23="USD",Compare!$B$8,IF(F23="CNY",Compare!$B$9,IF(F23="HKD",Compare!$B$10,1)))</f>
        <v/>
      </c>
      <c r="L23" s="112" t="inlineStr">
        <is>
          <t>ASSUMPTION ~60 CNY per car, ~15 km</t>
        </is>
      </c>
    </row>
    <row r="24" ht="15" customHeight="1" s="56">
      <c r="A24" s="94" t="inlineStr">
        <is>
          <t>PAID PERSONALLY (university won't cover)</t>
        </is>
      </c>
      <c r="B24" s="95" t="n"/>
      <c r="C24" s="95" t="n"/>
      <c r="D24" s="95" t="n"/>
      <c r="E24" s="95" t="n"/>
      <c r="F24" s="95" t="n"/>
      <c r="G24" s="95" t="n"/>
      <c r="H24" s="95" t="n"/>
      <c r="I24" s="95" t="n"/>
      <c r="J24" s="95" t="n"/>
      <c r="K24" s="95" t="n"/>
      <c r="L24" s="95" t="n"/>
    </row>
    <row r="25" ht="15" customHeight="1" s="56">
      <c r="A25" s="79" t="inlineStr">
        <is>
          <t>Contest fee</t>
        </is>
      </c>
      <c r="B25" s="80" t="n"/>
      <c r="C25" s="80" t="n"/>
      <c r="D25" s="80" t="n"/>
      <c r="E25" s="80" t="n"/>
      <c r="F25" s="80" t="n"/>
      <c r="G25" s="80" t="n"/>
      <c r="H25" s="80" t="n"/>
      <c r="I25" s="80" t="n"/>
      <c r="J25" s="80" t="n"/>
      <c r="K25" s="80" t="n"/>
      <c r="L25" s="80" t="n"/>
    </row>
    <row r="26" ht="22.35" customHeight="1" s="56">
      <c r="A26" s="81" t="n"/>
      <c r="B26" s="82" t="inlineStr">
        <is>
          <t>Nanchang regional registration fee (per team)</t>
        </is>
      </c>
      <c r="C26" s="83" t="inlineStr">
        <is>
          <t>TBC</t>
        </is>
      </c>
      <c r="D26" s="81" t="n"/>
      <c r="E26" s="113" t="n">
        <v>1500</v>
      </c>
      <c r="F26" s="86" t="inlineStr">
        <is>
          <t>CNY</t>
        </is>
      </c>
      <c r="G26" s="91" t="n">
        <v>1</v>
      </c>
      <c r="H26" s="88">
        <f>E26*G26*IF(F26="USD",Compare!$B$8,IF(F26="CNY",Compare!$B$9,IF(F26="HKD",Compare!$B$10,1)))</f>
        <v/>
      </c>
      <c r="I26" s="114">
        <f>E26</f>
        <v/>
      </c>
      <c r="J26" s="91" t="n">
        <v>1</v>
      </c>
      <c r="K26" s="88">
        <f>I26*J26*IF(F26="USD",Compare!$B$8,IF(F26="CNY",Compare!$B$9,IF(F26="HKD",Compare!$B$10,1)))</f>
        <v/>
      </c>
      <c r="L26" s="90" t="inlineStr">
        <is>
          <t>ASSUMPTION: 1,500 CNY/team like other EC regionals; the 2019 Nanchang handbook has no fee and the 2026 invitation is not seen</t>
        </is>
      </c>
    </row>
    <row r="27" ht="15" customHeight="1" s="56">
      <c r="A27" s="79" t="inlineStr">
        <is>
          <t>Other</t>
        </is>
      </c>
      <c r="B27" s="80" t="n"/>
      <c r="C27" s="80" t="n"/>
      <c r="D27" s="80" t="n"/>
      <c r="E27" s="80" t="n"/>
      <c r="F27" s="80" t="n"/>
      <c r="G27" s="80" t="n"/>
      <c r="H27" s="80" t="n"/>
      <c r="I27" s="80" t="n"/>
      <c r="J27" s="80" t="n"/>
      <c r="K27" s="80" t="n"/>
      <c r="L27" s="80" t="n"/>
    </row>
    <row r="28" ht="15" customHeight="1" s="56">
      <c r="A28" s="81" t="n"/>
      <c r="B28" s="82" t="inlineStr">
        <is>
          <t>Taxi to/from Chinggis Khaan airport (UB), per trip</t>
        </is>
      </c>
      <c r="C28" s="83" t="inlineStr">
        <is>
          <t>out &amp; back</t>
        </is>
      </c>
      <c r="D28" s="84" t="n">
        <v>0.04166666666666666</v>
      </c>
      <c r="E28" s="92" t="n">
        <v>100000</v>
      </c>
      <c r="F28" s="86" t="inlineStr">
        <is>
          <t>MNT</t>
        </is>
      </c>
      <c r="G28" s="91" t="n">
        <v>2</v>
      </c>
      <c r="H28" s="88">
        <f>E28*G28*IF(F28="USD",Compare!$B$8,IF(F28="CNY",Compare!$B$9,IF(F28="HKD",Compare!$B$10,1)))</f>
        <v/>
      </c>
      <c r="I28" s="93">
        <f>E28</f>
        <v/>
      </c>
      <c r="J28" s="91" t="n">
        <v>2</v>
      </c>
      <c r="K28" s="88">
        <f>I28*J28*IF(F28="USD",Compare!$B$8,IF(F28="CNY",Compare!$B$9,IF(F28="HKD",Compare!$B$10,1)))</f>
        <v/>
      </c>
      <c r="L28" s="90" t="inlineStr">
        <is>
          <t>ASSUMPTION 100k MNT per trip for the group</t>
        </is>
      </c>
    </row>
    <row r="29" ht="15" customHeight="1" s="56">
      <c r="A29" s="81" t="n"/>
      <c r="B29" s="82" t="inlineStr">
        <is>
          <t>Travel medical insurance</t>
        </is>
      </c>
      <c r="C29" s="83" t="n"/>
      <c r="D29" s="81" t="n"/>
      <c r="E29" s="92" t="n">
        <v>30000</v>
      </c>
      <c r="F29" s="86" t="inlineStr">
        <is>
          <t>MNT</t>
        </is>
      </c>
      <c r="G29" s="87">
        <f>Compare!$B$6</f>
        <v/>
      </c>
      <c r="H29" s="88">
        <f>E29*G29*IF(F29="USD",Compare!$B$8,IF(F29="CNY",Compare!$B$9,IF(F29="HKD",Compare!$B$10,1)))</f>
        <v/>
      </c>
      <c r="I29" s="93">
        <f>E29</f>
        <v/>
      </c>
      <c r="J29" s="87">
        <f>Compare!$B$7</f>
        <v/>
      </c>
      <c r="K29" s="88">
        <f>I29*J29*IF(F29="USD",Compare!$B$8,IF(F29="CNY",Compare!$B$9,IF(F29="HKD",Compare!$B$10,1)))</f>
        <v/>
      </c>
      <c r="L29" s="90" t="inlineStr">
        <is>
          <t>ASSUMPTION ~30k MNT per person, Mongolian insurer</t>
        </is>
      </c>
    </row>
    <row r="30" ht="15" customHeight="1" s="56">
      <c r="A30" s="81" t="n"/>
      <c r="B30" s="82" t="inlineStr">
        <is>
          <t>Mobile data eSIM</t>
        </is>
      </c>
      <c r="C30" s="83" t="n"/>
      <c r="D30" s="81" t="n"/>
      <c r="E30" s="92" t="n">
        <v>10</v>
      </c>
      <c r="F30" s="86" t="inlineStr">
        <is>
          <t>USD</t>
        </is>
      </c>
      <c r="G30" s="87">
        <f>Compare!$B$6</f>
        <v/>
      </c>
      <c r="H30" s="88">
        <f>E30*G30*IF(F30="USD",Compare!$B$8,IF(F30="CNY",Compare!$B$9,IF(F30="HKD",Compare!$B$10,1)))</f>
        <v/>
      </c>
      <c r="I30" s="93">
        <f>E30</f>
        <v/>
      </c>
      <c r="J30" s="87">
        <f>Compare!$B$7</f>
        <v/>
      </c>
      <c r="K30" s="88">
        <f>I30*J30*IF(F30="USD",Compare!$B$8,IF(F30="CNY",Compare!$B$9,IF(F30="HKD",Compare!$B$10,1)))</f>
        <v/>
      </c>
      <c r="L30" s="90" t="inlineStr">
        <is>
          <t>ASSUMPTION ~$10 pp</t>
        </is>
      </c>
    </row>
    <row r="31" ht="22.35" customHeight="1" s="56">
      <c r="A31" s="81" t="n"/>
      <c r="B31" s="82" t="inlineStr">
        <is>
          <t>Visa</t>
        </is>
      </c>
      <c r="C31" s="83" t="n"/>
      <c r="D31" s="81" t="n"/>
      <c r="E31" s="85" t="n">
        <v>0</v>
      </c>
      <c r="F31" s="86" t="inlineStr">
        <is>
          <t>MNT</t>
        </is>
      </c>
      <c r="G31" s="87">
        <f>Compare!$B$6</f>
        <v/>
      </c>
      <c r="H31" s="88">
        <f>E31*G31*IF(F31="USD",Compare!$B$8,IF(F31="CNY",Compare!$B$9,IF(F31="HKD",Compare!$B$10,1)))</f>
        <v/>
      </c>
      <c r="I31" s="89">
        <f>E31</f>
        <v/>
      </c>
      <c r="J31" s="87">
        <f>Compare!$B$7</f>
        <v/>
      </c>
      <c r="K31" s="88">
        <f>I31*J31*IF(F31="USD",Compare!$B$8,IF(F31="CNY",Compare!$B$9,IF(F31="HKD",Compare!$B$10,1)))</f>
        <v/>
      </c>
      <c r="L31" s="90" t="inlineStr">
        <is>
          <t>Mongolian passports: visa-free (mainland China up to 30 days; Hong Kong up to 14 days)</t>
        </is>
      </c>
    </row>
    <row r="33" ht="15" customHeight="1" s="56">
      <c r="G33" s="60" t="n"/>
      <c r="H33" s="96" t="inlineStr">
        <is>
          <t>3 people – UNFUNDED</t>
        </is>
      </c>
      <c r="K33" s="96" t="inlineStr">
        <is>
          <t>4 people – FUNDED ₮12M</t>
        </is>
      </c>
    </row>
    <row r="34" ht="15" customHeight="1" s="56">
      <c r="G34" s="97" t="inlineStr">
        <is>
          <t>University-paid subtotal</t>
        </is>
      </c>
      <c r="H34" s="98">
        <f>SUM(H9:H23)</f>
        <v/>
      </c>
      <c r="K34" s="98">
        <f>SUM(K9:K23)</f>
        <v/>
      </c>
    </row>
    <row r="35" ht="15" customHeight="1" s="56">
      <c r="G35" s="99" t="inlineStr">
        <is>
          <t>Contingency</t>
        </is>
      </c>
      <c r="H35" s="100">
        <f>H34*Compare!$B$11</f>
        <v/>
      </c>
      <c r="K35" s="100">
        <f>K34*Compare!$B$11</f>
        <v/>
      </c>
    </row>
    <row r="36" ht="15" customHeight="1" s="56">
      <c r="G36" s="97" t="inlineStr">
        <is>
          <t>University-paid total incl. contingency</t>
        </is>
      </c>
      <c r="H36" s="98">
        <f>H34+H35</f>
        <v/>
      </c>
      <c r="K36" s="98">
        <f>K34+K35</f>
        <v/>
      </c>
    </row>
    <row r="37" ht="15" customHeight="1" s="56">
      <c r="G37" s="97" t="inlineStr">
        <is>
          <t>Funding left (negative = over)</t>
        </is>
      </c>
      <c r="H37" s="101">
        <f>Compare!$B$12-H36</f>
        <v/>
      </c>
      <c r="K37" s="101">
        <f>Compare!$B$5-K36</f>
        <v/>
      </c>
    </row>
    <row r="38" ht="15" customHeight="1" s="56">
      <c r="G38" s="97" t="inlineStr">
        <is>
          <t>Personal costs – team</t>
        </is>
      </c>
      <c r="H38" s="102">
        <f>SUM(H25:H31)</f>
        <v/>
      </c>
      <c r="K38" s="102">
        <f>SUM(K25:K31)</f>
        <v/>
      </c>
    </row>
    <row r="39" ht="15" customHeight="1" s="56">
      <c r="G39" s="97" t="inlineStr">
        <is>
          <t>Out-of-pocket per person (personal + any overrun)</t>
        </is>
      </c>
      <c r="H39" s="102">
        <f>(H38+MAX(0,-H37))/Compare!$B$6</f>
        <v/>
      </c>
      <c r="K39" s="102">
        <f>(K38+MAX(0,-K37))/Compare!$B$7</f>
        <v/>
      </c>
    </row>
    <row r="40" ht="15" customHeight="1" s="56">
      <c r="G40" s="97" t="inlineStr">
        <is>
          <t>Whole trip cost (university + personal)</t>
        </is>
      </c>
      <c r="H40" s="103">
        <f>H36+H38</f>
        <v/>
      </c>
      <c r="K40" s="103">
        <f>K36+K38</f>
        <v/>
      </c>
    </row>
    <row r="41" ht="15" customHeight="1" s="56">
      <c r="G41" s="99" t="inlineStr">
        <is>
          <t>Time in planes &amp; trains</t>
        </is>
      </c>
      <c r="H41" s="104">
        <f>D10+D11+D13+D14</f>
        <v/>
      </c>
      <c r="K41" s="104">
        <f>D10+D11+D13+D14</f>
        <v/>
      </c>
    </row>
    <row r="43" ht="15" customHeight="1" s="56">
      <c r="A43" s="72" t="inlineStr">
        <is>
          <t>Key facts</t>
        </is>
      </c>
    </row>
    <row r="44" ht="45" customHeight="1" s="56">
      <c r="A44" s="75" t="inlineStr">
        <is>
          <t>Contest</t>
        </is>
      </c>
      <c r="B44" s="74" t="inlineStr">
        <is>
          <t>Asia Nanchang Regional, 19–20 Dec 2026 (provisional), host Jiangxi Normal University, Yaohu campus (Zixia Ave 99; gym ~28.683 N, 116.032 E). The 2019 Nanchang regional used the same campus: registration 13:00–18:00 the day before and 08:00–12:00 on day 1, opening 14:30, warm-up 15:00–17:00; day 2 contest 09:00–14:00, closing 15:00–16:30. Confirm all of this in the 2026 invitation.</t>
        </is>
      </c>
    </row>
    <row r="45" ht="30" customHeight="1" s="56">
      <c r="A45" s="75" t="inlineStr">
        <is>
          <t>Getting there</t>
        </is>
      </c>
      <c r="B45" s="74" t="inlineStr">
        <is>
          <t>Metro line 1 to Aoti Zhongxin station, exit 2, ~100 m from the campus (53 min from Nanchang station, 1 h 8 min from Nanchang West; taxi ~¥40 / ~¥105 per the 2019 handbook).</t>
        </is>
      </c>
    </row>
    <row r="46" ht="15" customHeight="1" s="56">
      <c r="A46" s="75" t="inlineStr">
        <is>
          <t>Why this plan</t>
        </is>
      </c>
      <c r="B46" s="74" t="inlineStr">
        <is>
          <t>Arrive on 17 Dec at 17:52, three hotel nights and a full rest day; no waiting in Beijing. Best if the team wants a fresh start.</t>
        </is>
      </c>
    </row>
    <row r="47" ht="15" customHeight="1" s="56">
      <c r="A47" s="75" t="inlineStr">
        <is>
          <t>Trade-off</t>
        </is>
      </c>
      <c r="B47" s="74" t="inlineStr">
        <is>
          <t>¥745 train, one more hotel night and a dearer MIAT flight: about ₮1.65M more than the sleeper plan (3 ppl). G335 at 12:00 leaves little margin after MIAT lands – otherwise take G337 16:55 → 22:53.</t>
        </is>
      </c>
    </row>
    <row r="49" ht="15" customHeight="1" s="56">
      <c r="A49" s="72" t="inlineStr">
        <is>
          <t>Day-by-day plan</t>
        </is>
      </c>
    </row>
    <row r="50" ht="15" customHeight="1" s="56">
      <c r="A50" s="96" t="inlineStr">
        <is>
          <t>Date</t>
        </is>
      </c>
      <c r="B50" s="96" t="inlineStr">
        <is>
          <t>Sleep in</t>
        </is>
      </c>
      <c r="C50" s="96" t="inlineStr">
        <is>
          <t>What happens</t>
        </is>
      </c>
    </row>
    <row r="51" ht="15" customHeight="1" s="56">
      <c r="A51" s="74" t="inlineStr">
        <is>
          <t>Thu 17 Dec</t>
        </is>
      </c>
      <c r="B51" s="74" t="inlineStr">
        <is>
          <t>Nanchang</t>
        </is>
      </c>
      <c r="C51" s="74" t="inlineStr">
        <is>
          <t>MIAT OM223 UB 07:30 → Beijing 09:45; taxi to Beijing West; G335 12:00 → Nanchang West 17:52; taxi to Orange Hotel.</t>
        </is>
      </c>
    </row>
    <row r="52" ht="15" customHeight="1" s="56">
      <c r="A52" s="74" t="inlineStr">
        <is>
          <t>Fri 18 Dec</t>
        </is>
      </c>
      <c r="B52" s="74" t="inlineStr">
        <is>
          <t>Nanchang</t>
        </is>
      </c>
      <c r="C52" s="74" t="inlineStr">
        <is>
          <t>Rest / practice day. Registration may open 13:00–18:00 (2019 pattern).</t>
        </is>
      </c>
    </row>
    <row r="53" ht="15" customHeight="1" s="56">
      <c r="A53" s="74" t="inlineStr">
        <is>
          <t>Sat 19 Dec</t>
        </is>
      </c>
      <c r="B53" s="74" t="inlineStr">
        <is>
          <t>Nanchang</t>
        </is>
      </c>
      <c r="C53" s="74" t="inlineStr">
        <is>
          <t>Registration (08:00–12:00), opening ~14:30, warm-up 15:00–17:00 at the JXNU Yaohu gym (2019 pattern).</t>
        </is>
      </c>
    </row>
    <row r="54" ht="15" customHeight="1" s="56">
      <c r="A54" s="74" t="inlineStr">
        <is>
          <t>Sun 20 Dec</t>
        </is>
      </c>
      <c r="B54" s="74" t="inlineStr">
        <is>
          <t>Train</t>
        </is>
      </c>
      <c r="C54" s="74" t="inlineStr">
        <is>
          <t>NANCHANG REGIONAL contest day 09:00–14:00; closing ~15:00–16:30. Metro to Nanchang station; D136 19:22 → Beijing Fengtai 07:31.</t>
        </is>
      </c>
    </row>
    <row r="55" ht="15" customHeight="1" s="56">
      <c r="A55" s="74" t="inlineStr">
        <is>
          <t>Mon 21 Dec</t>
        </is>
      </c>
      <c r="B55" s="74" t="inlineStr">
        <is>
          <t>Home</t>
        </is>
      </c>
      <c r="C55" s="74" t="inlineStr">
        <is>
          <t>Taxi Fengtai → PEK. Air China CA955 12:55 → UB 15:05.</t>
        </is>
      </c>
    </row>
    <row r="57" ht="15" customHeight="1" s="56">
      <c r="A57" s="72" t="inlineStr">
        <is>
          <t>Door-to-door travel times</t>
        </is>
      </c>
    </row>
    <row r="58" ht="15" customHeight="1" s="56">
      <c r="A58" s="96" t="inlineStr">
        <is>
          <t>Date</t>
        </is>
      </c>
      <c r="B58" s="96" t="inlineStr">
        <is>
          <t>Leg</t>
        </is>
      </c>
      <c r="C58" s="96" t="inlineStr">
        <is>
          <t>Mode</t>
        </is>
      </c>
      <c r="D58" s="96" t="inlineStr">
        <is>
          <t>Expected time</t>
        </is>
      </c>
      <c r="E58" s="96" t="inlineStr">
        <is>
          <t>Notes</t>
        </is>
      </c>
    </row>
    <row r="59" ht="15" customHeight="1" s="56">
      <c r="A59" s="105" t="inlineStr">
        <is>
          <t>17 Dec</t>
        </is>
      </c>
      <c r="B59" s="105" t="inlineStr">
        <is>
          <t>Home → Chinggis Khaan airport</t>
        </is>
      </c>
      <c r="C59" s="82" t="inlineStr">
        <is>
          <t>Taxi (~50 km)</t>
        </is>
      </c>
      <c r="D59" s="104" t="n">
        <v>0.04166666666666666</v>
      </c>
      <c r="E59" s="106" t="inlineStr">
        <is>
          <t>Leave ~04:30 for 07:30 flight</t>
        </is>
      </c>
      <c r="F59" s="107" t="n"/>
      <c r="G59" s="107" t="n"/>
      <c r="H59" s="107" t="n"/>
      <c r="I59" s="107" t="n"/>
      <c r="J59" s="107" t="n"/>
      <c r="K59" s="107" t="n"/>
      <c r="L59" s="107" t="n"/>
    </row>
    <row r="60" ht="15" customHeight="1" s="56">
      <c r="A60" s="105" t="inlineStr">
        <is>
          <t>17 Dec</t>
        </is>
      </c>
      <c r="B60" s="105" t="inlineStr">
        <is>
          <t>Ulaanbaatar → Beijing (PEK)</t>
        </is>
      </c>
      <c r="C60" s="82" t="inlineStr">
        <is>
          <t>MIAT OM223 07:30–09:45</t>
        </is>
      </c>
      <c r="D60" s="104" t="n">
        <v>0.09375</v>
      </c>
      <c r="E60" s="106" t="inlineStr"/>
      <c r="F60" s="107" t="n"/>
      <c r="G60" s="107" t="n"/>
      <c r="H60" s="107" t="n"/>
      <c r="I60" s="107" t="n"/>
      <c r="J60" s="107" t="n"/>
      <c r="K60" s="107" t="n"/>
      <c r="L60" s="107" t="n"/>
    </row>
    <row r="61" ht="15" customHeight="1" s="56">
      <c r="A61" s="105" t="inlineStr">
        <is>
          <t>17 Dec</t>
        </is>
      </c>
      <c r="B61" s="105" t="inlineStr">
        <is>
          <t>PEK arrival: immigration, bags</t>
        </is>
      </c>
      <c r="C61" s="82" t="inlineStr">
        <is>
          <t>—</t>
        </is>
      </c>
      <c r="D61" s="104" t="n">
        <v>0.03125</v>
      </c>
      <c r="E61" s="106" t="inlineStr">
        <is>
          <t>Estimate</t>
        </is>
      </c>
      <c r="F61" s="107" t="n"/>
      <c r="G61" s="107" t="n"/>
      <c r="H61" s="107" t="n"/>
      <c r="I61" s="107" t="n"/>
      <c r="J61" s="107" t="n"/>
      <c r="K61" s="107" t="n"/>
      <c r="L61" s="107" t="n"/>
    </row>
    <row r="62" ht="15" customHeight="1" s="56">
      <c r="A62" s="105" t="inlineStr">
        <is>
          <t>17 Dec</t>
        </is>
      </c>
      <c r="B62" s="105" t="inlineStr">
        <is>
          <t>PEK → Beijing West</t>
        </is>
      </c>
      <c r="C62" s="82" t="inlineStr">
        <is>
          <t>Taxi (~45 km)</t>
        </is>
      </c>
      <c r="D62" s="104" t="n">
        <v>0.05208333333333334</v>
      </c>
      <c r="E62" s="106" t="inlineStr">
        <is>
          <t>Estimate; be at Beijing West by ~11:30</t>
        </is>
      </c>
      <c r="F62" s="107" t="n"/>
      <c r="G62" s="107" t="n"/>
      <c r="H62" s="107" t="n"/>
      <c r="I62" s="107" t="n"/>
      <c r="J62" s="107" t="n"/>
      <c r="K62" s="107" t="n"/>
      <c r="L62" s="107" t="n"/>
    </row>
    <row r="63" ht="15" customHeight="1" s="56">
      <c r="A63" s="105" t="inlineStr">
        <is>
          <t>17 Dec</t>
        </is>
      </c>
      <c r="B63" s="105" t="inlineStr">
        <is>
          <t>Beijing West → Nanchang West</t>
        </is>
      </c>
      <c r="C63" s="82" t="inlineStr">
        <is>
          <t>G335 12:00–17:52</t>
        </is>
      </c>
      <c r="D63" s="104" t="n">
        <v>0.2444444444444444</v>
      </c>
      <c r="E63" s="106" t="inlineStr"/>
      <c r="F63" s="107" t="n"/>
      <c r="G63" s="107" t="n"/>
      <c r="H63" s="107" t="n"/>
      <c r="I63" s="107" t="n"/>
      <c r="J63" s="107" t="n"/>
      <c r="K63" s="107" t="n"/>
      <c r="L63" s="107" t="n"/>
    </row>
    <row r="64" ht="15" customHeight="1" s="56">
      <c r="A64" s="105" t="inlineStr">
        <is>
          <t>17 Dec</t>
        </is>
      </c>
      <c r="B64" s="105" t="inlineStr">
        <is>
          <t>Nanchang West → hotel</t>
        </is>
      </c>
      <c r="C64" s="82" t="inlineStr">
        <is>
          <t>Taxi (~35 km)</t>
        </is>
      </c>
      <c r="D64" s="104" t="n">
        <v>0.03472222222222222</v>
      </c>
      <c r="E64" s="106" t="inlineStr">
        <is>
          <t>Estimate</t>
        </is>
      </c>
      <c r="F64" s="107" t="n"/>
      <c r="G64" s="107" t="n"/>
      <c r="H64" s="107" t="n"/>
      <c r="I64" s="107" t="n"/>
      <c r="J64" s="107" t="n"/>
      <c r="K64" s="107" t="n"/>
      <c r="L64" s="107" t="n"/>
    </row>
    <row r="65" ht="15" customHeight="1" s="56">
      <c r="A65" s="105" t="inlineStr">
        <is>
          <t>18–20 Dec</t>
        </is>
      </c>
      <c r="B65" s="105" t="inlineStr">
        <is>
          <t>Hotel ↔ JXNU Yaohu campus (each way)</t>
        </is>
      </c>
      <c r="C65" s="82" t="inlineStr">
        <is>
          <t>Walk</t>
        </is>
      </c>
      <c r="D65" s="104" t="inlineStr">
        <is>
          <t>daily</t>
        </is>
      </c>
      <c r="E65" s="106" t="inlineStr">
        <is>
          <t>~10–15 min walk (Orange Hotel ~0.7 km)</t>
        </is>
      </c>
      <c r="F65" s="107" t="n"/>
      <c r="G65" s="107" t="n"/>
      <c r="H65" s="107" t="n"/>
      <c r="I65" s="107" t="n"/>
      <c r="J65" s="107" t="n"/>
      <c r="K65" s="107" t="n"/>
      <c r="L65" s="107" t="n"/>
    </row>
    <row r="66" ht="15" customHeight="1" s="56">
      <c r="A66" s="105" t="inlineStr">
        <is>
          <t>20 Dec</t>
        </is>
      </c>
      <c r="B66" s="105" t="inlineStr">
        <is>
          <t>JXNU Yaohu campus → Nanchang station</t>
        </is>
      </c>
      <c r="C66" s="82" t="inlineStr">
        <is>
          <t>Metro line 1 + 2 / taxi</t>
        </is>
      </c>
      <c r="D66" s="104" t="n">
        <v>0.03819444444444445</v>
      </c>
      <c r="E66" s="106" t="inlineStr">
        <is>
          <t>Leave ~17:45 for the 19:22 train</t>
        </is>
      </c>
      <c r="F66" s="107" t="n"/>
      <c r="G66" s="107" t="n"/>
      <c r="H66" s="107" t="n"/>
      <c r="I66" s="107" t="n"/>
      <c r="J66" s="107" t="n"/>
      <c r="K66" s="107" t="n"/>
      <c r="L66" s="107" t="n"/>
    </row>
    <row r="67" ht="15" customHeight="1" s="56">
      <c r="A67" s="105" t="inlineStr">
        <is>
          <t>20–21 Dec</t>
        </is>
      </c>
      <c r="B67" s="105" t="inlineStr">
        <is>
          <t>Nanchang → Beijing Fengtai</t>
        </is>
      </c>
      <c r="C67" s="82" t="inlineStr">
        <is>
          <t>D136 seat 19:22–07:31</t>
        </is>
      </c>
      <c r="D67" s="104" t="n">
        <v>0.50625</v>
      </c>
      <c r="E67" s="106" t="inlineStr">
        <is>
          <t>Overnight</t>
        </is>
      </c>
      <c r="F67" s="107" t="n"/>
      <c r="G67" s="107" t="n"/>
      <c r="H67" s="107" t="n"/>
      <c r="I67" s="107" t="n"/>
      <c r="J67" s="107" t="n"/>
      <c r="K67" s="107" t="n"/>
      <c r="L67" s="107" t="n"/>
    </row>
    <row r="68" ht="15" customHeight="1" s="56">
      <c r="A68" s="105" t="inlineStr">
        <is>
          <t>21 Dec</t>
        </is>
      </c>
      <c r="B68" s="105" t="inlineStr">
        <is>
          <t>Beijing Fengtai → PEK</t>
        </is>
      </c>
      <c r="C68" s="82" t="inlineStr">
        <is>
          <t>Taxi (~45 km)</t>
        </is>
      </c>
      <c r="D68" s="104" t="n">
        <v>0.05208333333333334</v>
      </c>
      <c r="E68" s="106" t="inlineStr">
        <is>
          <t>Be at PEK by ~10:55 for the 12:55 flight</t>
        </is>
      </c>
      <c r="F68" s="107" t="n"/>
      <c r="G68" s="107" t="n"/>
      <c r="H68" s="107" t="n"/>
      <c r="I68" s="107" t="n"/>
      <c r="J68" s="107" t="n"/>
      <c r="K68" s="107" t="n"/>
      <c r="L68" s="107" t="n"/>
    </row>
    <row r="69" ht="15" customHeight="1" s="56">
      <c r="A69" s="105" t="inlineStr">
        <is>
          <t>21 Dec</t>
        </is>
      </c>
      <c r="B69" s="105" t="inlineStr">
        <is>
          <t>Beijing (PEK) → Ulaanbaatar</t>
        </is>
      </c>
      <c r="C69" s="82" t="inlineStr">
        <is>
          <t>Air China CA955 12:55–15:05</t>
        </is>
      </c>
      <c r="D69" s="104" t="n">
        <v>0.09027777777777778</v>
      </c>
      <c r="E69" s="106" t="inlineStr"/>
      <c r="F69" s="107" t="n"/>
      <c r="G69" s="107" t="n"/>
      <c r="H69" s="107" t="n"/>
      <c r="I69" s="107" t="n"/>
      <c r="J69" s="107" t="n"/>
      <c r="K69" s="107" t="n"/>
      <c r="L69" s="107" t="n"/>
    </row>
    <row r="70" ht="15" customHeight="1" s="56">
      <c r="A70" s="105" t="inlineStr">
        <is>
          <t>21 Dec</t>
        </is>
      </c>
      <c r="B70" s="105" t="inlineStr">
        <is>
          <t>Chinggis Khaan airport → home</t>
        </is>
      </c>
      <c r="C70" s="82" t="inlineStr">
        <is>
          <t>Taxi</t>
        </is>
      </c>
      <c r="D70" s="104" t="n">
        <v>0.04166666666666666</v>
      </c>
      <c r="E70" s="106" t="inlineStr"/>
      <c r="F70" s="107" t="n"/>
      <c r="G70" s="107" t="n"/>
      <c r="H70" s="107" t="n"/>
      <c r="I70" s="107" t="n"/>
      <c r="J70" s="107" t="n"/>
      <c r="K70" s="107" t="n"/>
      <c r="L70" s="107" t="n"/>
    </row>
    <row r="72" ht="15" customHeight="1" s="56">
      <c r="C72" s="59" t="inlineStr">
        <is>
          <t>Total door-to-door</t>
        </is>
      </c>
      <c r="D72" s="109">
        <f>SUM(D59:D70)</f>
        <v/>
      </c>
    </row>
  </sheetData>
  <mergeCells count="21">
    <mergeCell ref="C52:L52"/>
    <mergeCell ref="E68:L68"/>
    <mergeCell ref="B47:L47"/>
    <mergeCell ref="E62:L62"/>
    <mergeCell ref="B46:L46"/>
    <mergeCell ref="E67:L67"/>
    <mergeCell ref="C53:L53"/>
    <mergeCell ref="E64:L64"/>
    <mergeCell ref="E63:L63"/>
    <mergeCell ref="E60:L60"/>
    <mergeCell ref="E69:L69"/>
    <mergeCell ref="E65:L65"/>
    <mergeCell ref="B44:L44"/>
    <mergeCell ref="E59:L59"/>
    <mergeCell ref="C54:L54"/>
    <mergeCell ref="E70:L70"/>
    <mergeCell ref="E61:L61"/>
    <mergeCell ref="C55:L55"/>
    <mergeCell ref="E66:L66"/>
    <mergeCell ref="C51:L51"/>
    <mergeCell ref="B45:L45"/>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68"/>
  <sheetViews>
    <sheetView workbookViewId="0">
      <pane xSplit="2" ySplit="7" topLeftCell="C8" activePane="bottomRight" state="frozen"/>
      <selection pane="topRight" activeCell="A1" sqref="A1"/>
      <selection pane="bottomLeft" activeCell="A1" sqref="A1"/>
      <selection pane="bottomRight" activeCell="A1" sqref="A1"/>
    </sheetView>
  </sheetViews>
  <sheetFormatPr baseColWidth="8" defaultRowHeight="15"/>
  <cols>
    <col width="26" customWidth="1" style="56" min="1" max="1"/>
    <col width="52" customWidth="1" style="56" min="2" max="2"/>
    <col width="20" customWidth="1" style="56" min="3" max="3"/>
    <col width="15" customWidth="1" style="56" min="4" max="4"/>
    <col width="13" customWidth="1" style="56" min="5" max="5"/>
    <col width="9" customWidth="1" style="56" min="6" max="6"/>
    <col width="17" customWidth="1" style="56" min="8" max="8"/>
    <col width="13" customWidth="1" style="56" min="9" max="9"/>
    <col width="9" customWidth="1" style="56" min="10" max="10"/>
    <col width="17" customWidth="1" style="56" min="11" max="11"/>
    <col width="58" customWidth="1" style="56" min="12" max="12"/>
  </cols>
  <sheetData>
    <row r="1" ht="17.35" customHeight="1" s="56">
      <c r="A1" s="57" t="inlineStr">
        <is>
          <t>Nanchang – Fly in (Air China)</t>
        </is>
      </c>
    </row>
    <row r="2" ht="15" customHeight="1" s="56">
      <c r="A2" s="62" t="inlineStr">
        <is>
          <t>Air China through ticket UB → Nanchang on 17 Dec (one ticket, bags through, lands 21:40); D136 seat back and Air China home on 21 Dec.</t>
        </is>
      </c>
    </row>
    <row r="4" ht="15" customHeight="1" s="56">
      <c r="A4" s="60" t="inlineStr">
        <is>
          <t>Days in destination (meals &amp; local transport)</t>
        </is>
      </c>
      <c r="B4" s="76" t="n">
        <v>4</v>
      </c>
      <c r="C4" s="62" t="inlineStr">
        <is>
          <t>17 Dec evening → morning 21 Dec</t>
        </is>
      </c>
    </row>
    <row r="5" ht="15" customHeight="1" s="56">
      <c r="A5" s="62" t="inlineStr">
        <is>
          <t>Shared inputs are on the Compare sheet. Scroll down for the day-by-day plan and door-to-door travel times.</t>
        </is>
      </c>
    </row>
    <row r="7" ht="31.5" customHeight="1" s="56">
      <c r="A7" s="66" t="inlineStr">
        <is>
          <t>Category</t>
        </is>
      </c>
      <c r="B7" s="66" t="inlineStr">
        <is>
          <t>Item</t>
        </is>
      </c>
      <c r="C7" s="66" t="inlineStr">
        <is>
          <t>Date</t>
        </is>
      </c>
      <c r="D7" s="66" t="inlineStr">
        <is>
          <t>Travel time</t>
        </is>
      </c>
      <c r="E7" s="66" t="inlineStr">
        <is>
          <t>Unit cost (3 ppl)</t>
        </is>
      </c>
      <c r="F7" s="66" t="inlineStr">
        <is>
          <t>Currency</t>
        </is>
      </c>
      <c r="G7" s="66" t="inlineStr">
        <is>
          <t>Qty (3 ppl)</t>
        </is>
      </c>
      <c r="H7" s="66" t="inlineStr">
        <is>
          <t>Total MNT – 3 people</t>
        </is>
      </c>
      <c r="I7" s="66" t="inlineStr">
        <is>
          <t>Unit cost (4 ppl)</t>
        </is>
      </c>
      <c r="J7" s="66" t="inlineStr">
        <is>
          <t>Qty (4 ppl)</t>
        </is>
      </c>
      <c r="K7" s="66" t="inlineStr">
        <is>
          <t>Total MNT – 4 people</t>
        </is>
      </c>
      <c r="L7" s="66" t="inlineStr">
        <is>
          <t>Source / notes</t>
        </is>
      </c>
    </row>
    <row r="8" ht="15" customHeight="1" s="56">
      <c r="A8" s="77" t="inlineStr">
        <is>
          <t>PAID BY UNIVERSITY</t>
        </is>
      </c>
      <c r="B8" s="78" t="n"/>
      <c r="C8" s="78" t="n"/>
      <c r="D8" s="78" t="n"/>
      <c r="E8" s="78" t="n"/>
      <c r="F8" s="78" t="n"/>
      <c r="G8" s="78" t="n"/>
      <c r="H8" s="78" t="n"/>
      <c r="I8" s="78" t="n"/>
      <c r="J8" s="78" t="n"/>
      <c r="K8" s="78" t="n"/>
      <c r="L8" s="78" t="n"/>
    </row>
    <row r="9" ht="15" customHeight="1" s="56">
      <c r="A9" s="79" t="inlineStr">
        <is>
          <t>Flights</t>
        </is>
      </c>
      <c r="B9" s="80" t="n"/>
      <c r="C9" s="80" t="n"/>
      <c r="D9" s="80" t="n"/>
      <c r="E9" s="80" t="n"/>
      <c r="F9" s="80" t="n"/>
      <c r="G9" s="80" t="n"/>
      <c r="H9" s="80" t="n"/>
      <c r="I9" s="80" t="n"/>
      <c r="J9" s="80" t="n"/>
      <c r="K9" s="80" t="n"/>
      <c r="L9" s="80" t="n"/>
    </row>
    <row r="10" ht="60" customHeight="1" s="56">
      <c r="A10" s="81" t="n"/>
      <c r="B10" s="111" t="inlineStr">
        <is>
          <t>Air China CA902 UB 11:50 → Beijing 13:55, CA1581 Beijing 19:20 → Nanchang 21:40 (one ticket, 5 h 25 min layover)</t>
        </is>
      </c>
      <c r="C10" s="83" t="inlineStr">
        <is>
          <t>17 Dec</t>
        </is>
      </c>
      <c r="D10" s="84" t="n">
        <v>0.4097222222222222</v>
      </c>
      <c r="E10" s="85" t="n">
        <v>356</v>
      </c>
      <c r="F10" s="86" t="inlineStr">
        <is>
          <t>USD</t>
        </is>
      </c>
      <c r="G10" s="87">
        <f>Compare!$B$6</f>
        <v/>
      </c>
      <c r="H10" s="88">
        <f>E10*G10*IF(F10="USD",Compare!$B$8,IF(F10="CNY",Compare!$B$9,IF(F10="HKD",Compare!$B$10,1)))</f>
        <v/>
      </c>
      <c r="I10" s="89">
        <f>E10</f>
        <v/>
      </c>
      <c r="J10" s="87">
        <f>Compare!$B$7</f>
        <v/>
      </c>
      <c r="K10" s="88">
        <f>I10*J10*IF(F10="USD",Compare!$B$8,IF(F10="CNY",Compare!$B$9,IF(F10="HKD",Compare!$B$10,1)))</f>
        <v/>
      </c>
      <c r="L10" s="112" t="inlineStr">
        <is>
          <t>SlickTrip 10 Oct: $356 pp, through ticket via PEK (the CA956 16:10 + CA1537 08:25 next-day combination is also $356). Not cross-checked on Trip.com; $199 pp more than Air China 16:10 + Z111 sleeper</t>
        </is>
      </c>
    </row>
    <row r="11" ht="45" customHeight="1" s="56">
      <c r="A11" s="81" t="n"/>
      <c r="B11" s="111" t="inlineStr">
        <is>
          <t>Air China CA955 Beijing (PEK) → Ulaanbaatar, nonstop 12:55–15:05</t>
        </is>
      </c>
      <c r="C11" s="83" t="inlineStr">
        <is>
          <t>21 Dec</t>
        </is>
      </c>
      <c r="D11" s="84" t="n">
        <v>0.09027777777777778</v>
      </c>
      <c r="E11" s="85" t="n">
        <v>172</v>
      </c>
      <c r="F11" s="86" t="inlineStr">
        <is>
          <t>USD</t>
        </is>
      </c>
      <c r="G11" s="87">
        <f>Compare!$B$6</f>
        <v/>
      </c>
      <c r="H11" s="88">
        <f>E11*G11*IF(F11="USD",Compare!$B$8,IF(F11="CNY",Compare!$B$9,IF(F11="HKD",Compare!$B$10,1)))</f>
        <v/>
      </c>
      <c r="I11" s="89">
        <f>E11</f>
        <v/>
      </c>
      <c r="J11" s="87">
        <f>Compare!$B$7</f>
        <v/>
      </c>
      <c r="K11" s="88">
        <f>I11*J11*IF(F11="USD",Compare!$B$8,IF(F11="CNY",Compare!$B$9,IF(F11="HKD",Compare!$B$10,1)))</f>
        <v/>
      </c>
      <c r="L11" s="112" t="inlineStr">
        <is>
          <t>Trip.com 10 Oct: Air China 12:55 $172 pp (08:25 also $172); MIAT 11:30 $193 (SlickTrip $224). The 12:55 departure leaves ~3 h after the sleeper arrives at Fengtai (07:31)</t>
        </is>
      </c>
    </row>
    <row r="12" ht="15" customHeight="1" s="56">
      <c r="A12" s="79" t="inlineStr">
        <is>
          <t>Trains</t>
        </is>
      </c>
      <c r="B12" s="80" t="n"/>
      <c r="C12" s="80" t="n"/>
      <c r="D12" s="80" t="n"/>
      <c r="E12" s="80" t="n"/>
      <c r="F12" s="80" t="n"/>
      <c r="G12" s="80" t="n"/>
      <c r="H12" s="80" t="n"/>
      <c r="I12" s="80" t="n"/>
      <c r="J12" s="80" t="n"/>
      <c r="K12" s="80" t="n"/>
      <c r="L12" s="80" t="n"/>
    </row>
    <row r="13" ht="75" customHeight="1" s="56">
      <c r="A13" s="81" t="n"/>
      <c r="B13" s="111" t="inlineStr">
        <is>
          <t>Overnight train D136 Nanchang 19:22 → Beijing Fengtai 07:31 (+1), 2nd-class seat (after the contest)</t>
        </is>
      </c>
      <c r="C13" s="83" t="inlineStr">
        <is>
          <t>20 Dec (night)</t>
        </is>
      </c>
      <c r="D13" s="84" t="n">
        <v>0.50625</v>
      </c>
      <c r="E13" s="85" t="n">
        <v>271</v>
      </c>
      <c r="F13" s="86" t="inlineStr">
        <is>
          <t>CNY</t>
        </is>
      </c>
      <c r="G13" s="87">
        <f>Compare!$B$6</f>
        <v/>
      </c>
      <c r="H13" s="88">
        <f>E13*G13*IF(F13="USD",Compare!$B$8,IF(F13="CNY",Compare!$B$9,IF(F13="HKD",Compare!$B$10,1)))</f>
        <v/>
      </c>
      <c r="I13" s="89">
        <f>E13</f>
        <v/>
      </c>
      <c r="J13" s="87">
        <f>Compare!$B$7</f>
        <v/>
      </c>
      <c r="K13" s="88">
        <f>I13*J13*IF(F13="USD",Compare!$B$8,IF(F13="CNY",Compare!$B$9,IF(F13="HKD",Compare!$B$10,1)))</f>
        <v/>
      </c>
      <c r="L13" s="112" t="inlineStr">
        <is>
          <t>12306 10 Oct (fares for the 20 Oct train): D136 2nd-class seat ¥271 (sleeper ¥382, saves ¥111 pp); D138 19:38 → 07:38 ¥271, D140 Nanchang West 19:18 → 07:25 ¥307, D134 Nanchang West 20:58 → 09:01 ¥273. Cheapest: Z182 20:01 → 08:46 hard seat. After the contest sleep no longer matters. ChinaTicketOnline lists D136 on 20 Dec, sales open 6 Dec 09:45</t>
        </is>
      </c>
    </row>
    <row r="14" ht="15" customHeight="1" s="56">
      <c r="A14" s="79" t="inlineStr">
        <is>
          <t>Accommodation</t>
        </is>
      </c>
      <c r="B14" s="80" t="n"/>
      <c r="C14" s="80" t="n"/>
      <c r="D14" s="80" t="n"/>
      <c r="E14" s="80" t="n"/>
      <c r="F14" s="80" t="n"/>
      <c r="G14" s="80" t="n"/>
      <c r="H14" s="80" t="n"/>
      <c r="I14" s="80" t="n"/>
      <c r="J14" s="80" t="n"/>
      <c r="K14" s="80" t="n"/>
      <c r="L14" s="80" t="n"/>
    </row>
    <row r="15" ht="45" customHeight="1" s="56">
      <c r="A15" s="81" t="n"/>
      <c r="B15" s="111" t="inlineStr">
        <is>
          <t>Orange Hotel (Nanchang Yaohu West Subway Station, Normal University branch; ~0.7 km to JXNU; 3 ppl 1 room; 4 ppl Family Room)</t>
        </is>
      </c>
      <c r="C15" s="83" t="inlineStr">
        <is>
          <t>17–20 Dec (3 nights)</t>
        </is>
      </c>
      <c r="D15" s="81" t="n"/>
      <c r="E15" s="85" t="n">
        <v>386.67</v>
      </c>
      <c r="F15" s="86" t="inlineStr">
        <is>
          <t>CNY</t>
        </is>
      </c>
      <c r="G15" s="91" t="n">
        <v>3</v>
      </c>
      <c r="H15" s="88">
        <f>E15*G15*IF(F15="USD",Compare!$B$8,IF(F15="CNY",Compare!$B$9,IF(F15="HKD",Compare!$B$10,1)))</f>
        <v/>
      </c>
      <c r="I15" s="85" t="n">
        <v>404.67</v>
      </c>
      <c r="J15" s="91" t="n">
        <v>3</v>
      </c>
      <c r="K15" s="88">
        <f>I15*J15*IF(F15="USD",Compare!$B$8,IF(F15="CNY",Compare!$B$9,IF(F15="HKD",Compare!$B$10,1)))</f>
        <v/>
      </c>
      <c r="L15" s="112" t="inlineStr">
        <is>
          <t>Trip.com 10 Oct: ¥1,160 (3 adults) / ¥1,214 (4 adults, Deluxe Family Room) for 3 nights; rated 9.6 (662 reviews)</t>
        </is>
      </c>
    </row>
    <row r="16" ht="15" customHeight="1" s="56">
      <c r="A16" s="79" t="inlineStr">
        <is>
          <t>Meals &amp; local transport</t>
        </is>
      </c>
      <c r="B16" s="80" t="n"/>
      <c r="C16" s="80" t="n"/>
      <c r="D16" s="80" t="n"/>
      <c r="E16" s="80" t="n"/>
      <c r="F16" s="80" t="n"/>
      <c r="G16" s="80" t="n"/>
      <c r="H16" s="80" t="n"/>
      <c r="I16" s="80" t="n"/>
      <c r="J16" s="80" t="n"/>
      <c r="K16" s="80" t="n"/>
      <c r="L16" s="80" t="n"/>
    </row>
    <row r="17" ht="30" customHeight="1" s="56">
      <c r="A17" s="81" t="n"/>
      <c r="B17" s="111" t="inlineStr">
        <is>
          <t>Meals</t>
        </is>
      </c>
      <c r="C17" s="83" t="inlineStr">
        <is>
          <t>in destination</t>
        </is>
      </c>
      <c r="D17" s="81" t="n"/>
      <c r="E17" s="113" t="n">
        <v>80</v>
      </c>
      <c r="F17" s="86" t="inlineStr">
        <is>
          <t>CNY</t>
        </is>
      </c>
      <c r="G17" s="87">
        <f>Compare!$B$6*$B$4</f>
        <v/>
      </c>
      <c r="H17" s="88">
        <f>E17*G17*IF(F17="USD",Compare!$B$8,IF(F17="CNY",Compare!$B$9,IF(F17="HKD",Compare!$B$10,1)))</f>
        <v/>
      </c>
      <c r="I17" s="114">
        <f>E17</f>
        <v/>
      </c>
      <c r="J17" s="87">
        <f>Compare!$B$7*$B$4</f>
        <v/>
      </c>
      <c r="K17" s="88">
        <f>I17*J17*IF(F17="USD",Compare!$B$8,IF(F17="CNY",Compare!$B$9,IF(F17="HKD",Compare!$B$10,1)))</f>
        <v/>
      </c>
      <c r="L17" s="112" t="inlineStr">
        <is>
          <t>ASSUMPTION 80 CNY/person/day; hosts usually provide some meals on contest days</t>
        </is>
      </c>
    </row>
    <row r="18" ht="15" customHeight="1" s="56">
      <c r="A18" s="81" t="n"/>
      <c r="B18" s="111" t="inlineStr">
        <is>
          <t>Local transport (metro, taxis)</t>
        </is>
      </c>
      <c r="C18" s="83" t="inlineStr">
        <is>
          <t>in destination</t>
        </is>
      </c>
      <c r="D18" s="81" t="n"/>
      <c r="E18" s="113" t="n">
        <v>30</v>
      </c>
      <c r="F18" s="86" t="inlineStr">
        <is>
          <t>CNY</t>
        </is>
      </c>
      <c r="G18" s="87">
        <f>Compare!$B$6*$B$4</f>
        <v/>
      </c>
      <c r="H18" s="88">
        <f>E18*G18*IF(F18="USD",Compare!$B$8,IF(F18="CNY",Compare!$B$9,IF(F18="HKD",Compare!$B$10,1)))</f>
        <v/>
      </c>
      <c r="I18" s="114">
        <f>E18</f>
        <v/>
      </c>
      <c r="J18" s="87">
        <f>Compare!$B$7*$B$4</f>
        <v/>
      </c>
      <c r="K18" s="88">
        <f>I18*J18*IF(F18="USD",Compare!$B$8,IF(F18="CNY",Compare!$B$9,IF(F18="HKD",Compare!$B$10,1)))</f>
        <v/>
      </c>
      <c r="L18" s="112" t="inlineStr">
        <is>
          <t>ASSUMPTION 30 CNY/person/day</t>
        </is>
      </c>
    </row>
    <row r="19" ht="30" customHeight="1" s="56">
      <c r="A19" s="81" t="n"/>
      <c r="B19" s="111" t="inlineStr">
        <is>
          <t>Taxi Nanchang airport (KHN) → hotel</t>
        </is>
      </c>
      <c r="C19" s="83" t="inlineStr">
        <is>
          <t>17 Dec</t>
        </is>
      </c>
      <c r="D19" s="84" t="n"/>
      <c r="E19" s="113" t="n">
        <v>130</v>
      </c>
      <c r="F19" s="86" t="inlineStr">
        <is>
          <t>CNY</t>
        </is>
      </c>
      <c r="G19" s="91" t="n">
        <v>1</v>
      </c>
      <c r="H19" s="88">
        <f>E19*G19*IF(F19="USD",Compare!$B$8,IF(F19="CNY",Compare!$B$9,IF(F19="HKD",Compare!$B$10,1)))</f>
        <v/>
      </c>
      <c r="I19" s="114">
        <f>E19</f>
        <v/>
      </c>
      <c r="J19" s="91" t="n">
        <v>1</v>
      </c>
      <c r="K19" s="88">
        <f>I19*J19*IF(F19="USD",Compare!$B$8,IF(F19="CNY",Compare!$B$9,IF(F19="HKD",Compare!$B$10,1)))</f>
        <v/>
      </c>
      <c r="L19" s="112" t="inlineStr">
        <is>
          <t>ASSUMPTION ~130 CNY per car, ~40 km (airport bus 1 + metro line 1 ~1 h 50 min, ~20 CNY pp)</t>
        </is>
      </c>
    </row>
    <row r="20" ht="15" customHeight="1" s="56">
      <c r="A20" s="81" t="n"/>
      <c r="B20" s="111" t="inlineStr">
        <is>
          <t>Taxi Nanchang station ↔ hotel departure</t>
        </is>
      </c>
      <c r="C20" s="83" t="inlineStr">
        <is>
          <t>20 Dec</t>
        </is>
      </c>
      <c r="D20" s="84" t="n"/>
      <c r="E20" s="113" t="n">
        <v>60</v>
      </c>
      <c r="F20" s="86" t="inlineStr">
        <is>
          <t>CNY</t>
        </is>
      </c>
      <c r="G20" s="91" t="n">
        <v>1</v>
      </c>
      <c r="H20" s="88">
        <f>E20*G20*IF(F20="USD",Compare!$B$8,IF(F20="CNY",Compare!$B$9,IF(F20="HKD",Compare!$B$10,1)))</f>
        <v/>
      </c>
      <c r="I20" s="114">
        <f>E20</f>
        <v/>
      </c>
      <c r="J20" s="91" t="n">
        <v>1</v>
      </c>
      <c r="K20" s="88">
        <f>I20*J20*IF(F20="USD",Compare!$B$8,IF(F20="CNY",Compare!$B$9,IF(F20="HKD",Compare!$B$10,1)))</f>
        <v/>
      </c>
      <c r="L20" s="112" t="inlineStr">
        <is>
          <t>ASSUMPTION ~60 CNY per car, ~15 km</t>
        </is>
      </c>
    </row>
    <row r="21" ht="15" customHeight="1" s="56">
      <c r="A21" s="81" t="n"/>
      <c r="B21" s="111" t="inlineStr">
        <is>
          <t>Taxi Beijing Fengtai → PEK</t>
        </is>
      </c>
      <c r="C21" s="83" t="inlineStr">
        <is>
          <t>21 Dec</t>
        </is>
      </c>
      <c r="D21" s="84" t="n"/>
      <c r="E21" s="113" t="n">
        <v>150</v>
      </c>
      <c r="F21" s="86" t="inlineStr">
        <is>
          <t>CNY</t>
        </is>
      </c>
      <c r="G21" s="91" t="n">
        <v>1</v>
      </c>
      <c r="H21" s="88">
        <f>E21*G21*IF(F21="USD",Compare!$B$8,IF(F21="CNY",Compare!$B$9,IF(F21="HKD",Compare!$B$10,1)))</f>
        <v/>
      </c>
      <c r="I21" s="114">
        <f>E21</f>
        <v/>
      </c>
      <c r="J21" s="91" t="n">
        <v>1</v>
      </c>
      <c r="K21" s="88">
        <f>I21*J21*IF(F21="USD",Compare!$B$8,IF(F21="CNY",Compare!$B$9,IF(F21="HKD",Compare!$B$10,1)))</f>
        <v/>
      </c>
      <c r="L21" s="112" t="inlineStr">
        <is>
          <t>ASSUMPTION ~150 CNY per car, ~45 km</t>
        </is>
      </c>
    </row>
    <row r="22" ht="15" customHeight="1" s="56">
      <c r="A22" s="94" t="inlineStr">
        <is>
          <t>PAID PERSONALLY (university won't cover)</t>
        </is>
      </c>
      <c r="B22" s="95" t="n"/>
      <c r="C22" s="95" t="n"/>
      <c r="D22" s="95" t="n"/>
      <c r="E22" s="95" t="n"/>
      <c r="F22" s="95" t="n"/>
      <c r="G22" s="95" t="n"/>
      <c r="H22" s="95" t="n"/>
      <c r="I22" s="95" t="n"/>
      <c r="J22" s="95" t="n"/>
      <c r="K22" s="95" t="n"/>
      <c r="L22" s="95" t="n"/>
    </row>
    <row r="23" ht="15" customHeight="1" s="56">
      <c r="A23" s="79" t="inlineStr">
        <is>
          <t>Contest fee</t>
        </is>
      </c>
      <c r="B23" s="80" t="n"/>
      <c r="C23" s="80" t="n"/>
      <c r="D23" s="80" t="n"/>
      <c r="E23" s="80" t="n"/>
      <c r="F23" s="80" t="n"/>
      <c r="G23" s="80" t="n"/>
      <c r="H23" s="80" t="n"/>
      <c r="I23" s="80" t="n"/>
      <c r="J23" s="80" t="n"/>
      <c r="K23" s="80" t="n"/>
      <c r="L23" s="80" t="n"/>
    </row>
    <row r="24" ht="22.35" customHeight="1" s="56">
      <c r="A24" s="81" t="n"/>
      <c r="B24" s="82" t="inlineStr">
        <is>
          <t>Nanchang regional registration fee (per team)</t>
        </is>
      </c>
      <c r="C24" s="83" t="inlineStr">
        <is>
          <t>TBC</t>
        </is>
      </c>
      <c r="D24" s="81" t="n"/>
      <c r="E24" s="113" t="n">
        <v>1500</v>
      </c>
      <c r="F24" s="86" t="inlineStr">
        <is>
          <t>CNY</t>
        </is>
      </c>
      <c r="G24" s="91" t="n">
        <v>1</v>
      </c>
      <c r="H24" s="88">
        <f>E24*G24*IF(F24="USD",Compare!$B$8,IF(F24="CNY",Compare!$B$9,IF(F24="HKD",Compare!$B$10,1)))</f>
        <v/>
      </c>
      <c r="I24" s="114">
        <f>E24</f>
        <v/>
      </c>
      <c r="J24" s="91" t="n">
        <v>1</v>
      </c>
      <c r="K24" s="88">
        <f>I24*J24*IF(F24="USD",Compare!$B$8,IF(F24="CNY",Compare!$B$9,IF(F24="HKD",Compare!$B$10,1)))</f>
        <v/>
      </c>
      <c r="L24" s="90" t="inlineStr">
        <is>
          <t>ASSUMPTION: 1,500 CNY/team like other EC regionals; the 2019 Nanchang handbook has no fee and the 2026 invitation is not seen</t>
        </is>
      </c>
    </row>
    <row r="25" ht="15" customHeight="1" s="56">
      <c r="A25" s="79" t="inlineStr">
        <is>
          <t>Other</t>
        </is>
      </c>
      <c r="B25" s="80" t="n"/>
      <c r="C25" s="80" t="n"/>
      <c r="D25" s="80" t="n"/>
      <c r="E25" s="80" t="n"/>
      <c r="F25" s="80" t="n"/>
      <c r="G25" s="80" t="n"/>
      <c r="H25" s="80" t="n"/>
      <c r="I25" s="80" t="n"/>
      <c r="J25" s="80" t="n"/>
      <c r="K25" s="80" t="n"/>
      <c r="L25" s="80" t="n"/>
    </row>
    <row r="26" ht="15" customHeight="1" s="56">
      <c r="A26" s="81" t="n"/>
      <c r="B26" s="82" t="inlineStr">
        <is>
          <t>Taxi to/from Chinggis Khaan airport (UB), per trip</t>
        </is>
      </c>
      <c r="C26" s="83" t="inlineStr">
        <is>
          <t>out &amp; back</t>
        </is>
      </c>
      <c r="D26" s="84" t="n">
        <v>0.04166666666666666</v>
      </c>
      <c r="E26" s="92" t="n">
        <v>100000</v>
      </c>
      <c r="F26" s="86" t="inlineStr">
        <is>
          <t>MNT</t>
        </is>
      </c>
      <c r="G26" s="91" t="n">
        <v>2</v>
      </c>
      <c r="H26" s="88">
        <f>E26*G26*IF(F26="USD",Compare!$B$8,IF(F26="CNY",Compare!$B$9,IF(F26="HKD",Compare!$B$10,1)))</f>
        <v/>
      </c>
      <c r="I26" s="93">
        <f>E26</f>
        <v/>
      </c>
      <c r="J26" s="91" t="n">
        <v>2</v>
      </c>
      <c r="K26" s="88">
        <f>I26*J26*IF(F26="USD",Compare!$B$8,IF(F26="CNY",Compare!$B$9,IF(F26="HKD",Compare!$B$10,1)))</f>
        <v/>
      </c>
      <c r="L26" s="90" t="inlineStr">
        <is>
          <t>ASSUMPTION 100k MNT per trip for the group</t>
        </is>
      </c>
    </row>
    <row r="27" ht="15" customHeight="1" s="56">
      <c r="A27" s="81" t="n"/>
      <c r="B27" s="82" t="inlineStr">
        <is>
          <t>Travel medical insurance</t>
        </is>
      </c>
      <c r="C27" s="83" t="n"/>
      <c r="D27" s="81" t="n"/>
      <c r="E27" s="92" t="n">
        <v>30000</v>
      </c>
      <c r="F27" s="86" t="inlineStr">
        <is>
          <t>MNT</t>
        </is>
      </c>
      <c r="G27" s="87">
        <f>Compare!$B$6</f>
        <v/>
      </c>
      <c r="H27" s="88">
        <f>E27*G27*IF(F27="USD",Compare!$B$8,IF(F27="CNY",Compare!$B$9,IF(F27="HKD",Compare!$B$10,1)))</f>
        <v/>
      </c>
      <c r="I27" s="93">
        <f>E27</f>
        <v/>
      </c>
      <c r="J27" s="87">
        <f>Compare!$B$7</f>
        <v/>
      </c>
      <c r="K27" s="88">
        <f>I27*J27*IF(F27="USD",Compare!$B$8,IF(F27="CNY",Compare!$B$9,IF(F27="HKD",Compare!$B$10,1)))</f>
        <v/>
      </c>
      <c r="L27" s="90" t="inlineStr">
        <is>
          <t>ASSUMPTION ~30k MNT per person, Mongolian insurer</t>
        </is>
      </c>
    </row>
    <row r="28" ht="15" customHeight="1" s="56">
      <c r="A28" s="81" t="n"/>
      <c r="B28" s="82" t="inlineStr">
        <is>
          <t>Mobile data eSIM</t>
        </is>
      </c>
      <c r="C28" s="83" t="n"/>
      <c r="D28" s="81" t="n"/>
      <c r="E28" s="92" t="n">
        <v>10</v>
      </c>
      <c r="F28" s="86" t="inlineStr">
        <is>
          <t>USD</t>
        </is>
      </c>
      <c r="G28" s="87">
        <f>Compare!$B$6</f>
        <v/>
      </c>
      <c r="H28" s="88">
        <f>E28*G28*IF(F28="USD",Compare!$B$8,IF(F28="CNY",Compare!$B$9,IF(F28="HKD",Compare!$B$10,1)))</f>
        <v/>
      </c>
      <c r="I28" s="93">
        <f>E28</f>
        <v/>
      </c>
      <c r="J28" s="87">
        <f>Compare!$B$7</f>
        <v/>
      </c>
      <c r="K28" s="88">
        <f>I28*J28*IF(F28="USD",Compare!$B$8,IF(F28="CNY",Compare!$B$9,IF(F28="HKD",Compare!$B$10,1)))</f>
        <v/>
      </c>
      <c r="L28" s="90" t="inlineStr">
        <is>
          <t>ASSUMPTION ~$10 pp</t>
        </is>
      </c>
    </row>
    <row r="29" ht="22.35" customHeight="1" s="56">
      <c r="A29" s="81" t="n"/>
      <c r="B29" s="82" t="inlineStr">
        <is>
          <t>Visa</t>
        </is>
      </c>
      <c r="C29" s="83" t="n"/>
      <c r="D29" s="81" t="n"/>
      <c r="E29" s="85" t="n">
        <v>0</v>
      </c>
      <c r="F29" s="86" t="inlineStr">
        <is>
          <t>MNT</t>
        </is>
      </c>
      <c r="G29" s="87">
        <f>Compare!$B$6</f>
        <v/>
      </c>
      <c r="H29" s="88">
        <f>E29*G29*IF(F29="USD",Compare!$B$8,IF(F29="CNY",Compare!$B$9,IF(F29="HKD",Compare!$B$10,1)))</f>
        <v/>
      </c>
      <c r="I29" s="89">
        <f>E29</f>
        <v/>
      </c>
      <c r="J29" s="87">
        <f>Compare!$B$7</f>
        <v/>
      </c>
      <c r="K29" s="88">
        <f>I29*J29*IF(F29="USD",Compare!$B$8,IF(F29="CNY",Compare!$B$9,IF(F29="HKD",Compare!$B$10,1)))</f>
        <v/>
      </c>
      <c r="L29" s="90" t="inlineStr">
        <is>
          <t>Mongolian passports: visa-free (mainland China up to 30 days; Hong Kong up to 14 days)</t>
        </is>
      </c>
    </row>
    <row r="31" ht="15" customHeight="1" s="56">
      <c r="G31" s="60" t="n"/>
      <c r="H31" s="96" t="inlineStr">
        <is>
          <t>3 people – UNFUNDED</t>
        </is>
      </c>
      <c r="K31" s="96" t="inlineStr">
        <is>
          <t>4 people – FUNDED ₮12M</t>
        </is>
      </c>
    </row>
    <row r="32" ht="15" customHeight="1" s="56">
      <c r="G32" s="97" t="inlineStr">
        <is>
          <t>University-paid subtotal</t>
        </is>
      </c>
      <c r="H32" s="98">
        <f>SUM(H9:H21)</f>
        <v/>
      </c>
      <c r="K32" s="98">
        <f>SUM(K9:K21)</f>
        <v/>
      </c>
    </row>
    <row r="33" ht="15" customHeight="1" s="56">
      <c r="G33" s="99" t="inlineStr">
        <is>
          <t>Contingency</t>
        </is>
      </c>
      <c r="H33" s="100">
        <f>H32*Compare!$B$11</f>
        <v/>
      </c>
      <c r="K33" s="100">
        <f>K32*Compare!$B$11</f>
        <v/>
      </c>
    </row>
    <row r="34" ht="15" customHeight="1" s="56">
      <c r="G34" s="97" t="inlineStr">
        <is>
          <t>University-paid total incl. contingency</t>
        </is>
      </c>
      <c r="H34" s="98">
        <f>H32+H33</f>
        <v/>
      </c>
      <c r="K34" s="98">
        <f>K32+K33</f>
        <v/>
      </c>
    </row>
    <row r="35" ht="15" customHeight="1" s="56">
      <c r="G35" s="97" t="inlineStr">
        <is>
          <t>Funding left (negative = over)</t>
        </is>
      </c>
      <c r="H35" s="101">
        <f>Compare!$B$12-H34</f>
        <v/>
      </c>
      <c r="K35" s="101">
        <f>Compare!$B$5-K34</f>
        <v/>
      </c>
    </row>
    <row r="36" ht="15" customHeight="1" s="56">
      <c r="G36" s="97" t="inlineStr">
        <is>
          <t>Personal costs – team</t>
        </is>
      </c>
      <c r="H36" s="102">
        <f>SUM(H23:H29)</f>
        <v/>
      </c>
      <c r="K36" s="102">
        <f>SUM(K23:K29)</f>
        <v/>
      </c>
    </row>
    <row r="37" ht="15" customHeight="1" s="56">
      <c r="G37" s="97" t="inlineStr">
        <is>
          <t>Out-of-pocket per person (personal + any overrun)</t>
        </is>
      </c>
      <c r="H37" s="102">
        <f>(H36+MAX(0,-H35))/Compare!$B$6</f>
        <v/>
      </c>
      <c r="K37" s="102">
        <f>(K36+MAX(0,-K35))/Compare!$B$7</f>
        <v/>
      </c>
    </row>
    <row r="38" ht="15" customHeight="1" s="56">
      <c r="G38" s="97" t="inlineStr">
        <is>
          <t>Whole trip cost (university + personal)</t>
        </is>
      </c>
      <c r="H38" s="103">
        <f>H34+H36</f>
        <v/>
      </c>
      <c r="K38" s="103">
        <f>K34+K36</f>
        <v/>
      </c>
    </row>
    <row r="39" ht="15" customHeight="1" s="56">
      <c r="G39" s="99" t="inlineStr">
        <is>
          <t>Time in planes &amp; trains</t>
        </is>
      </c>
      <c r="H39" s="104">
        <f>D10+D11+D13</f>
        <v/>
      </c>
      <c r="K39" s="104">
        <f>D10+D11+D13</f>
        <v/>
      </c>
    </row>
    <row r="41" ht="15" customHeight="1" s="56">
      <c r="A41" s="72" t="inlineStr">
        <is>
          <t>Key facts</t>
        </is>
      </c>
    </row>
    <row r="42" ht="45" customHeight="1" s="56">
      <c r="A42" s="75" t="inlineStr">
        <is>
          <t>Contest</t>
        </is>
      </c>
      <c r="B42" s="74" t="inlineStr">
        <is>
          <t>Asia Nanchang Regional, 19–20 Dec 2026 (provisional), host Jiangxi Normal University, Yaohu campus (Zixia Ave 99; gym ~28.683 N, 116.032 E). The 2019 Nanchang regional used the same campus: registration 13:00–18:00 the day before and 08:00–12:00 on day 1, opening 14:30, warm-up 15:00–17:00; day 2 contest 09:00–14:00, closing 15:00–16:30. Confirm all of this in the 2026 invitation.</t>
        </is>
      </c>
    </row>
    <row r="43" ht="30" customHeight="1" s="56">
      <c r="A43" s="75" t="inlineStr">
        <is>
          <t>Getting there</t>
        </is>
      </c>
      <c r="B43" s="74" t="inlineStr">
        <is>
          <t>Metro line 1 to Aoti Zhongxin station, exit 2, ~100 m from the campus (53 min from Nanchang station, 1 h 8 min from Nanchang West; taxi ~¥40 / ~¥105 per the 2019 handbook).</t>
        </is>
      </c>
    </row>
    <row r="44" ht="15" customHeight="1" s="56">
      <c r="A44" s="75" t="inlineStr">
        <is>
          <t>Why this plan</t>
        </is>
      </c>
      <c r="B44" s="74" t="inlineStr">
        <is>
          <t>One ticket, no train, no waiting in the Beijing station: lands 21:40 on 17 Dec and sleeps in the hotel.</t>
        </is>
      </c>
    </row>
    <row r="45" ht="15" customHeight="1" s="56">
      <c r="A45" s="75" t="inlineStr">
        <is>
          <t>Trade-off</t>
        </is>
      </c>
      <c r="B45" s="74" t="inlineStr">
        <is>
          <t>About ₮2.1M more than the sleeper plan for the same contest (3 ppl). The return stays on D136 + Air China because KHN → UB on 21 Dec needs a Beijing night ($294).</t>
        </is>
      </c>
    </row>
    <row r="47" ht="15" customHeight="1" s="56">
      <c r="A47" s="72" t="inlineStr">
        <is>
          <t>Day-by-day plan</t>
        </is>
      </c>
    </row>
    <row r="48" ht="15" customHeight="1" s="56">
      <c r="A48" s="96" t="inlineStr">
        <is>
          <t>Date</t>
        </is>
      </c>
      <c r="B48" s="96" t="inlineStr">
        <is>
          <t>Sleep in</t>
        </is>
      </c>
      <c r="C48" s="96" t="inlineStr">
        <is>
          <t>What happens</t>
        </is>
      </c>
    </row>
    <row r="49" ht="15" customHeight="1" s="56">
      <c r="A49" s="74" t="inlineStr">
        <is>
          <t>Thu 17 Dec</t>
        </is>
      </c>
      <c r="B49" s="74" t="inlineStr">
        <is>
          <t>Nanchang</t>
        </is>
      </c>
      <c r="C49" s="74" t="inlineStr">
        <is>
          <t>Taxi to the airport; Air China CA902 UB 11:50 → Beijing 13:55; CA1581 19:20 → Nanchang 21:40; taxi to Orange Hotel.</t>
        </is>
      </c>
    </row>
    <row r="50" ht="15" customHeight="1" s="56">
      <c r="A50" s="74" t="inlineStr">
        <is>
          <t>Fri 18 Dec</t>
        </is>
      </c>
      <c r="B50" s="74" t="inlineStr">
        <is>
          <t>Nanchang</t>
        </is>
      </c>
      <c r="C50" s="74" t="inlineStr">
        <is>
          <t>Rest / practice day. Registration may open 13:00–18:00 (2019 pattern).</t>
        </is>
      </c>
    </row>
    <row r="51" ht="15" customHeight="1" s="56">
      <c r="A51" s="74" t="inlineStr">
        <is>
          <t>Sat 19 Dec</t>
        </is>
      </c>
      <c r="B51" s="74" t="inlineStr">
        <is>
          <t>Nanchang</t>
        </is>
      </c>
      <c r="C51" s="74" t="inlineStr">
        <is>
          <t>Registration (08:00–12:00), opening ~14:30, warm-up 15:00–17:00 at the JXNU Yaohu gym (2019 pattern).</t>
        </is>
      </c>
    </row>
    <row r="52" ht="15" customHeight="1" s="56">
      <c r="A52" s="74" t="inlineStr">
        <is>
          <t>Sun 20 Dec</t>
        </is>
      </c>
      <c r="B52" s="74" t="inlineStr">
        <is>
          <t>Train</t>
        </is>
      </c>
      <c r="C52" s="74" t="inlineStr">
        <is>
          <t>NANCHANG REGIONAL contest day 09:00–14:00; closing ~15:00–16:30. Metro to Nanchang station; D136 19:22 → Beijing Fengtai 07:31.</t>
        </is>
      </c>
    </row>
    <row r="53" ht="15" customHeight="1" s="56">
      <c r="A53" s="74" t="inlineStr">
        <is>
          <t>Mon 21 Dec</t>
        </is>
      </c>
      <c r="B53" s="74" t="inlineStr">
        <is>
          <t>Home</t>
        </is>
      </c>
      <c r="C53" s="74" t="inlineStr">
        <is>
          <t>Taxi Fengtai → PEK. Air China CA955 12:55 → UB 15:05.</t>
        </is>
      </c>
    </row>
    <row r="55" ht="15" customHeight="1" s="56">
      <c r="A55" s="72" t="inlineStr">
        <is>
          <t>Door-to-door travel times</t>
        </is>
      </c>
    </row>
    <row r="56" ht="15" customHeight="1" s="56">
      <c r="A56" s="96" t="inlineStr">
        <is>
          <t>Date</t>
        </is>
      </c>
      <c r="B56" s="96" t="inlineStr">
        <is>
          <t>Leg</t>
        </is>
      </c>
      <c r="C56" s="96" t="inlineStr">
        <is>
          <t>Mode</t>
        </is>
      </c>
      <c r="D56" s="96" t="inlineStr">
        <is>
          <t>Expected time</t>
        </is>
      </c>
      <c r="E56" s="96" t="inlineStr">
        <is>
          <t>Notes</t>
        </is>
      </c>
    </row>
    <row r="57" ht="15" customHeight="1" s="56">
      <c r="A57" s="105" t="inlineStr">
        <is>
          <t>17 Dec</t>
        </is>
      </c>
      <c r="B57" s="105" t="inlineStr">
        <is>
          <t>Home → Chinggis Khaan airport</t>
        </is>
      </c>
      <c r="C57" s="82" t="inlineStr">
        <is>
          <t>Taxi (~50 km)</t>
        </is>
      </c>
      <c r="D57" s="104" t="n">
        <v>0.04166666666666666</v>
      </c>
      <c r="E57" s="106" t="inlineStr">
        <is>
          <t>Leave ~08:45 for 11:50 flight</t>
        </is>
      </c>
      <c r="F57" s="107" t="n"/>
      <c r="G57" s="107" t="n"/>
      <c r="H57" s="107" t="n"/>
      <c r="I57" s="107" t="n"/>
      <c r="J57" s="107" t="n"/>
      <c r="K57" s="107" t="n"/>
      <c r="L57" s="107" t="n"/>
    </row>
    <row r="58" ht="15" customHeight="1" s="56">
      <c r="A58" s="105" t="inlineStr">
        <is>
          <t>17 Dec</t>
        </is>
      </c>
      <c r="B58" s="105" t="inlineStr">
        <is>
          <t>Ulaanbaatar → Beijing → Nanchang</t>
        </is>
      </c>
      <c r="C58" s="82" t="inlineStr">
        <is>
          <t>Air China CA902 + CA1581 (through ticket)</t>
        </is>
      </c>
      <c r="D58" s="104" t="n">
        <v>0.4097222222222222</v>
      </c>
      <c r="E58" s="106" t="inlineStr">
        <is>
          <t>Includes 5 h 25 min layover at PEK</t>
        </is>
      </c>
      <c r="F58" s="107" t="n"/>
      <c r="G58" s="107" t="n"/>
      <c r="H58" s="107" t="n"/>
      <c r="I58" s="107" t="n"/>
      <c r="J58" s="107" t="n"/>
      <c r="K58" s="107" t="n"/>
      <c r="L58" s="107" t="n"/>
    </row>
    <row r="59" ht="15" customHeight="1" s="56">
      <c r="A59" s="105" t="inlineStr">
        <is>
          <t>17 Dec</t>
        </is>
      </c>
      <c r="B59" s="105" t="inlineStr">
        <is>
          <t>Nanchang airport arrival, bags</t>
        </is>
      </c>
      <c r="C59" s="82" t="inlineStr">
        <is>
          <t>—</t>
        </is>
      </c>
      <c r="D59" s="104" t="n">
        <v>0.02083333333333333</v>
      </c>
      <c r="E59" s="106" t="inlineStr">
        <is>
          <t>Estimate</t>
        </is>
      </c>
      <c r="F59" s="107" t="n"/>
      <c r="G59" s="107" t="n"/>
      <c r="H59" s="107" t="n"/>
      <c r="I59" s="107" t="n"/>
      <c r="J59" s="107" t="n"/>
      <c r="K59" s="107" t="n"/>
      <c r="L59" s="107" t="n"/>
    </row>
    <row r="60" ht="15" customHeight="1" s="56">
      <c r="A60" s="105" t="inlineStr">
        <is>
          <t>17 Dec</t>
        </is>
      </c>
      <c r="B60" s="105" t="inlineStr">
        <is>
          <t>Nanchang airport → hotel</t>
        </is>
      </c>
      <c r="C60" s="82" t="inlineStr">
        <is>
          <t>Taxi (~40 km)</t>
        </is>
      </c>
      <c r="D60" s="104" t="n">
        <v>0.03472222222222222</v>
      </c>
      <c r="E60" s="106" t="inlineStr">
        <is>
          <t>Estimate</t>
        </is>
      </c>
      <c r="F60" s="107" t="n"/>
      <c r="G60" s="107" t="n"/>
      <c r="H60" s="107" t="n"/>
      <c r="I60" s="107" t="n"/>
      <c r="J60" s="107" t="n"/>
      <c r="K60" s="107" t="n"/>
      <c r="L60" s="107" t="n"/>
    </row>
    <row r="61" ht="15" customHeight="1" s="56">
      <c r="A61" s="105" t="inlineStr">
        <is>
          <t>18–20 Dec</t>
        </is>
      </c>
      <c r="B61" s="105" t="inlineStr">
        <is>
          <t>Hotel ↔ JXNU Yaohu campus (each way)</t>
        </is>
      </c>
      <c r="C61" s="82" t="inlineStr">
        <is>
          <t>Walk</t>
        </is>
      </c>
      <c r="D61" s="104" t="inlineStr">
        <is>
          <t>daily</t>
        </is>
      </c>
      <c r="E61" s="106" t="inlineStr">
        <is>
          <t>~10–15 min walk (Orange Hotel ~0.7 km)</t>
        </is>
      </c>
      <c r="F61" s="107" t="n"/>
      <c r="G61" s="107" t="n"/>
      <c r="H61" s="107" t="n"/>
      <c r="I61" s="107" t="n"/>
      <c r="J61" s="107" t="n"/>
      <c r="K61" s="107" t="n"/>
      <c r="L61" s="107" t="n"/>
    </row>
    <row r="62" ht="15" customHeight="1" s="56">
      <c r="A62" s="105" t="inlineStr">
        <is>
          <t>20 Dec</t>
        </is>
      </c>
      <c r="B62" s="105" t="inlineStr">
        <is>
          <t>JXNU Yaohu campus → Nanchang station</t>
        </is>
      </c>
      <c r="C62" s="82" t="inlineStr">
        <is>
          <t>Metro line 1 + 2 / taxi</t>
        </is>
      </c>
      <c r="D62" s="104" t="n">
        <v>0.03819444444444445</v>
      </c>
      <c r="E62" s="106" t="inlineStr">
        <is>
          <t>Leave ~17:45 for the 19:22 train</t>
        </is>
      </c>
      <c r="F62" s="107" t="n"/>
      <c r="G62" s="107" t="n"/>
      <c r="H62" s="107" t="n"/>
      <c r="I62" s="107" t="n"/>
      <c r="J62" s="107" t="n"/>
      <c r="K62" s="107" t="n"/>
      <c r="L62" s="107" t="n"/>
    </row>
    <row r="63" ht="15" customHeight="1" s="56">
      <c r="A63" s="105" t="inlineStr">
        <is>
          <t>20–21 Dec</t>
        </is>
      </c>
      <c r="B63" s="105" t="inlineStr">
        <is>
          <t>Nanchang → Beijing Fengtai</t>
        </is>
      </c>
      <c r="C63" s="82" t="inlineStr">
        <is>
          <t>D136 seat 19:22–07:31</t>
        </is>
      </c>
      <c r="D63" s="104" t="n">
        <v>0.50625</v>
      </c>
      <c r="E63" s="106" t="inlineStr">
        <is>
          <t>Overnight</t>
        </is>
      </c>
      <c r="F63" s="107" t="n"/>
      <c r="G63" s="107" t="n"/>
      <c r="H63" s="107" t="n"/>
      <c r="I63" s="107" t="n"/>
      <c r="J63" s="107" t="n"/>
      <c r="K63" s="107" t="n"/>
      <c r="L63" s="107" t="n"/>
    </row>
    <row r="64" ht="15" customHeight="1" s="56">
      <c r="A64" s="105" t="inlineStr">
        <is>
          <t>21 Dec</t>
        </is>
      </c>
      <c r="B64" s="105" t="inlineStr">
        <is>
          <t>Beijing Fengtai → PEK</t>
        </is>
      </c>
      <c r="C64" s="82" t="inlineStr">
        <is>
          <t>Taxi (~45 km)</t>
        </is>
      </c>
      <c r="D64" s="104" t="n">
        <v>0.05208333333333334</v>
      </c>
      <c r="E64" s="106" t="inlineStr">
        <is>
          <t>Be at PEK by ~10:55 for the 12:55 flight</t>
        </is>
      </c>
      <c r="F64" s="107" t="n"/>
      <c r="G64" s="107" t="n"/>
      <c r="H64" s="107" t="n"/>
      <c r="I64" s="107" t="n"/>
      <c r="J64" s="107" t="n"/>
      <c r="K64" s="107" t="n"/>
      <c r="L64" s="107" t="n"/>
    </row>
    <row r="65" ht="15" customHeight="1" s="56">
      <c r="A65" s="105" t="inlineStr">
        <is>
          <t>21 Dec</t>
        </is>
      </c>
      <c r="B65" s="105" t="inlineStr">
        <is>
          <t>Beijing (PEK) → Ulaanbaatar</t>
        </is>
      </c>
      <c r="C65" s="82" t="inlineStr">
        <is>
          <t>Air China CA955 12:55–15:05</t>
        </is>
      </c>
      <c r="D65" s="104" t="n">
        <v>0.09027777777777778</v>
      </c>
      <c r="E65" s="106" t="inlineStr"/>
      <c r="F65" s="107" t="n"/>
      <c r="G65" s="107" t="n"/>
      <c r="H65" s="107" t="n"/>
      <c r="I65" s="107" t="n"/>
      <c r="J65" s="107" t="n"/>
      <c r="K65" s="107" t="n"/>
      <c r="L65" s="107" t="n"/>
    </row>
    <row r="66" ht="15" customHeight="1" s="56">
      <c r="A66" s="105" t="inlineStr">
        <is>
          <t>21 Dec</t>
        </is>
      </c>
      <c r="B66" s="105" t="inlineStr">
        <is>
          <t>Chinggis Khaan airport → home</t>
        </is>
      </c>
      <c r="C66" s="82" t="inlineStr">
        <is>
          <t>Taxi</t>
        </is>
      </c>
      <c r="D66" s="104" t="n">
        <v>0.04166666666666666</v>
      </c>
      <c r="E66" s="106" t="inlineStr"/>
      <c r="F66" s="107" t="n"/>
      <c r="G66" s="107" t="n"/>
      <c r="H66" s="107" t="n"/>
      <c r="I66" s="107" t="n"/>
      <c r="J66" s="107" t="n"/>
      <c r="K66" s="107" t="n"/>
      <c r="L66" s="107" t="n"/>
    </row>
    <row r="68" ht="15" customHeight="1" s="56">
      <c r="C68" s="59" t="inlineStr">
        <is>
          <t>Total door-to-door</t>
        </is>
      </c>
      <c r="D68" s="109">
        <f>SUM(D57:D66)</f>
        <v/>
      </c>
    </row>
  </sheetData>
  <mergeCells count="19">
    <mergeCell ref="E58:L58"/>
    <mergeCell ref="C52:L52"/>
    <mergeCell ref="E62:L62"/>
    <mergeCell ref="B43:L43"/>
    <mergeCell ref="C53:L53"/>
    <mergeCell ref="E64:L64"/>
    <mergeCell ref="C49:L49"/>
    <mergeCell ref="E63:L63"/>
    <mergeCell ref="B42:L42"/>
    <mergeCell ref="E60:L60"/>
    <mergeCell ref="E65:L65"/>
    <mergeCell ref="B44:L44"/>
    <mergeCell ref="E59:L59"/>
    <mergeCell ref="C50:L50"/>
    <mergeCell ref="E61:L61"/>
    <mergeCell ref="E57:L57"/>
    <mergeCell ref="E66:L66"/>
    <mergeCell ref="C51:L51"/>
    <mergeCell ref="B45:L45"/>
  </mergeCells>
  <pageMargins left="0.75" right="0.75" top="1" bottom="1" header="0.5" footer="0.5"/>
</worksheet>
</file>

<file path=xl/worksheets/sheet27.xml><?xml version="1.0" encoding="utf-8"?>
<worksheet xmlns="http://schemas.openxmlformats.org/spreadsheetml/2006/main">
  <sheetPr filterMode="0">
    <outlinePr summaryBelow="1" summaryRight="1"/>
    <pageSetUpPr fitToPage="0"/>
  </sheetPr>
  <dimension ref="A1:L60"/>
  <sheetViews>
    <sheetView showFormulas="0" showGridLines="1" showRowColHeaders="1" showZeros="1" rightToLeft="0" tabSelected="0" showOutlineSymbols="1" defaultGridColor="1"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baseColWidth="8" defaultColWidth="8.6796875" defaultRowHeight="15" zeroHeight="0" outlineLevelRow="0"/>
  <cols>
    <col width="26" customWidth="1" style="55" min="1" max="1"/>
    <col width="52" customWidth="1" style="55" min="2" max="2"/>
    <col width="20" customWidth="1" style="55" min="3" max="3"/>
    <col width="15" customWidth="1" style="55" min="4" max="4"/>
    <col width="13" customWidth="1" style="55" min="5" max="5"/>
    <col width="9" customWidth="1" style="55" min="6" max="7"/>
    <col width="17" customWidth="1" style="55" min="8" max="8"/>
    <col width="13" customWidth="1" style="55" min="9" max="9"/>
    <col width="9" customWidth="1" style="55" min="10" max="10"/>
    <col width="17" customWidth="1" style="55" min="11" max="11"/>
    <col width="58" customWidth="1" style="55" min="12" max="12"/>
  </cols>
  <sheetData>
    <row r="1" ht="17.35" customHeight="1" s="56">
      <c r="A1" s="57" t="inlineStr">
        <is>
          <t>Hong Kong – Budget</t>
        </is>
      </c>
    </row>
    <row r="2" ht="15" customHeight="1" s="56">
      <c r="A2" s="62" t="inlineStr">
        <is>
          <t>MIAT nonstop both ways; guesthouse rooms in Tsim Sha Tsui (Kowloon), ~35 min MTR to HKU.</t>
        </is>
      </c>
    </row>
    <row r="4" ht="15" customHeight="1" s="56">
      <c r="A4" s="60" t="inlineStr">
        <is>
          <t>Days in destination (meals &amp; local transport)</t>
        </is>
      </c>
      <c r="B4" s="76" t="n">
        <v>3.5</v>
      </c>
      <c r="C4" s="62" t="inlineStr">
        <is>
          <t>8 Jan midday → 11 Jan morning</t>
        </is>
      </c>
    </row>
    <row r="5" ht="15" customHeight="1" s="56">
      <c r="A5" s="62" t="inlineStr">
        <is>
          <t>Shared inputs are on the Compare sheet. Scroll down for the day-by-day plan and door-to-door travel times.</t>
        </is>
      </c>
    </row>
    <row r="7" ht="31.5" customHeight="1" s="56">
      <c r="A7" s="66" t="inlineStr">
        <is>
          <t>Category</t>
        </is>
      </c>
      <c r="B7" s="66" t="inlineStr">
        <is>
          <t>Item</t>
        </is>
      </c>
      <c r="C7" s="66" t="inlineStr">
        <is>
          <t>Date</t>
        </is>
      </c>
      <c r="D7" s="66" t="inlineStr">
        <is>
          <t>Travel time</t>
        </is>
      </c>
      <c r="E7" s="66" t="inlineStr">
        <is>
          <t>Unit cost (3 ppl)</t>
        </is>
      </c>
      <c r="F7" s="66" t="inlineStr">
        <is>
          <t>Currency</t>
        </is>
      </c>
      <c r="G7" s="66" t="inlineStr">
        <is>
          <t>Qty (3 ppl)</t>
        </is>
      </c>
      <c r="H7" s="66" t="inlineStr">
        <is>
          <t>Total MNT – 3 people</t>
        </is>
      </c>
      <c r="I7" s="66" t="inlineStr">
        <is>
          <t>Unit cost (4 ppl)</t>
        </is>
      </c>
      <c r="J7" s="66" t="inlineStr">
        <is>
          <t>Qty (4 ppl)</t>
        </is>
      </c>
      <c r="K7" s="66" t="inlineStr">
        <is>
          <t>Total MNT – 4 people</t>
        </is>
      </c>
      <c r="L7" s="66" t="inlineStr">
        <is>
          <t>Source / notes</t>
        </is>
      </c>
    </row>
    <row r="8" ht="15" customHeight="1" s="56">
      <c r="A8" s="77" t="inlineStr">
        <is>
          <t>PAID BY UNIVERSITY</t>
        </is>
      </c>
      <c r="B8" s="78" t="n"/>
      <c r="C8" s="78" t="n"/>
      <c r="D8" s="78" t="n"/>
      <c r="E8" s="78" t="n"/>
      <c r="F8" s="78" t="n"/>
      <c r="G8" s="78" t="n"/>
      <c r="H8" s="78" t="n"/>
      <c r="I8" s="78" t="n"/>
      <c r="J8" s="78" t="n"/>
      <c r="K8" s="78" t="n"/>
      <c r="L8" s="78" t="n"/>
    </row>
    <row r="9" ht="15" customHeight="1" s="56">
      <c r="A9" s="79" t="inlineStr">
        <is>
          <t>Flights</t>
        </is>
      </c>
      <c r="B9" s="80" t="n"/>
      <c r="C9" s="80" t="n"/>
      <c r="D9" s="80" t="n"/>
      <c r="E9" s="80" t="n"/>
      <c r="F9" s="80" t="n"/>
      <c r="G9" s="80" t="n"/>
      <c r="H9" s="80" t="n"/>
      <c r="I9" s="80" t="n"/>
      <c r="J9" s="80" t="n"/>
      <c r="K9" s="80" t="n"/>
      <c r="L9" s="80" t="n"/>
    </row>
    <row r="10" ht="26.85" customHeight="1" s="56">
      <c r="A10" s="81" t="n"/>
      <c r="B10" s="82" t="inlineStr">
        <is>
          <t>MIAT OM297 Ulaanbaatar → Hong Kong, nonstop 06:45–11:25</t>
        </is>
      </c>
      <c r="C10" s="83" t="inlineStr">
        <is>
          <t>8 Jan</t>
        </is>
      </c>
      <c r="D10" s="84" t="n">
        <v>0.1944444444444444</v>
      </c>
      <c r="E10" s="85" t="n">
        <v>293</v>
      </c>
      <c r="F10" s="86" t="inlineStr">
        <is>
          <t>USD</t>
        </is>
      </c>
      <c r="G10" s="87">
        <f>Compare!$B$6</f>
        <v/>
      </c>
      <c r="H10" s="88">
        <f>E10*G10*IF(F10="USD",Compare!$B$8,IF(F10="CNY",Compare!$B$9,IF(F10="HKD",Compare!$B$10,1)))</f>
        <v/>
      </c>
      <c r="I10" s="89">
        <f>E10</f>
        <v/>
      </c>
      <c r="J10" s="87">
        <f>Compare!$B$7</f>
        <v/>
      </c>
      <c r="K10" s="88">
        <f>I10*J10*IF(F10="USD",Compare!$B$8,IF(F10="CNY",Compare!$B$9,IF(F10="HKD",Compare!$B$10,1)))</f>
        <v/>
      </c>
      <c r="L10" s="90" t="inlineStr">
        <is>
          <t>Trip.com 10 Oct: MIAT nonstop 07:15–11:50 round trip $586 pp (8–11 Jan), split half each way = $293 (SlickTrip $593; $583 on 30 Sep). Cathay codeshare $626; via Seoul $783+</t>
        </is>
      </c>
    </row>
    <row r="11" ht="26.85" customHeight="1" s="56">
      <c r="A11" s="81" t="n"/>
      <c r="B11" s="82" t="inlineStr">
        <is>
          <t>MIAT OM298 Hong Kong → Ulaanbaatar, nonstop 12:25–17:05</t>
        </is>
      </c>
      <c r="C11" s="83" t="inlineStr">
        <is>
          <t>11 Jan</t>
        </is>
      </c>
      <c r="D11" s="84" t="n">
        <v>0.1944444444444444</v>
      </c>
      <c r="E11" s="85" t="n">
        <v>293</v>
      </c>
      <c r="F11" s="86" t="inlineStr">
        <is>
          <t>USD</t>
        </is>
      </c>
      <c r="G11" s="87">
        <f>Compare!$B$6</f>
        <v/>
      </c>
      <c r="H11" s="88">
        <f>E11*G11*IF(F11="USD",Compare!$B$8,IF(F11="CNY",Compare!$B$9,IF(F11="HKD",Compare!$B$10,1)))</f>
        <v/>
      </c>
      <c r="I11" s="89">
        <f>E11</f>
        <v/>
      </c>
      <c r="J11" s="87">
        <f>Compare!$B$7</f>
        <v/>
      </c>
      <c r="K11" s="88">
        <f>I11*J11*IF(F11="USD",Compare!$B$8,IF(F11="CNY",Compare!$B$9,IF(F11="HKD",Compare!$B$10,1)))</f>
        <v/>
      </c>
      <c r="L11" s="90" t="inlineStr">
        <is>
          <t>Return half of the $586 pp Trip.com round trip</t>
        </is>
      </c>
    </row>
    <row r="12" ht="15" customHeight="1" s="56">
      <c r="A12" s="79" t="inlineStr">
        <is>
          <t>Accommodation</t>
        </is>
      </c>
      <c r="B12" s="80" t="n"/>
      <c r="C12" s="80" t="n"/>
      <c r="D12" s="80" t="n"/>
      <c r="E12" s="80" t="n"/>
      <c r="F12" s="80" t="n"/>
      <c r="G12" s="80" t="n"/>
      <c r="H12" s="80" t="n"/>
      <c r="I12" s="80" t="n"/>
      <c r="J12" s="80" t="n"/>
      <c r="K12" s="80" t="n"/>
      <c r="L12" s="80" t="n"/>
    </row>
    <row r="13" ht="26.85" customHeight="1" s="56">
      <c r="A13" s="81" t="n"/>
      <c r="B13" s="82" t="inlineStr">
        <is>
          <t>Premium Lounge guesthouse, Chungking Mansion, Tsim Sha Tsui (3 ppl Triple Room; 4 ppl Triple Room + 1 dorm bed)</t>
        </is>
      </c>
      <c r="C13" s="83" t="inlineStr">
        <is>
          <t>8–11 Jan (3 nights)</t>
        </is>
      </c>
      <c r="D13" s="81" t="n"/>
      <c r="E13" s="85" t="n">
        <v>392.33</v>
      </c>
      <c r="F13" s="86" t="inlineStr">
        <is>
          <t>HKD</t>
        </is>
      </c>
      <c r="G13" s="91" t="n">
        <v>3</v>
      </c>
      <c r="H13" s="88">
        <f>E13*G13*IF(F13="USD",Compare!$B$8,IF(F13="CNY",Compare!$B$9,IF(F13="HKD",Compare!$B$10,1)))</f>
        <v/>
      </c>
      <c r="I13" s="85" t="n">
        <v>537</v>
      </c>
      <c r="J13" s="91" t="n">
        <v>3</v>
      </c>
      <c r="K13" s="88">
        <f>I13*J13*IF(F13="USD",Compare!$B$8,IF(F13="CNY",Compare!$B$9,IF(F13="HKD",Compare!$B$10,1)))</f>
        <v/>
      </c>
      <c r="L13" s="90" t="inlineStr">
        <is>
          <t>Booking.com 10 Oct, 8–11 Jan: HK$1,177 (3 ppl, Triple Room) / HK$1,611 (4 ppl: Triple Room + 1 dorm bed) for 3 nights; rated 8.1 (1,242 reviews). Was HK$1,308 / HK$1,790 on 30 Sep</t>
        </is>
      </c>
    </row>
    <row r="14" ht="15" customHeight="1" s="56">
      <c r="A14" s="79" t="inlineStr">
        <is>
          <t>Meals &amp; local transport</t>
        </is>
      </c>
      <c r="B14" s="80" t="n"/>
      <c r="C14" s="80" t="n"/>
      <c r="D14" s="80" t="n"/>
      <c r="E14" s="80" t="n"/>
      <c r="F14" s="80" t="n"/>
      <c r="G14" s="80" t="n"/>
      <c r="H14" s="80" t="n"/>
      <c r="I14" s="80" t="n"/>
      <c r="J14" s="80" t="n"/>
      <c r="K14" s="80" t="n"/>
      <c r="L14" s="80" t="n"/>
    </row>
    <row r="15" ht="15" customHeight="1" s="56">
      <c r="A15" s="81" t="n"/>
      <c r="B15" s="82" t="inlineStr">
        <is>
          <t>Meals</t>
        </is>
      </c>
      <c r="C15" s="83" t="inlineStr">
        <is>
          <t>in Hong Kong</t>
        </is>
      </c>
      <c r="D15" s="81" t="n"/>
      <c r="E15" s="92" t="n">
        <v>180</v>
      </c>
      <c r="F15" s="86" t="inlineStr">
        <is>
          <t>HKD</t>
        </is>
      </c>
      <c r="G15" s="87">
        <f>Compare!$B$6*$B$4</f>
        <v/>
      </c>
      <c r="H15" s="88">
        <f>E15*G15*IF(F15="USD",Compare!$B$8,IF(F15="CNY",Compare!$B$9,IF(F15="HKD",Compare!$B$10,1)))</f>
        <v/>
      </c>
      <c r="I15" s="93">
        <f>E15</f>
        <v/>
      </c>
      <c r="J15" s="87">
        <f>Compare!$B$7*$B$4</f>
        <v/>
      </c>
      <c r="K15" s="88">
        <f>I15*J15*IF(F15="USD",Compare!$B$8,IF(F15="CNY",Compare!$B$9,IF(F15="HKD",Compare!$B$10,1)))</f>
        <v/>
      </c>
      <c r="L15" s="90" t="inlineStr">
        <is>
          <t>ASSUMPTION ~180 HKD/person/day (cha chaan teng, canteens)</t>
        </is>
      </c>
    </row>
    <row r="16" ht="15" customHeight="1" s="56">
      <c r="A16" s="81" t="n"/>
      <c r="B16" s="82" t="inlineStr">
        <is>
          <t>MTR / buses (Octopus card)</t>
        </is>
      </c>
      <c r="C16" s="83" t="inlineStr">
        <is>
          <t>in Hong Kong</t>
        </is>
      </c>
      <c r="D16" s="81" t="n"/>
      <c r="E16" s="92" t="n">
        <v>40</v>
      </c>
      <c r="F16" s="86" t="inlineStr">
        <is>
          <t>HKD</t>
        </is>
      </c>
      <c r="G16" s="87">
        <f>Compare!$B$6*$B$4</f>
        <v/>
      </c>
      <c r="H16" s="88">
        <f>E16*G16*IF(F16="USD",Compare!$B$8,IF(F16="CNY",Compare!$B$9,IF(F16="HKD",Compare!$B$10,1)))</f>
        <v/>
      </c>
      <c r="I16" s="93">
        <f>E16</f>
        <v/>
      </c>
      <c r="J16" s="87">
        <f>Compare!$B$7*$B$4</f>
        <v/>
      </c>
      <c r="K16" s="88">
        <f>I16*J16*IF(F16="USD",Compare!$B$8,IF(F16="CNY",Compare!$B$9,IF(F16="HKD",Compare!$B$10,1)))</f>
        <v/>
      </c>
      <c r="L16" s="90" t="inlineStr">
        <is>
          <t>ASSUMPTION ~40 HKD/person/day</t>
        </is>
      </c>
    </row>
    <row r="17" ht="15" customHeight="1" s="56">
      <c r="A17" s="81" t="n"/>
      <c r="B17" s="82" t="inlineStr">
        <is>
          <t>Airport Express, both ways</t>
        </is>
      </c>
      <c r="C17" s="83" t="inlineStr">
        <is>
          <t>8 &amp; 11 Jan (HKG ↔ Kowloon)</t>
        </is>
      </c>
      <c r="D17" s="81" t="n"/>
      <c r="E17" s="92" t="n">
        <v>230</v>
      </c>
      <c r="F17" s="86" t="inlineStr">
        <is>
          <t>HKD</t>
        </is>
      </c>
      <c r="G17" s="87">
        <f>Compare!$B$6</f>
        <v/>
      </c>
      <c r="H17" s="88">
        <f>E17*G17*IF(F17="USD",Compare!$B$8,IF(F17="CNY",Compare!$B$9,IF(F17="HKD",Compare!$B$10,1)))</f>
        <v/>
      </c>
      <c r="I17" s="93">
        <f>E17</f>
        <v/>
      </c>
      <c r="J17" s="87">
        <f>Compare!$B$7</f>
        <v/>
      </c>
      <c r="K17" s="88">
        <f>I17*J17*IF(F17="USD",Compare!$B$8,IF(F17="CNY",Compare!$B$9,IF(F17="HKD",Compare!$B$10,1)))</f>
        <v/>
      </c>
      <c r="L17" s="90" t="inlineStr">
        <is>
          <t>ASSUMPTION ~115 HKD per person each way (recent adult single fare)</t>
        </is>
      </c>
    </row>
    <row r="18" ht="15" customHeight="1" s="56">
      <c r="A18" s="94" t="inlineStr">
        <is>
          <t>PAID PERSONALLY (university won't cover)</t>
        </is>
      </c>
      <c r="B18" s="95" t="n"/>
      <c r="C18" s="95" t="n"/>
      <c r="D18" s="95" t="n"/>
      <c r="E18" s="95" t="n"/>
      <c r="F18" s="95" t="n"/>
      <c r="G18" s="95" t="n"/>
      <c r="H18" s="95" t="n"/>
      <c r="I18" s="95" t="n"/>
      <c r="J18" s="95" t="n"/>
      <c r="K18" s="95" t="n"/>
      <c r="L18" s="95" t="n"/>
    </row>
    <row r="19" ht="15" customHeight="1" s="56">
      <c r="A19" s="79" t="inlineStr">
        <is>
          <t>Contest fee</t>
        </is>
      </c>
      <c r="B19" s="80" t="n"/>
      <c r="C19" s="80" t="n"/>
      <c r="D19" s="80" t="n"/>
      <c r="E19" s="80" t="n"/>
      <c r="F19" s="80" t="n"/>
      <c r="G19" s="80" t="n"/>
      <c r="H19" s="80" t="n"/>
      <c r="I19" s="80" t="n"/>
      <c r="J19" s="80" t="n"/>
      <c r="K19" s="80" t="n"/>
      <c r="L19" s="80" t="n"/>
    </row>
    <row r="20" ht="22.35" customHeight="1" s="56">
      <c r="A20" s="81" t="n"/>
      <c r="B20" s="82" t="inlineStr">
        <is>
          <t>Hong Kong regional registration fee (per team)</t>
        </is>
      </c>
      <c r="C20" s="83" t="inlineStr">
        <is>
          <t>TBC</t>
        </is>
      </c>
      <c r="D20" s="81" t="n"/>
      <c r="E20" s="85" t="n">
        <v>1800</v>
      </c>
      <c r="F20" s="86" t="inlineStr">
        <is>
          <t>HKD</t>
        </is>
      </c>
      <c r="G20" s="91" t="n">
        <v>1</v>
      </c>
      <c r="H20" s="88">
        <f>E20*G20*IF(F20="USD",Compare!$B$8,IF(F20="CNY",Compare!$B$9,IF(F20="HKD",Compare!$B$10,1)))</f>
        <v/>
      </c>
      <c r="I20" s="89">
        <f>E20</f>
        <v/>
      </c>
      <c r="J20" s="91" t="n">
        <v>1</v>
      </c>
      <c r="K20" s="88">
        <f>I20*J20*IF(F20="USD",Compare!$B$8,IF(F20="CNY",Compare!$B$9,IF(F20="HKD",Compare!$B$10,1)))</f>
        <v/>
      </c>
      <c r="L20" s="90" t="inlineStr">
        <is>
          <t>1,800 HKD/team at the 2025 Hong Kong regional (HKUST); 2026 host listed as HKU – confirm</t>
        </is>
      </c>
    </row>
    <row r="21" ht="15" customHeight="1" s="56">
      <c r="A21" s="79" t="inlineStr">
        <is>
          <t>Other</t>
        </is>
      </c>
      <c r="B21" s="80" t="n"/>
      <c r="C21" s="80" t="n"/>
      <c r="D21" s="80" t="n"/>
      <c r="E21" s="80" t="n"/>
      <c r="F21" s="80" t="n"/>
      <c r="G21" s="80" t="n"/>
      <c r="H21" s="80" t="n"/>
      <c r="I21" s="80" t="n"/>
      <c r="J21" s="80" t="n"/>
      <c r="K21" s="80" t="n"/>
      <c r="L21" s="80" t="n"/>
    </row>
    <row r="22" ht="15" customHeight="1" s="56">
      <c r="A22" s="81" t="n"/>
      <c r="B22" s="82" t="inlineStr">
        <is>
          <t>Taxi to/from Chinggis Khaan airport (UB), per trip</t>
        </is>
      </c>
      <c r="C22" s="83" t="inlineStr">
        <is>
          <t>out &amp; back</t>
        </is>
      </c>
      <c r="D22" s="84" t="n">
        <v>0.04166666666666666</v>
      </c>
      <c r="E22" s="92" t="n">
        <v>100000</v>
      </c>
      <c r="F22" s="86" t="inlineStr">
        <is>
          <t>MNT</t>
        </is>
      </c>
      <c r="G22" s="91" t="n">
        <v>2</v>
      </c>
      <c r="H22" s="88">
        <f>E22*G22*IF(F22="USD",Compare!$B$8,IF(F22="CNY",Compare!$B$9,IF(F22="HKD",Compare!$B$10,1)))</f>
        <v/>
      </c>
      <c r="I22" s="93">
        <f>E22</f>
        <v/>
      </c>
      <c r="J22" s="91" t="n">
        <v>2</v>
      </c>
      <c r="K22" s="88">
        <f>I22*J22*IF(F22="USD",Compare!$B$8,IF(F22="CNY",Compare!$B$9,IF(F22="HKD",Compare!$B$10,1)))</f>
        <v/>
      </c>
      <c r="L22" s="90" t="inlineStr">
        <is>
          <t>ASSUMPTION 100k MNT per trip for the group</t>
        </is>
      </c>
    </row>
    <row r="23" ht="15" customHeight="1" s="56">
      <c r="A23" s="81" t="n"/>
      <c r="B23" s="82" t="inlineStr">
        <is>
          <t>Travel medical insurance</t>
        </is>
      </c>
      <c r="C23" s="83" t="n"/>
      <c r="D23" s="81" t="n"/>
      <c r="E23" s="92" t="n">
        <v>30000</v>
      </c>
      <c r="F23" s="86" t="inlineStr">
        <is>
          <t>MNT</t>
        </is>
      </c>
      <c r="G23" s="87">
        <f>Compare!$B$6</f>
        <v/>
      </c>
      <c r="H23" s="88">
        <f>E23*G23*IF(F23="USD",Compare!$B$8,IF(F23="CNY",Compare!$B$9,IF(F23="HKD",Compare!$B$10,1)))</f>
        <v/>
      </c>
      <c r="I23" s="93">
        <f>E23</f>
        <v/>
      </c>
      <c r="J23" s="87">
        <f>Compare!$B$7</f>
        <v/>
      </c>
      <c r="K23" s="88">
        <f>I23*J23*IF(F23="USD",Compare!$B$8,IF(F23="CNY",Compare!$B$9,IF(F23="HKD",Compare!$B$10,1)))</f>
        <v/>
      </c>
      <c r="L23" s="90" t="inlineStr">
        <is>
          <t>ASSUMPTION ~30k MNT per person, Mongolian insurer</t>
        </is>
      </c>
    </row>
    <row r="24" ht="15" customHeight="1" s="56">
      <c r="A24" s="81" t="n"/>
      <c r="B24" s="82" t="inlineStr">
        <is>
          <t>Mobile data eSIM</t>
        </is>
      </c>
      <c r="C24" s="83" t="n"/>
      <c r="D24" s="81" t="n"/>
      <c r="E24" s="92" t="n">
        <v>10</v>
      </c>
      <c r="F24" s="86" t="inlineStr">
        <is>
          <t>USD</t>
        </is>
      </c>
      <c r="G24" s="87">
        <f>Compare!$B$6</f>
        <v/>
      </c>
      <c r="H24" s="88">
        <f>E24*G24*IF(F24="USD",Compare!$B$8,IF(F24="CNY",Compare!$B$9,IF(F24="HKD",Compare!$B$10,1)))</f>
        <v/>
      </c>
      <c r="I24" s="93">
        <f>E24</f>
        <v/>
      </c>
      <c r="J24" s="87">
        <f>Compare!$B$7</f>
        <v/>
      </c>
      <c r="K24" s="88">
        <f>I24*J24*IF(F24="USD",Compare!$B$8,IF(F24="CNY",Compare!$B$9,IF(F24="HKD",Compare!$B$10,1)))</f>
        <v/>
      </c>
      <c r="L24" s="90" t="inlineStr">
        <is>
          <t>ASSUMPTION ~$10 pp</t>
        </is>
      </c>
    </row>
    <row r="25" ht="22.35" customHeight="1" s="56">
      <c r="A25" s="81" t="n"/>
      <c r="B25" s="82" t="inlineStr">
        <is>
          <t>Visa</t>
        </is>
      </c>
      <c r="C25" s="83" t="n"/>
      <c r="D25" s="81" t="n"/>
      <c r="E25" s="85" t="n">
        <v>0</v>
      </c>
      <c r="F25" s="86" t="inlineStr">
        <is>
          <t>MNT</t>
        </is>
      </c>
      <c r="G25" s="87">
        <f>Compare!$B$6</f>
        <v/>
      </c>
      <c r="H25" s="88">
        <f>E25*G25*IF(F25="USD",Compare!$B$8,IF(F25="CNY",Compare!$B$9,IF(F25="HKD",Compare!$B$10,1)))</f>
        <v/>
      </c>
      <c r="I25" s="89">
        <f>E25</f>
        <v/>
      </c>
      <c r="J25" s="87">
        <f>Compare!$B$7</f>
        <v/>
      </c>
      <c r="K25" s="88">
        <f>I25*J25*IF(F25="USD",Compare!$B$8,IF(F25="CNY",Compare!$B$9,IF(F25="HKD",Compare!$B$10,1)))</f>
        <v/>
      </c>
      <c r="L25" s="90" t="inlineStr">
        <is>
          <t>Mongolian passports: visa-free (mainland China up to 30 days; Hong Kong up to 14 days)</t>
        </is>
      </c>
    </row>
    <row r="27" ht="15" customHeight="1" s="56">
      <c r="G27" s="60" t="n"/>
      <c r="H27" s="96" t="inlineStr">
        <is>
          <t>3 people – UNFUNDED</t>
        </is>
      </c>
      <c r="K27" s="96" t="inlineStr">
        <is>
          <t>4 people – FUNDED ₮12M</t>
        </is>
      </c>
    </row>
    <row r="28" ht="15" customHeight="1" s="56">
      <c r="G28" s="97" t="inlineStr">
        <is>
          <t>University-paid subtotal</t>
        </is>
      </c>
      <c r="H28" s="98">
        <f>SUM(H9:H17)</f>
        <v/>
      </c>
      <c r="K28" s="98">
        <f>SUM(K9:K17)</f>
        <v/>
      </c>
    </row>
    <row r="29" ht="15" customHeight="1" s="56">
      <c r="G29" s="99" t="inlineStr">
        <is>
          <t>Contingency</t>
        </is>
      </c>
      <c r="H29" s="100">
        <f>H28*Compare!$B$11</f>
        <v/>
      </c>
      <c r="K29" s="100">
        <f>K28*Compare!$B$11</f>
        <v/>
      </c>
    </row>
    <row r="30" ht="15" customHeight="1" s="56">
      <c r="G30" s="97" t="inlineStr">
        <is>
          <t>University-paid total incl. contingency</t>
        </is>
      </c>
      <c r="H30" s="98">
        <f>H28+H29</f>
        <v/>
      </c>
      <c r="K30" s="98">
        <f>K28+K29</f>
        <v/>
      </c>
    </row>
    <row r="31" ht="15" customHeight="1" s="56">
      <c r="G31" s="97" t="inlineStr">
        <is>
          <t>Funding left (negative = over)</t>
        </is>
      </c>
      <c r="H31" s="101">
        <f>Compare!$B$12-H30</f>
        <v/>
      </c>
      <c r="K31" s="101">
        <f>Compare!$B$5-K30</f>
        <v/>
      </c>
    </row>
    <row r="32" ht="15" customHeight="1" s="56">
      <c r="G32" s="97" t="inlineStr">
        <is>
          <t>Personal costs – team</t>
        </is>
      </c>
      <c r="H32" s="102">
        <f>SUM(H19:H25)</f>
        <v/>
      </c>
      <c r="K32" s="102">
        <f>SUM(K19:K25)</f>
        <v/>
      </c>
    </row>
    <row r="33" ht="15" customHeight="1" s="56">
      <c r="G33" s="97" t="inlineStr">
        <is>
          <t>Out-of-pocket per person (personal + any overrun)</t>
        </is>
      </c>
      <c r="H33" s="102">
        <f>(H32+MAX(0,-H31))/Compare!$B$6</f>
        <v/>
      </c>
      <c r="K33" s="102">
        <f>(K32+MAX(0,-K31))/Compare!$B$7</f>
        <v/>
      </c>
    </row>
    <row r="34" ht="15" customHeight="1" s="56">
      <c r="G34" s="97" t="inlineStr">
        <is>
          <t>Whole trip cost (university + personal)</t>
        </is>
      </c>
      <c r="H34" s="103">
        <f>H30+H32</f>
        <v/>
      </c>
      <c r="K34" s="103">
        <f>K30+K32</f>
        <v/>
      </c>
    </row>
    <row r="35" ht="15" customHeight="1" s="56">
      <c r="G35" s="99" t="inlineStr">
        <is>
          <t>Time in planes &amp; trains</t>
        </is>
      </c>
      <c r="H35" s="104">
        <f>SUM(D10:D11)</f>
        <v/>
      </c>
      <c r="K35" s="104">
        <f>SUM(D10:D11)</f>
        <v/>
      </c>
    </row>
    <row r="37" ht="15" customHeight="1" s="56">
      <c r="A37" s="72" t="inlineStr">
        <is>
          <t>Key facts</t>
        </is>
      </c>
    </row>
    <row r="38" ht="30" customHeight="1" s="56">
      <c r="A38" s="75" t="inlineStr">
        <is>
          <t>Contest</t>
        </is>
      </c>
      <c r="B38" s="74" t="inlineStr">
        <is>
          <t>Asia Hong Kong Regional, 9–10 Jan 2027 (provisional). Host listed as HKU on a coach's tracking page; the site rotates, so confirm.</t>
        </is>
      </c>
    </row>
    <row r="39" ht="15" customHeight="1" s="56">
      <c r="A39" s="75" t="inlineStr">
        <is>
          <t>Why this route</t>
        </is>
      </c>
      <c r="B39" s="74" t="inlineStr">
        <is>
          <t>MIAT flies UB–Hong Kong nonstop; everything else (via Seoul/Beijing) costs more or takes a day longer.</t>
        </is>
      </c>
    </row>
    <row r="40" ht="15" customHeight="1" s="56">
      <c r="A40" s="75" t="inlineStr">
        <is>
          <t>Entry</t>
        </is>
      </c>
      <c r="B40" s="74" t="inlineStr">
        <is>
          <t>Mongolian passport holders can visit Hong Kong visa-free for up to 14 days.</t>
        </is>
      </c>
    </row>
    <row r="41" ht="15" customHeight="1" s="56">
      <c r="A41" s="75" t="inlineStr">
        <is>
          <t>Trade-off</t>
        </is>
      </c>
      <c r="B41" s="74" t="inlineStr">
        <is>
          <t>Tiny guesthouse rooms; ~35 min each way to HKU. Cheap guesthouse rooms are the weak point for sleep on contest eve – see 'Hong Kong – Sleep first' and the 'Sleep check' sheet.</t>
        </is>
      </c>
    </row>
    <row r="43" ht="15" customHeight="1" s="56">
      <c r="A43" s="72" t="inlineStr">
        <is>
          <t>Day-by-day plan</t>
        </is>
      </c>
    </row>
    <row r="44" ht="15" customHeight="1" s="56">
      <c r="A44" s="96" t="inlineStr">
        <is>
          <t>Date</t>
        </is>
      </c>
      <c r="B44" s="96" t="inlineStr">
        <is>
          <t>Sleep in</t>
        </is>
      </c>
      <c r="C44" s="96" t="inlineStr">
        <is>
          <t>What happens</t>
        </is>
      </c>
    </row>
    <row r="45" ht="15" customHeight="1" s="56">
      <c r="A45" s="74" t="inlineStr">
        <is>
          <t>Fri 8 Jan</t>
        </is>
      </c>
      <c r="B45" s="74" t="inlineStr">
        <is>
          <t>Hong Kong</t>
        </is>
      </c>
      <c r="C45" s="74" t="inlineStr">
        <is>
          <t>MIAT OM297 UB 06:45 → Hong Kong 11:25 (4 h 40 min). Airport Express, check in at the Tsim Sha Tsui guesthouse.</t>
        </is>
      </c>
    </row>
    <row r="46" ht="15" customHeight="1" s="56">
      <c r="A46" s="74" t="inlineStr">
        <is>
          <t>Sat 9 Jan</t>
        </is>
      </c>
      <c r="B46" s="74" t="inlineStr">
        <is>
          <t>Hong Kong</t>
        </is>
      </c>
      <c r="C46" s="74" t="inlineStr">
        <is>
          <t>Registration, opening and warm-up at the University of Hong Kong (2025 HK regional used the same day-1 pattern).</t>
        </is>
      </c>
    </row>
    <row r="47" ht="15" customHeight="1" s="56">
      <c r="A47" s="74" t="inlineStr">
        <is>
          <t>Sun 10 Jan</t>
        </is>
      </c>
      <c r="B47" s="74" t="inlineStr">
        <is>
          <t>Hong Kong</t>
        </is>
      </c>
      <c r="C47" s="74" t="inlineStr">
        <is>
          <t>HONG KONG REGIONAL contest day, closing &amp; solutions.</t>
        </is>
      </c>
    </row>
    <row r="48" ht="15" customHeight="1" s="56">
      <c r="A48" s="74" t="inlineStr">
        <is>
          <t>Mon 11 Jan</t>
        </is>
      </c>
      <c r="B48" s="74" t="inlineStr">
        <is>
          <t>Home</t>
        </is>
      </c>
      <c r="C48" s="74" t="inlineStr">
        <is>
          <t>MIAT OM298 Hong Kong 12:25 → UB 17:05.</t>
        </is>
      </c>
    </row>
    <row r="50" ht="15" customHeight="1" s="56">
      <c r="A50" s="72" t="inlineStr">
        <is>
          <t>Door-to-door travel times</t>
        </is>
      </c>
    </row>
    <row r="51" ht="15" customHeight="1" s="56">
      <c r="A51" s="96" t="inlineStr">
        <is>
          <t>Date</t>
        </is>
      </c>
      <c r="B51" s="96" t="inlineStr">
        <is>
          <t>Leg</t>
        </is>
      </c>
      <c r="C51" s="96" t="inlineStr">
        <is>
          <t>Mode</t>
        </is>
      </c>
      <c r="D51" s="96" t="inlineStr">
        <is>
          <t>Expected time</t>
        </is>
      </c>
      <c r="E51" s="96" t="inlineStr">
        <is>
          <t>Notes</t>
        </is>
      </c>
    </row>
    <row r="52" ht="15" customHeight="1" s="56">
      <c r="A52" s="105" t="inlineStr">
        <is>
          <t>8 Jan</t>
        </is>
      </c>
      <c r="B52" s="105" t="inlineStr">
        <is>
          <t>Home → Chinggis Khaan airport</t>
        </is>
      </c>
      <c r="C52" s="82" t="inlineStr">
        <is>
          <t>Taxi (~50 km)</t>
        </is>
      </c>
      <c r="D52" s="104" t="n">
        <v>0.04166666666666666</v>
      </c>
      <c r="E52" s="106" t="inlineStr">
        <is>
          <t>Leave ~03:45 for 06:45 flight</t>
        </is>
      </c>
      <c r="F52" s="107" t="n"/>
      <c r="G52" s="107" t="n"/>
      <c r="H52" s="107" t="n"/>
      <c r="I52" s="107" t="n"/>
      <c r="J52" s="107" t="n"/>
      <c r="K52" s="107" t="n"/>
      <c r="L52" s="107" t="n"/>
    </row>
    <row r="53" ht="26.85" customHeight="1" s="56">
      <c r="A53" s="105" t="inlineStr">
        <is>
          <t>8 Jan</t>
        </is>
      </c>
      <c r="B53" s="105" t="inlineStr">
        <is>
          <t>Ulaanbaatar → Hong Kong (HKG)</t>
        </is>
      </c>
      <c r="C53" s="82" t="inlineStr">
        <is>
          <t>MIAT OM297 06:45–11:25</t>
        </is>
      </c>
      <c r="D53" s="84" t="n">
        <v>0.1944444444444444</v>
      </c>
      <c r="E53" s="106" t="n"/>
      <c r="F53" s="107" t="n"/>
      <c r="G53" s="107" t="n"/>
      <c r="H53" s="107" t="n"/>
      <c r="I53" s="107" t="n"/>
      <c r="J53" s="107" t="n"/>
      <c r="K53" s="107" t="n"/>
      <c r="L53" s="107" t="n"/>
    </row>
    <row r="54" ht="15" customHeight="1" s="56">
      <c r="A54" s="105" t="inlineStr">
        <is>
          <t>8 Jan</t>
        </is>
      </c>
      <c r="B54" s="105" t="inlineStr">
        <is>
          <t>HKG arrival: immigration, bags</t>
        </is>
      </c>
      <c r="C54" s="82" t="inlineStr">
        <is>
          <t>—</t>
        </is>
      </c>
      <c r="D54" s="104" t="n">
        <v>0.02777777777777778</v>
      </c>
      <c r="E54" s="106" t="inlineStr">
        <is>
          <t>Estimate</t>
        </is>
      </c>
      <c r="F54" s="107" t="n"/>
      <c r="G54" s="107" t="n"/>
      <c r="H54" s="107" t="n"/>
      <c r="I54" s="107" t="n"/>
      <c r="J54" s="107" t="n"/>
      <c r="K54" s="107" t="n"/>
      <c r="L54" s="107" t="n"/>
    </row>
    <row r="55" ht="39.55" customHeight="1" s="56">
      <c r="A55" s="105" t="inlineStr">
        <is>
          <t>8 Jan</t>
        </is>
      </c>
      <c r="B55" s="105" t="inlineStr">
        <is>
          <t>HKG → Tsim Sha Tsui guesthouse</t>
        </is>
      </c>
      <c r="C55" s="82" t="inlineStr">
        <is>
          <t>Airport Express to Kowloon + walk/shuttle</t>
        </is>
      </c>
      <c r="D55" s="104" t="n">
        <v>0.03125</v>
      </c>
      <c r="E55" s="106" t="inlineStr">
        <is>
          <t>Estimate</t>
        </is>
      </c>
      <c r="F55" s="107" t="n"/>
      <c r="G55" s="107" t="n"/>
      <c r="H55" s="107" t="n"/>
      <c r="I55" s="107" t="n"/>
      <c r="J55" s="107" t="n"/>
      <c r="K55" s="107" t="n"/>
      <c r="L55" s="107" t="n"/>
    </row>
    <row r="56" ht="15" customHeight="1" s="56">
      <c r="A56" s="105" t="inlineStr">
        <is>
          <t>9–10 Jan</t>
        </is>
      </c>
      <c r="B56" s="105" t="inlineStr">
        <is>
          <t>Hotel ↔ HKU (each way)</t>
        </is>
      </c>
      <c r="C56" s="82" t="inlineStr">
        <is>
          <t>—</t>
        </is>
      </c>
      <c r="D56" s="108" t="inlineStr">
        <is>
          <t>daily</t>
        </is>
      </c>
      <c r="E56" s="106" t="inlineStr">
        <is>
          <t>~35 min MTR (Tsim Sha Tsui → Admiralty → HKU)</t>
        </is>
      </c>
      <c r="F56" s="107" t="n"/>
      <c r="G56" s="107" t="n"/>
      <c r="H56" s="107" t="n"/>
      <c r="I56" s="107" t="n"/>
      <c r="J56" s="107" t="n"/>
      <c r="K56" s="107" t="n"/>
      <c r="L56" s="107" t="n"/>
    </row>
    <row r="57" ht="26.85" customHeight="1" s="56">
      <c r="A57" s="105" t="inlineStr">
        <is>
          <t>11 Jan</t>
        </is>
      </c>
      <c r="B57" s="105" t="inlineStr">
        <is>
          <t>Guesthouse → HKG</t>
        </is>
      </c>
      <c r="C57" s="82" t="inlineStr">
        <is>
          <t>Airport Express from Kowloon</t>
        </is>
      </c>
      <c r="D57" s="104" t="n">
        <v>0.03125</v>
      </c>
      <c r="E57" s="106" t="inlineStr">
        <is>
          <t>Estimate</t>
        </is>
      </c>
      <c r="F57" s="107" t="n"/>
      <c r="G57" s="107" t="n"/>
      <c r="H57" s="107" t="n"/>
      <c r="I57" s="107" t="n"/>
      <c r="J57" s="107" t="n"/>
      <c r="K57" s="107" t="n"/>
      <c r="L57" s="107" t="n"/>
    </row>
    <row r="58" ht="26.85" customHeight="1" s="56">
      <c r="A58" s="105" t="inlineStr">
        <is>
          <t>11 Jan</t>
        </is>
      </c>
      <c r="B58" s="105" t="inlineStr">
        <is>
          <t>Hong Kong (HKG) → Ulaanbaatar</t>
        </is>
      </c>
      <c r="C58" s="82" t="inlineStr">
        <is>
          <t>MIAT OM298 12:25–17:05</t>
        </is>
      </c>
      <c r="D58" s="84" t="n">
        <v>0.1944444444444444</v>
      </c>
      <c r="E58" s="106" t="inlineStr">
        <is>
          <t>Be at HKG by ~10:25</t>
        </is>
      </c>
      <c r="F58" s="107" t="n"/>
      <c r="G58" s="107" t="n"/>
      <c r="H58" s="107" t="n"/>
      <c r="I58" s="107" t="n"/>
      <c r="J58" s="107" t="n"/>
      <c r="K58" s="107" t="n"/>
      <c r="L58" s="107" t="n"/>
    </row>
    <row r="59" ht="14.15" customHeight="1" s="56">
      <c r="A59" s="105" t="inlineStr">
        <is>
          <t>11 Jan</t>
        </is>
      </c>
      <c r="B59" s="105" t="inlineStr">
        <is>
          <t>Chinggis Khaan airport → home</t>
        </is>
      </c>
      <c r="C59" s="82" t="inlineStr">
        <is>
          <t>Taxi</t>
        </is>
      </c>
      <c r="D59" s="104" t="n">
        <v>0.04166666666666666</v>
      </c>
      <c r="E59" s="106" t="n"/>
      <c r="F59" s="107" t="n"/>
      <c r="G59" s="107" t="n"/>
      <c r="H59" s="107" t="n"/>
      <c r="I59" s="107" t="n"/>
      <c r="J59" s="107" t="n"/>
      <c r="K59" s="107" t="n"/>
      <c r="L59" s="107" t="n"/>
    </row>
    <row r="60" ht="15" customHeight="1" s="56">
      <c r="C60" s="59" t="inlineStr">
        <is>
          <t>Total door-to-door</t>
        </is>
      </c>
      <c r="D60" s="109">
        <f>SUM(D52:D59)</f>
        <v/>
      </c>
    </row>
  </sheetData>
  <mergeCells count="18">
    <mergeCell ref="E57:L57"/>
    <mergeCell ref="E56:L56"/>
    <mergeCell ref="E58:L58"/>
    <mergeCell ref="C45:L45"/>
    <mergeCell ref="B38:L38"/>
    <mergeCell ref="E59:L59"/>
    <mergeCell ref="E51:L51"/>
    <mergeCell ref="B39:L39"/>
    <mergeCell ref="C48:L48"/>
    <mergeCell ref="E54:L54"/>
    <mergeCell ref="C44:L44"/>
    <mergeCell ref="E55:L55"/>
    <mergeCell ref="E52:L52"/>
    <mergeCell ref="C46:L46"/>
    <mergeCell ref="C47:L47"/>
    <mergeCell ref="E53:L53"/>
    <mergeCell ref="B41:L41"/>
    <mergeCell ref="B40:L4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8.xml><?xml version="1.0" encoding="utf-8"?>
<worksheet xmlns="http://schemas.openxmlformats.org/spreadsheetml/2006/main">
  <sheetPr filterMode="0">
    <outlinePr summaryBelow="1" summaryRight="1"/>
    <pageSetUpPr fitToPage="0"/>
  </sheetPr>
  <dimension ref="A1:L60"/>
  <sheetViews>
    <sheetView showFormulas="0" showGridLines="1" showRowColHeaders="1" showZeros="1" rightToLeft="0" tabSelected="0" showOutlineSymbols="1" defaultGridColor="1"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baseColWidth="8" defaultColWidth="8.6796875" defaultRowHeight="15" zeroHeight="0" outlineLevelRow="0"/>
  <cols>
    <col width="26" customWidth="1" style="55" min="1" max="1"/>
    <col width="52" customWidth="1" style="55" min="2" max="2"/>
    <col width="20" customWidth="1" style="55" min="3" max="3"/>
    <col width="15" customWidth="1" style="55" min="4" max="4"/>
    <col width="13" customWidth="1" style="55" min="5" max="5"/>
    <col width="9" customWidth="1" style="55" min="6" max="7"/>
    <col width="17" customWidth="1" style="55" min="8" max="8"/>
    <col width="13" customWidth="1" style="55" min="9" max="9"/>
    <col width="9" customWidth="1" style="55" min="10" max="10"/>
    <col width="17" customWidth="1" style="55" min="11" max="11"/>
    <col width="58" customWidth="1" style="55" min="12" max="12"/>
  </cols>
  <sheetData>
    <row r="1" ht="17.35" customHeight="1" s="56">
      <c r="A1" s="57" t="inlineStr">
        <is>
          <t>Hong Kong – Comfort</t>
        </is>
      </c>
    </row>
    <row r="2" ht="15" customHeight="1" s="56">
      <c r="A2" s="62" t="inlineStr">
        <is>
          <t>MIAT nonstop both ways; hotel in Sai Ying Pun, ~1 MTR stop / short walk to HKU.</t>
        </is>
      </c>
    </row>
    <row r="4" ht="15" customHeight="1" s="56">
      <c r="A4" s="60" t="inlineStr">
        <is>
          <t>Days in destination (meals &amp; local transport)</t>
        </is>
      </c>
      <c r="B4" s="76" t="n">
        <v>3.5</v>
      </c>
      <c r="C4" s="62" t="inlineStr">
        <is>
          <t>8 Jan midday → 11 Jan morning</t>
        </is>
      </c>
    </row>
    <row r="5" ht="15" customHeight="1" s="56">
      <c r="A5" s="62" t="inlineStr">
        <is>
          <t>Shared inputs are on the Compare sheet. Scroll down for the day-by-day plan and door-to-door travel times.</t>
        </is>
      </c>
    </row>
    <row r="7" ht="31.5" customHeight="1" s="56">
      <c r="A7" s="66" t="inlineStr">
        <is>
          <t>Category</t>
        </is>
      </c>
      <c r="B7" s="66" t="inlineStr">
        <is>
          <t>Item</t>
        </is>
      </c>
      <c r="C7" s="66" t="inlineStr">
        <is>
          <t>Date</t>
        </is>
      </c>
      <c r="D7" s="66" t="inlineStr">
        <is>
          <t>Travel time</t>
        </is>
      </c>
      <c r="E7" s="66" t="inlineStr">
        <is>
          <t>Unit cost (3 ppl)</t>
        </is>
      </c>
      <c r="F7" s="66" t="inlineStr">
        <is>
          <t>Currency</t>
        </is>
      </c>
      <c r="G7" s="66" t="inlineStr">
        <is>
          <t>Qty (3 ppl)</t>
        </is>
      </c>
      <c r="H7" s="66" t="inlineStr">
        <is>
          <t>Total MNT – 3 people</t>
        </is>
      </c>
      <c r="I7" s="66" t="inlineStr">
        <is>
          <t>Unit cost (4 ppl)</t>
        </is>
      </c>
      <c r="J7" s="66" t="inlineStr">
        <is>
          <t>Qty (4 ppl)</t>
        </is>
      </c>
      <c r="K7" s="66" t="inlineStr">
        <is>
          <t>Total MNT – 4 people</t>
        </is>
      </c>
      <c r="L7" s="66" t="inlineStr">
        <is>
          <t>Source / notes</t>
        </is>
      </c>
    </row>
    <row r="8" ht="15" customHeight="1" s="56">
      <c r="A8" s="77" t="inlineStr">
        <is>
          <t>PAID BY UNIVERSITY</t>
        </is>
      </c>
      <c r="B8" s="78" t="n"/>
      <c r="C8" s="78" t="n"/>
      <c r="D8" s="78" t="n"/>
      <c r="E8" s="78" t="n"/>
      <c r="F8" s="78" t="n"/>
      <c r="G8" s="78" t="n"/>
      <c r="H8" s="78" t="n"/>
      <c r="I8" s="78" t="n"/>
      <c r="J8" s="78" t="n"/>
      <c r="K8" s="78" t="n"/>
      <c r="L8" s="78" t="n"/>
    </row>
    <row r="9" ht="15" customHeight="1" s="56">
      <c r="A9" s="79" t="inlineStr">
        <is>
          <t>Flights</t>
        </is>
      </c>
      <c r="B9" s="80" t="n"/>
      <c r="C9" s="80" t="n"/>
      <c r="D9" s="80" t="n"/>
      <c r="E9" s="80" t="n"/>
      <c r="F9" s="80" t="n"/>
      <c r="G9" s="80" t="n"/>
      <c r="H9" s="80" t="n"/>
      <c r="I9" s="80" t="n"/>
      <c r="J9" s="80" t="n"/>
      <c r="K9" s="80" t="n"/>
      <c r="L9" s="80" t="n"/>
    </row>
    <row r="10" ht="26.85" customHeight="1" s="56">
      <c r="A10" s="81" t="n"/>
      <c r="B10" s="82" t="inlineStr">
        <is>
          <t>MIAT OM297 Ulaanbaatar → Hong Kong, nonstop 06:45–11:25</t>
        </is>
      </c>
      <c r="C10" s="83" t="inlineStr">
        <is>
          <t>8 Jan</t>
        </is>
      </c>
      <c r="D10" s="84" t="n">
        <v>0.1944444444444444</v>
      </c>
      <c r="E10" s="85" t="n">
        <v>293</v>
      </c>
      <c r="F10" s="86" t="inlineStr">
        <is>
          <t>USD</t>
        </is>
      </c>
      <c r="G10" s="87">
        <f>Compare!$B$6</f>
        <v/>
      </c>
      <c r="H10" s="88">
        <f>E10*G10*IF(F10="USD",Compare!$B$8,IF(F10="CNY",Compare!$B$9,IF(F10="HKD",Compare!$B$10,1)))</f>
        <v/>
      </c>
      <c r="I10" s="89">
        <f>E10</f>
        <v/>
      </c>
      <c r="J10" s="87">
        <f>Compare!$B$7</f>
        <v/>
      </c>
      <c r="K10" s="88">
        <f>I10*J10*IF(F10="USD",Compare!$B$8,IF(F10="CNY",Compare!$B$9,IF(F10="HKD",Compare!$B$10,1)))</f>
        <v/>
      </c>
      <c r="L10" s="90" t="inlineStr">
        <is>
          <t>Trip.com 10 Oct: MIAT nonstop 07:15–11:50 round trip $586 pp (8–11 Jan), split half each way = $293 (SlickTrip $593; $583 on 30 Sep). Cathay codeshare $626; via Seoul $783+</t>
        </is>
      </c>
    </row>
    <row r="11" ht="26.85" customHeight="1" s="56">
      <c r="A11" s="81" t="n"/>
      <c r="B11" s="82" t="inlineStr">
        <is>
          <t>MIAT OM298 Hong Kong → Ulaanbaatar, nonstop 12:25–17:05</t>
        </is>
      </c>
      <c r="C11" s="83" t="inlineStr">
        <is>
          <t>11 Jan</t>
        </is>
      </c>
      <c r="D11" s="84" t="n">
        <v>0.1944444444444444</v>
      </c>
      <c r="E11" s="85" t="n">
        <v>293</v>
      </c>
      <c r="F11" s="86" t="inlineStr">
        <is>
          <t>USD</t>
        </is>
      </c>
      <c r="G11" s="87">
        <f>Compare!$B$6</f>
        <v/>
      </c>
      <c r="H11" s="88">
        <f>E11*G11*IF(F11="USD",Compare!$B$8,IF(F11="CNY",Compare!$B$9,IF(F11="HKD",Compare!$B$10,1)))</f>
        <v/>
      </c>
      <c r="I11" s="89">
        <f>E11</f>
        <v/>
      </c>
      <c r="J11" s="87">
        <f>Compare!$B$7</f>
        <v/>
      </c>
      <c r="K11" s="88">
        <f>I11*J11*IF(F11="USD",Compare!$B$8,IF(F11="CNY",Compare!$B$9,IF(F11="HKD",Compare!$B$10,1)))</f>
        <v/>
      </c>
      <c r="L11" s="90" t="inlineStr">
        <is>
          <t>Return half of the $586 pp Trip.com round trip</t>
        </is>
      </c>
    </row>
    <row r="12" ht="15" customHeight="1" s="56">
      <c r="A12" s="79" t="inlineStr">
        <is>
          <t>Accommodation</t>
        </is>
      </c>
      <c r="B12" s="80" t="n"/>
      <c r="C12" s="80" t="n"/>
      <c r="D12" s="80" t="n"/>
      <c r="E12" s="80" t="n"/>
      <c r="F12" s="80" t="n"/>
      <c r="G12" s="80" t="n"/>
      <c r="H12" s="80" t="n"/>
      <c r="I12" s="80" t="n"/>
      <c r="J12" s="80" t="n"/>
      <c r="K12" s="80" t="n"/>
      <c r="L12" s="80" t="n"/>
    </row>
    <row r="13" ht="26.85" customHeight="1" s="56">
      <c r="A13" s="81" t="n"/>
      <c r="B13" s="82" t="inlineStr">
        <is>
          <t>Best Western Plus Hotel Hong Kong, Sai Ying Pun (~1 km to HKU; 3 ppl 1 room; 4 ppl 2 rooms)</t>
        </is>
      </c>
      <c r="C13" s="83" t="inlineStr">
        <is>
          <t>8–11 Jan (3 nights)</t>
        </is>
      </c>
      <c r="D13" s="81" t="n"/>
      <c r="E13" s="85" t="n">
        <v>713</v>
      </c>
      <c r="F13" s="86" t="inlineStr">
        <is>
          <t>HKD</t>
        </is>
      </c>
      <c r="G13" s="91" t="n">
        <v>3</v>
      </c>
      <c r="H13" s="88">
        <f>E13*G13*IF(F13="USD",Compare!$B$8,IF(F13="CNY",Compare!$B$9,IF(F13="HKD",Compare!$B$10,1)))</f>
        <v/>
      </c>
      <c r="I13" s="85" t="n">
        <v>1213.33</v>
      </c>
      <c r="J13" s="91" t="n">
        <v>3</v>
      </c>
      <c r="K13" s="88">
        <f>I13*J13*IF(F13="USD",Compare!$B$8,IF(F13="CNY",Compare!$B$9,IF(F13="HKD",Compare!$B$10,1)))</f>
        <v/>
      </c>
      <c r="L13" s="90" t="inlineStr">
        <is>
          <t>Booking.com 8–11 Jan: 2,139 HKD (3 ppl) / 3,640 HKD (4 ppl, 2 rooms) for 3 nights; rated 7.4 (4,583 reviews)</t>
        </is>
      </c>
    </row>
    <row r="14" ht="15" customHeight="1" s="56">
      <c r="A14" s="79" t="inlineStr">
        <is>
          <t>Meals &amp; local transport</t>
        </is>
      </c>
      <c r="B14" s="80" t="n"/>
      <c r="C14" s="80" t="n"/>
      <c r="D14" s="80" t="n"/>
      <c r="E14" s="80" t="n"/>
      <c r="F14" s="80" t="n"/>
      <c r="G14" s="80" t="n"/>
      <c r="H14" s="80" t="n"/>
      <c r="I14" s="80" t="n"/>
      <c r="J14" s="80" t="n"/>
      <c r="K14" s="80" t="n"/>
      <c r="L14" s="80" t="n"/>
    </row>
    <row r="15" ht="15" customHeight="1" s="56">
      <c r="A15" s="81" t="n"/>
      <c r="B15" s="82" t="inlineStr">
        <is>
          <t>Meals</t>
        </is>
      </c>
      <c r="C15" s="83" t="inlineStr">
        <is>
          <t>in Hong Kong</t>
        </is>
      </c>
      <c r="D15" s="81" t="n"/>
      <c r="E15" s="92" t="n">
        <v>180</v>
      </c>
      <c r="F15" s="86" t="inlineStr">
        <is>
          <t>HKD</t>
        </is>
      </c>
      <c r="G15" s="87">
        <f>Compare!$B$6*$B$4</f>
        <v/>
      </c>
      <c r="H15" s="88">
        <f>E15*G15*IF(F15="USD",Compare!$B$8,IF(F15="CNY",Compare!$B$9,IF(F15="HKD",Compare!$B$10,1)))</f>
        <v/>
      </c>
      <c r="I15" s="93">
        <f>E15</f>
        <v/>
      </c>
      <c r="J15" s="87">
        <f>Compare!$B$7*$B$4</f>
        <v/>
      </c>
      <c r="K15" s="88">
        <f>I15*J15*IF(F15="USD",Compare!$B$8,IF(F15="CNY",Compare!$B$9,IF(F15="HKD",Compare!$B$10,1)))</f>
        <v/>
      </c>
      <c r="L15" s="90" t="inlineStr">
        <is>
          <t>ASSUMPTION ~180 HKD/person/day (cha chaan teng, canteens)</t>
        </is>
      </c>
    </row>
    <row r="16" ht="15" customHeight="1" s="56">
      <c r="A16" s="81" t="n"/>
      <c r="B16" s="82" t="inlineStr">
        <is>
          <t>MTR / buses (Octopus card)</t>
        </is>
      </c>
      <c r="C16" s="83" t="inlineStr">
        <is>
          <t>in Hong Kong</t>
        </is>
      </c>
      <c r="D16" s="81" t="n"/>
      <c r="E16" s="92" t="n">
        <v>40</v>
      </c>
      <c r="F16" s="86" t="inlineStr">
        <is>
          <t>HKD</t>
        </is>
      </c>
      <c r="G16" s="87">
        <f>Compare!$B$6*$B$4</f>
        <v/>
      </c>
      <c r="H16" s="88">
        <f>E16*G16*IF(F16="USD",Compare!$B$8,IF(F16="CNY",Compare!$B$9,IF(F16="HKD",Compare!$B$10,1)))</f>
        <v/>
      </c>
      <c r="I16" s="93">
        <f>E16</f>
        <v/>
      </c>
      <c r="J16" s="87">
        <f>Compare!$B$7*$B$4</f>
        <v/>
      </c>
      <c r="K16" s="88">
        <f>I16*J16*IF(F16="USD",Compare!$B$8,IF(F16="CNY",Compare!$B$9,IF(F16="HKD",Compare!$B$10,1)))</f>
        <v/>
      </c>
      <c r="L16" s="90" t="inlineStr">
        <is>
          <t>ASSUMPTION ~40 HKD/person/day</t>
        </is>
      </c>
    </row>
    <row r="17" ht="15" customHeight="1" s="56">
      <c r="A17" s="81" t="n"/>
      <c r="B17" s="82" t="inlineStr">
        <is>
          <t>Airport Express, both ways</t>
        </is>
      </c>
      <c r="C17" s="83" t="inlineStr">
        <is>
          <t>8 &amp; 11 Jan (HKG ↔ Hong Kong stn)</t>
        </is>
      </c>
      <c r="D17" s="81" t="n"/>
      <c r="E17" s="92" t="n">
        <v>230</v>
      </c>
      <c r="F17" s="86" t="inlineStr">
        <is>
          <t>HKD</t>
        </is>
      </c>
      <c r="G17" s="87">
        <f>Compare!$B$6</f>
        <v/>
      </c>
      <c r="H17" s="88">
        <f>E17*G17*IF(F17="USD",Compare!$B$8,IF(F17="CNY",Compare!$B$9,IF(F17="HKD",Compare!$B$10,1)))</f>
        <v/>
      </c>
      <c r="I17" s="93">
        <f>E17</f>
        <v/>
      </c>
      <c r="J17" s="87">
        <f>Compare!$B$7</f>
        <v/>
      </c>
      <c r="K17" s="88">
        <f>I17*J17*IF(F17="USD",Compare!$B$8,IF(F17="CNY",Compare!$B$9,IF(F17="HKD",Compare!$B$10,1)))</f>
        <v/>
      </c>
      <c r="L17" s="90" t="inlineStr">
        <is>
          <t>ASSUMPTION ~115 HKD per person each way (recent adult single fare)</t>
        </is>
      </c>
    </row>
    <row r="18" ht="15" customHeight="1" s="56">
      <c r="A18" s="94" t="inlineStr">
        <is>
          <t>PAID PERSONALLY (university won't cover)</t>
        </is>
      </c>
      <c r="B18" s="95" t="n"/>
      <c r="C18" s="95" t="n"/>
      <c r="D18" s="95" t="n"/>
      <c r="E18" s="95" t="n"/>
      <c r="F18" s="95" t="n"/>
      <c r="G18" s="95" t="n"/>
      <c r="H18" s="95" t="n"/>
      <c r="I18" s="95" t="n"/>
      <c r="J18" s="95" t="n"/>
      <c r="K18" s="95" t="n"/>
      <c r="L18" s="95" t="n"/>
    </row>
    <row r="19" ht="15" customHeight="1" s="56">
      <c r="A19" s="79" t="inlineStr">
        <is>
          <t>Contest fee</t>
        </is>
      </c>
      <c r="B19" s="80" t="n"/>
      <c r="C19" s="80" t="n"/>
      <c r="D19" s="80" t="n"/>
      <c r="E19" s="80" t="n"/>
      <c r="F19" s="80" t="n"/>
      <c r="G19" s="80" t="n"/>
      <c r="H19" s="80" t="n"/>
      <c r="I19" s="80" t="n"/>
      <c r="J19" s="80" t="n"/>
      <c r="K19" s="80" t="n"/>
      <c r="L19" s="80" t="n"/>
    </row>
    <row r="20" ht="22.35" customHeight="1" s="56">
      <c r="A20" s="81" t="n"/>
      <c r="B20" s="82" t="inlineStr">
        <is>
          <t>Hong Kong regional registration fee (per team)</t>
        </is>
      </c>
      <c r="C20" s="83" t="inlineStr">
        <is>
          <t>TBC</t>
        </is>
      </c>
      <c r="D20" s="81" t="n"/>
      <c r="E20" s="85" t="n">
        <v>1800</v>
      </c>
      <c r="F20" s="86" t="inlineStr">
        <is>
          <t>HKD</t>
        </is>
      </c>
      <c r="G20" s="91" t="n">
        <v>1</v>
      </c>
      <c r="H20" s="88">
        <f>E20*G20*IF(F20="USD",Compare!$B$8,IF(F20="CNY",Compare!$B$9,IF(F20="HKD",Compare!$B$10,1)))</f>
        <v/>
      </c>
      <c r="I20" s="89">
        <f>E20</f>
        <v/>
      </c>
      <c r="J20" s="91" t="n">
        <v>1</v>
      </c>
      <c r="K20" s="88">
        <f>I20*J20*IF(F20="USD",Compare!$B$8,IF(F20="CNY",Compare!$B$9,IF(F20="HKD",Compare!$B$10,1)))</f>
        <v/>
      </c>
      <c r="L20" s="90" t="inlineStr">
        <is>
          <t>1,800 HKD/team at the 2025 Hong Kong regional (HKUST); 2026 host listed as HKU – confirm</t>
        </is>
      </c>
    </row>
    <row r="21" ht="15" customHeight="1" s="56">
      <c r="A21" s="79" t="inlineStr">
        <is>
          <t>Other</t>
        </is>
      </c>
      <c r="B21" s="80" t="n"/>
      <c r="C21" s="80" t="n"/>
      <c r="D21" s="80" t="n"/>
      <c r="E21" s="80" t="n"/>
      <c r="F21" s="80" t="n"/>
      <c r="G21" s="80" t="n"/>
      <c r="H21" s="80" t="n"/>
      <c r="I21" s="80" t="n"/>
      <c r="J21" s="80" t="n"/>
      <c r="K21" s="80" t="n"/>
      <c r="L21" s="80" t="n"/>
    </row>
    <row r="22" ht="15" customHeight="1" s="56">
      <c r="A22" s="81" t="n"/>
      <c r="B22" s="82" t="inlineStr">
        <is>
          <t>Taxi to/from Chinggis Khaan airport (UB), per trip</t>
        </is>
      </c>
      <c r="C22" s="83" t="inlineStr">
        <is>
          <t>out &amp; back</t>
        </is>
      </c>
      <c r="D22" s="84" t="n">
        <v>0.04166666666666666</v>
      </c>
      <c r="E22" s="92" t="n">
        <v>100000</v>
      </c>
      <c r="F22" s="86" t="inlineStr">
        <is>
          <t>MNT</t>
        </is>
      </c>
      <c r="G22" s="91" t="n">
        <v>2</v>
      </c>
      <c r="H22" s="88">
        <f>E22*G22*IF(F22="USD",Compare!$B$8,IF(F22="CNY",Compare!$B$9,IF(F22="HKD",Compare!$B$10,1)))</f>
        <v/>
      </c>
      <c r="I22" s="93">
        <f>E22</f>
        <v/>
      </c>
      <c r="J22" s="91" t="n">
        <v>2</v>
      </c>
      <c r="K22" s="88">
        <f>I22*J22*IF(F22="USD",Compare!$B$8,IF(F22="CNY",Compare!$B$9,IF(F22="HKD",Compare!$B$10,1)))</f>
        <v/>
      </c>
      <c r="L22" s="90" t="inlineStr">
        <is>
          <t>ASSUMPTION 100k MNT per trip for the group</t>
        </is>
      </c>
    </row>
    <row r="23" ht="15" customHeight="1" s="56">
      <c r="A23" s="81" t="n"/>
      <c r="B23" s="82" t="inlineStr">
        <is>
          <t>Travel medical insurance</t>
        </is>
      </c>
      <c r="C23" s="83" t="n"/>
      <c r="D23" s="81" t="n"/>
      <c r="E23" s="92" t="n">
        <v>30000</v>
      </c>
      <c r="F23" s="86" t="inlineStr">
        <is>
          <t>MNT</t>
        </is>
      </c>
      <c r="G23" s="87">
        <f>Compare!$B$6</f>
        <v/>
      </c>
      <c r="H23" s="88">
        <f>E23*G23*IF(F23="USD",Compare!$B$8,IF(F23="CNY",Compare!$B$9,IF(F23="HKD",Compare!$B$10,1)))</f>
        <v/>
      </c>
      <c r="I23" s="93">
        <f>E23</f>
        <v/>
      </c>
      <c r="J23" s="87">
        <f>Compare!$B$7</f>
        <v/>
      </c>
      <c r="K23" s="88">
        <f>I23*J23*IF(F23="USD",Compare!$B$8,IF(F23="CNY",Compare!$B$9,IF(F23="HKD",Compare!$B$10,1)))</f>
        <v/>
      </c>
      <c r="L23" s="90" t="inlineStr">
        <is>
          <t>ASSUMPTION ~30k MNT per person, Mongolian insurer</t>
        </is>
      </c>
    </row>
    <row r="24" ht="15" customHeight="1" s="56">
      <c r="A24" s="81" t="n"/>
      <c r="B24" s="82" t="inlineStr">
        <is>
          <t>Mobile data eSIM</t>
        </is>
      </c>
      <c r="C24" s="83" t="n"/>
      <c r="D24" s="81" t="n"/>
      <c r="E24" s="92" t="n">
        <v>10</v>
      </c>
      <c r="F24" s="86" t="inlineStr">
        <is>
          <t>USD</t>
        </is>
      </c>
      <c r="G24" s="87">
        <f>Compare!$B$6</f>
        <v/>
      </c>
      <c r="H24" s="88">
        <f>E24*G24*IF(F24="USD",Compare!$B$8,IF(F24="CNY",Compare!$B$9,IF(F24="HKD",Compare!$B$10,1)))</f>
        <v/>
      </c>
      <c r="I24" s="93">
        <f>E24</f>
        <v/>
      </c>
      <c r="J24" s="87">
        <f>Compare!$B$7</f>
        <v/>
      </c>
      <c r="K24" s="88">
        <f>I24*J24*IF(F24="USD",Compare!$B$8,IF(F24="CNY",Compare!$B$9,IF(F24="HKD",Compare!$B$10,1)))</f>
        <v/>
      </c>
      <c r="L24" s="90" t="inlineStr">
        <is>
          <t>ASSUMPTION ~$10 pp</t>
        </is>
      </c>
    </row>
    <row r="25" ht="22.35" customHeight="1" s="56">
      <c r="A25" s="81" t="n"/>
      <c r="B25" s="82" t="inlineStr">
        <is>
          <t>Visa</t>
        </is>
      </c>
      <c r="C25" s="83" t="n"/>
      <c r="D25" s="81" t="n"/>
      <c r="E25" s="85" t="n">
        <v>0</v>
      </c>
      <c r="F25" s="86" t="inlineStr">
        <is>
          <t>MNT</t>
        </is>
      </c>
      <c r="G25" s="87">
        <f>Compare!$B$6</f>
        <v/>
      </c>
      <c r="H25" s="88">
        <f>E25*G25*IF(F25="USD",Compare!$B$8,IF(F25="CNY",Compare!$B$9,IF(F25="HKD",Compare!$B$10,1)))</f>
        <v/>
      </c>
      <c r="I25" s="89">
        <f>E25</f>
        <v/>
      </c>
      <c r="J25" s="87">
        <f>Compare!$B$7</f>
        <v/>
      </c>
      <c r="K25" s="88">
        <f>I25*J25*IF(F25="USD",Compare!$B$8,IF(F25="CNY",Compare!$B$9,IF(F25="HKD",Compare!$B$10,1)))</f>
        <v/>
      </c>
      <c r="L25" s="90" t="inlineStr">
        <is>
          <t>Mongolian passports: visa-free (mainland China up to 30 days; Hong Kong up to 14 days)</t>
        </is>
      </c>
    </row>
    <row r="27" ht="15" customHeight="1" s="56">
      <c r="G27" s="60" t="n"/>
      <c r="H27" s="96" t="inlineStr">
        <is>
          <t>3 people – UNFUNDED</t>
        </is>
      </c>
      <c r="K27" s="96" t="inlineStr">
        <is>
          <t>4 people – FUNDED ₮12M</t>
        </is>
      </c>
    </row>
    <row r="28" ht="15" customHeight="1" s="56">
      <c r="G28" s="97" t="inlineStr">
        <is>
          <t>University-paid subtotal</t>
        </is>
      </c>
      <c r="H28" s="98">
        <f>SUM(H9:H17)</f>
        <v/>
      </c>
      <c r="K28" s="98">
        <f>SUM(K9:K17)</f>
        <v/>
      </c>
    </row>
    <row r="29" ht="15" customHeight="1" s="56">
      <c r="G29" s="99" t="inlineStr">
        <is>
          <t>Contingency</t>
        </is>
      </c>
      <c r="H29" s="100">
        <f>H28*Compare!$B$11</f>
        <v/>
      </c>
      <c r="K29" s="100">
        <f>K28*Compare!$B$11</f>
        <v/>
      </c>
    </row>
    <row r="30" ht="15" customHeight="1" s="56">
      <c r="G30" s="97" t="inlineStr">
        <is>
          <t>University-paid total incl. contingency</t>
        </is>
      </c>
      <c r="H30" s="98">
        <f>H28+H29</f>
        <v/>
      </c>
      <c r="K30" s="98">
        <f>K28+K29</f>
        <v/>
      </c>
    </row>
    <row r="31" ht="15" customHeight="1" s="56">
      <c r="G31" s="97" t="inlineStr">
        <is>
          <t>Funding left (negative = over)</t>
        </is>
      </c>
      <c r="H31" s="101">
        <f>Compare!$B$12-H30</f>
        <v/>
      </c>
      <c r="K31" s="101">
        <f>Compare!$B$5-K30</f>
        <v/>
      </c>
    </row>
    <row r="32" ht="15" customHeight="1" s="56">
      <c r="G32" s="97" t="inlineStr">
        <is>
          <t>Personal costs – team</t>
        </is>
      </c>
      <c r="H32" s="102">
        <f>SUM(H19:H25)</f>
        <v/>
      </c>
      <c r="K32" s="102">
        <f>SUM(K19:K25)</f>
        <v/>
      </c>
    </row>
    <row r="33" ht="15" customHeight="1" s="56">
      <c r="G33" s="97" t="inlineStr">
        <is>
          <t>Out-of-pocket per person (personal + any overrun)</t>
        </is>
      </c>
      <c r="H33" s="102">
        <f>(H32+MAX(0,-H31))/Compare!$B$6</f>
        <v/>
      </c>
      <c r="K33" s="102">
        <f>(K32+MAX(0,-K31))/Compare!$B$7</f>
        <v/>
      </c>
    </row>
    <row r="34" ht="15" customHeight="1" s="56">
      <c r="G34" s="97" t="inlineStr">
        <is>
          <t>Whole trip cost (university + personal)</t>
        </is>
      </c>
      <c r="H34" s="103">
        <f>H30+H32</f>
        <v/>
      </c>
      <c r="K34" s="103">
        <f>K30+K32</f>
        <v/>
      </c>
    </row>
    <row r="35" ht="15" customHeight="1" s="56">
      <c r="G35" s="99" t="inlineStr">
        <is>
          <t>Time in planes &amp; trains</t>
        </is>
      </c>
      <c r="H35" s="104">
        <f>SUM(D10:D11)</f>
        <v/>
      </c>
      <c r="K35" s="104">
        <f>SUM(D10:D11)</f>
        <v/>
      </c>
    </row>
    <row r="37" ht="15" customHeight="1" s="56">
      <c r="A37" s="72" t="inlineStr">
        <is>
          <t>Key facts</t>
        </is>
      </c>
    </row>
    <row r="38" ht="15" customHeight="1" s="56">
      <c r="A38" s="75" t="inlineStr">
        <is>
          <t>Contest</t>
        </is>
      </c>
      <c r="B38" s="74" t="inlineStr">
        <is>
          <t>Asia Hong Kong Regional, 9–10 Jan 2027 (provisional), host listed as HKU – confirm.</t>
        </is>
      </c>
    </row>
    <row r="39" ht="15" customHeight="1" s="56">
      <c r="A39" s="75" t="inlineStr">
        <is>
          <t>Why this plan</t>
        </is>
      </c>
      <c r="B39" s="74" t="inlineStr">
        <is>
          <t>Walking distance to HKU, a proper hotel; flights identical to the budget plan.</t>
        </is>
      </c>
    </row>
    <row r="40" ht="15" customHeight="1" s="56">
      <c r="A40" s="75" t="inlineStr">
        <is>
          <t>Entry</t>
        </is>
      </c>
      <c r="B40" s="74" t="inlineStr">
        <is>
          <t>Mongolian passport holders can visit Hong Kong visa-free for up to 14 days.</t>
        </is>
      </c>
    </row>
    <row r="41" ht="15" customHeight="1" s="56">
      <c r="A41" s="75" t="inlineStr">
        <is>
          <t>Trade-off</t>
        </is>
      </c>
      <c r="B41" s="74" t="inlineStr">
        <is>
          <t>Hotel costs roughly double the Kowloon guesthouse.</t>
        </is>
      </c>
    </row>
    <row r="43" ht="15" customHeight="1" s="56">
      <c r="A43" s="72" t="inlineStr">
        <is>
          <t>Day-by-day plan</t>
        </is>
      </c>
    </row>
    <row r="44" ht="15" customHeight="1" s="56">
      <c r="A44" s="96" t="inlineStr">
        <is>
          <t>Date</t>
        </is>
      </c>
      <c r="B44" s="96" t="inlineStr">
        <is>
          <t>Sleep in</t>
        </is>
      </c>
      <c r="C44" s="96" t="inlineStr">
        <is>
          <t>What happens</t>
        </is>
      </c>
    </row>
    <row r="45" ht="15" customHeight="1" s="56">
      <c r="A45" s="74" t="inlineStr">
        <is>
          <t>Fri 8 Jan</t>
        </is>
      </c>
      <c r="B45" s="74" t="inlineStr">
        <is>
          <t>Hong Kong</t>
        </is>
      </c>
      <c r="C45" s="74" t="inlineStr">
        <is>
          <t>MIAT OM297 UB 06:45 → Hong Kong 11:25 (4 h 40 min). Airport Express, check in at the Sai Ying Pun hotel.</t>
        </is>
      </c>
    </row>
    <row r="46" ht="15" customHeight="1" s="56">
      <c r="A46" s="74" t="inlineStr">
        <is>
          <t>Sat 9 Jan</t>
        </is>
      </c>
      <c r="B46" s="74" t="inlineStr">
        <is>
          <t>Hong Kong</t>
        </is>
      </c>
      <c r="C46" s="74" t="inlineStr">
        <is>
          <t>Registration, opening and warm-up at the University of Hong Kong (2025 HK regional used the same day-1 pattern).</t>
        </is>
      </c>
    </row>
    <row r="47" ht="15" customHeight="1" s="56">
      <c r="A47" s="74" t="inlineStr">
        <is>
          <t>Sun 10 Jan</t>
        </is>
      </c>
      <c r="B47" s="74" t="inlineStr">
        <is>
          <t>Hong Kong</t>
        </is>
      </c>
      <c r="C47" s="74" t="inlineStr">
        <is>
          <t>HONG KONG REGIONAL contest day, closing &amp; solutions.</t>
        </is>
      </c>
    </row>
    <row r="48" ht="15" customHeight="1" s="56">
      <c r="A48" s="74" t="inlineStr">
        <is>
          <t>Mon 11 Jan</t>
        </is>
      </c>
      <c r="B48" s="74" t="inlineStr">
        <is>
          <t>Home</t>
        </is>
      </c>
      <c r="C48" s="74" t="inlineStr">
        <is>
          <t>MIAT OM298 Hong Kong 12:25 → UB 17:05.</t>
        </is>
      </c>
    </row>
    <row r="50" ht="15" customHeight="1" s="56">
      <c r="A50" s="72" t="inlineStr">
        <is>
          <t>Door-to-door travel times</t>
        </is>
      </c>
    </row>
    <row r="51" ht="15" customHeight="1" s="56">
      <c r="A51" s="96" t="inlineStr">
        <is>
          <t>Date</t>
        </is>
      </c>
      <c r="B51" s="96" t="inlineStr">
        <is>
          <t>Leg</t>
        </is>
      </c>
      <c r="C51" s="96" t="inlineStr">
        <is>
          <t>Mode</t>
        </is>
      </c>
      <c r="D51" s="96" t="inlineStr">
        <is>
          <t>Expected time</t>
        </is>
      </c>
      <c r="E51" s="96" t="inlineStr">
        <is>
          <t>Notes</t>
        </is>
      </c>
    </row>
    <row r="52" ht="15" customHeight="1" s="56">
      <c r="A52" s="105" t="inlineStr">
        <is>
          <t>8 Jan</t>
        </is>
      </c>
      <c r="B52" s="105" t="inlineStr">
        <is>
          <t>Home → Chinggis Khaan airport</t>
        </is>
      </c>
      <c r="C52" s="82" t="inlineStr">
        <is>
          <t>Taxi (~50 km)</t>
        </is>
      </c>
      <c r="D52" s="104" t="n">
        <v>0.04166666666666666</v>
      </c>
      <c r="E52" s="106" t="inlineStr">
        <is>
          <t>Leave ~03:45 for 06:45 flight</t>
        </is>
      </c>
      <c r="F52" s="107" t="n"/>
      <c r="G52" s="107" t="n"/>
      <c r="H52" s="107" t="n"/>
      <c r="I52" s="107" t="n"/>
      <c r="J52" s="107" t="n"/>
      <c r="K52" s="107" t="n"/>
      <c r="L52" s="107" t="n"/>
    </row>
    <row r="53" ht="26.85" customHeight="1" s="56">
      <c r="A53" s="105" t="inlineStr">
        <is>
          <t>8 Jan</t>
        </is>
      </c>
      <c r="B53" s="105" t="inlineStr">
        <is>
          <t>Ulaanbaatar → Hong Kong (HKG)</t>
        </is>
      </c>
      <c r="C53" s="82" t="inlineStr">
        <is>
          <t>MIAT OM297 06:45–11:25</t>
        </is>
      </c>
      <c r="D53" s="84" t="n">
        <v>0.1944444444444444</v>
      </c>
      <c r="E53" s="106" t="n"/>
      <c r="F53" s="107" t="n"/>
      <c r="G53" s="107" t="n"/>
      <c r="H53" s="107" t="n"/>
      <c r="I53" s="107" t="n"/>
      <c r="J53" s="107" t="n"/>
      <c r="K53" s="107" t="n"/>
      <c r="L53" s="107" t="n"/>
    </row>
    <row r="54" ht="15" customHeight="1" s="56">
      <c r="A54" s="105" t="inlineStr">
        <is>
          <t>8 Jan</t>
        </is>
      </c>
      <c r="B54" s="105" t="inlineStr">
        <is>
          <t>HKG arrival: immigration, bags</t>
        </is>
      </c>
      <c r="C54" s="82" t="inlineStr">
        <is>
          <t>—</t>
        </is>
      </c>
      <c r="D54" s="104" t="n">
        <v>0.02777777777777778</v>
      </c>
      <c r="E54" s="106" t="inlineStr">
        <is>
          <t>Estimate</t>
        </is>
      </c>
      <c r="F54" s="107" t="n"/>
      <c r="G54" s="107" t="n"/>
      <c r="H54" s="107" t="n"/>
      <c r="I54" s="107" t="n"/>
      <c r="J54" s="107" t="n"/>
      <c r="K54" s="107" t="n"/>
      <c r="L54" s="107" t="n"/>
    </row>
    <row r="55" ht="39.55" customHeight="1" s="56">
      <c r="A55" s="105" t="inlineStr">
        <is>
          <t>8 Jan</t>
        </is>
      </c>
      <c r="B55" s="105" t="inlineStr">
        <is>
          <t>HKG → Sai Ying Pun hotel</t>
        </is>
      </c>
      <c r="C55" s="82" t="inlineStr">
        <is>
          <t>Airport Express to Hong Kong stn + taxi/MTR</t>
        </is>
      </c>
      <c r="D55" s="104" t="n">
        <v>0.03472222222222222</v>
      </c>
      <c r="E55" s="106" t="inlineStr">
        <is>
          <t>Estimate</t>
        </is>
      </c>
      <c r="F55" s="107" t="n"/>
      <c r="G55" s="107" t="n"/>
      <c r="H55" s="107" t="n"/>
      <c r="I55" s="107" t="n"/>
      <c r="J55" s="107" t="n"/>
      <c r="K55" s="107" t="n"/>
      <c r="L55" s="107" t="n"/>
    </row>
    <row r="56" ht="15" customHeight="1" s="56">
      <c r="A56" s="105" t="inlineStr">
        <is>
          <t>9–10 Jan</t>
        </is>
      </c>
      <c r="B56" s="105" t="inlineStr">
        <is>
          <t>Hotel ↔ HKU (each way)</t>
        </is>
      </c>
      <c r="C56" s="82" t="inlineStr">
        <is>
          <t>—</t>
        </is>
      </c>
      <c r="D56" s="108" t="inlineStr">
        <is>
          <t>daily</t>
        </is>
      </c>
      <c r="E56" s="106" t="inlineStr">
        <is>
          <t>~10–15 min (walk or 1 MTR stop to HKU station)</t>
        </is>
      </c>
      <c r="F56" s="107" t="n"/>
      <c r="G56" s="107" t="n"/>
      <c r="H56" s="107" t="n"/>
      <c r="I56" s="107" t="n"/>
      <c r="J56" s="107" t="n"/>
      <c r="K56" s="107" t="n"/>
      <c r="L56" s="107" t="n"/>
    </row>
    <row r="57" ht="26.85" customHeight="1" s="56">
      <c r="A57" s="105" t="inlineStr">
        <is>
          <t>11 Jan</t>
        </is>
      </c>
      <c r="B57" s="105" t="inlineStr">
        <is>
          <t>Hotel → HKG</t>
        </is>
      </c>
      <c r="C57" s="82" t="inlineStr">
        <is>
          <t>Taxi/MTR + Airport Express</t>
        </is>
      </c>
      <c r="D57" s="104" t="n">
        <v>0.03472222222222222</v>
      </c>
      <c r="E57" s="106" t="inlineStr">
        <is>
          <t>Estimate</t>
        </is>
      </c>
      <c r="F57" s="107" t="n"/>
      <c r="G57" s="107" t="n"/>
      <c r="H57" s="107" t="n"/>
      <c r="I57" s="107" t="n"/>
      <c r="J57" s="107" t="n"/>
      <c r="K57" s="107" t="n"/>
      <c r="L57" s="107" t="n"/>
    </row>
    <row r="58" ht="26.85" customHeight="1" s="56">
      <c r="A58" s="105" t="inlineStr">
        <is>
          <t>11 Jan</t>
        </is>
      </c>
      <c r="B58" s="105" t="inlineStr">
        <is>
          <t>Hong Kong (HKG) → Ulaanbaatar</t>
        </is>
      </c>
      <c r="C58" s="82" t="inlineStr">
        <is>
          <t>MIAT OM298 12:25–17:05</t>
        </is>
      </c>
      <c r="D58" s="84" t="n">
        <v>0.1944444444444444</v>
      </c>
      <c r="E58" s="106" t="inlineStr">
        <is>
          <t>Be at HKG by ~10:25</t>
        </is>
      </c>
      <c r="F58" s="107" t="n"/>
      <c r="G58" s="107" t="n"/>
      <c r="H58" s="107" t="n"/>
      <c r="I58" s="107" t="n"/>
      <c r="J58" s="107" t="n"/>
      <c r="K58" s="107" t="n"/>
      <c r="L58" s="107" t="n"/>
    </row>
    <row r="59" ht="14.15" customHeight="1" s="56">
      <c r="A59" s="105" t="inlineStr">
        <is>
          <t>11 Jan</t>
        </is>
      </c>
      <c r="B59" s="105" t="inlineStr">
        <is>
          <t>Chinggis Khaan airport → home</t>
        </is>
      </c>
      <c r="C59" s="82" t="inlineStr">
        <is>
          <t>Taxi</t>
        </is>
      </c>
      <c r="D59" s="104" t="n">
        <v>0.04166666666666666</v>
      </c>
      <c r="E59" s="106" t="n"/>
      <c r="F59" s="107" t="n"/>
      <c r="G59" s="107" t="n"/>
      <c r="H59" s="107" t="n"/>
      <c r="I59" s="107" t="n"/>
      <c r="J59" s="107" t="n"/>
      <c r="K59" s="107" t="n"/>
      <c r="L59" s="107" t="n"/>
    </row>
    <row r="60" ht="15" customHeight="1" s="56">
      <c r="C60" s="59" t="inlineStr">
        <is>
          <t>Total door-to-door</t>
        </is>
      </c>
      <c r="D60" s="109">
        <f>SUM(D52:D59)</f>
        <v/>
      </c>
    </row>
  </sheetData>
  <mergeCells count="18">
    <mergeCell ref="E57:L57"/>
    <mergeCell ref="E56:L56"/>
    <mergeCell ref="E58:L58"/>
    <mergeCell ref="C45:L45"/>
    <mergeCell ref="B38:L38"/>
    <mergeCell ref="E59:L59"/>
    <mergeCell ref="E51:L51"/>
    <mergeCell ref="B39:L39"/>
    <mergeCell ref="C48:L48"/>
    <mergeCell ref="E54:L54"/>
    <mergeCell ref="C44:L44"/>
    <mergeCell ref="E55:L55"/>
    <mergeCell ref="E52:L52"/>
    <mergeCell ref="C46:L46"/>
    <mergeCell ref="C47:L47"/>
    <mergeCell ref="E53:L53"/>
    <mergeCell ref="B41:L41"/>
    <mergeCell ref="B40:L4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9.xml><?xml version="1.0" encoding="utf-8"?>
<worksheet xmlns="http://schemas.openxmlformats.org/spreadsheetml/2006/main">
  <sheetPr filterMode="0">
    <outlinePr summaryBelow="1" summaryRight="1"/>
    <pageSetUpPr fitToPage="0"/>
  </sheetPr>
  <dimension ref="A1:L60"/>
  <sheetViews>
    <sheetView workbookViewId="0">
      <pane xSplit="2" ySplit="7" topLeftCell="C8" activePane="bottomRight" state="frozen"/>
      <selection pane="topRight" activeCell="A1" sqref="A1"/>
      <selection pane="bottomLeft" activeCell="A1" sqref="A1"/>
      <selection pane="bottomRight" activeCell="A1" sqref="A1"/>
    </sheetView>
  </sheetViews>
  <sheetFormatPr baseColWidth="8" defaultColWidth="8.6796875" defaultRowHeight="15" zeroHeight="0" outlineLevelRow="0"/>
  <cols>
    <col width="26" customWidth="1" style="55" min="1" max="1"/>
    <col width="52" customWidth="1" style="55" min="2" max="2"/>
    <col width="20" customWidth="1" style="55" min="3" max="3"/>
    <col width="15" customWidth="1" style="55" min="4" max="4"/>
    <col width="13" customWidth="1" style="55" min="5" max="5"/>
    <col width="9" customWidth="1" style="55" min="6" max="7"/>
    <col width="17" customWidth="1" style="55" min="8" max="8"/>
    <col width="13" customWidth="1" style="55" min="9" max="9"/>
    <col width="9" customWidth="1" style="55" min="10" max="10"/>
    <col width="17" customWidth="1" style="55" min="11" max="11"/>
    <col width="58" customWidth="1" style="55" min="12" max="12"/>
  </cols>
  <sheetData>
    <row r="1" ht="17.35" customHeight="1" s="56">
      <c r="A1" s="57" t="inlineStr">
        <is>
          <t>Hong Kong – Value</t>
        </is>
      </c>
    </row>
    <row r="2" ht="15" customHeight="1" s="56">
      <c r="A2" s="62" t="inlineStr">
        <is>
          <t>MIAT nonstop both ways; better-rated Kowloon guesthouse (9.6) for about the same price, ~35 min MTR to HKU.</t>
        </is>
      </c>
    </row>
    <row r="4" ht="15" customHeight="1" s="56">
      <c r="A4" s="60" t="inlineStr">
        <is>
          <t>Days in destination (meals &amp; local transport)</t>
        </is>
      </c>
      <c r="B4" s="76" t="n">
        <v>3.5</v>
      </c>
      <c r="C4" s="62" t="inlineStr">
        <is>
          <t>8 Jan midday → 11 Jan morning</t>
        </is>
      </c>
    </row>
    <row r="5" ht="15" customHeight="1" s="56">
      <c r="A5" s="62" t="inlineStr">
        <is>
          <t>Shared inputs are on the Compare sheet. Scroll down for the day-by-day plan and door-to-door travel times.</t>
        </is>
      </c>
    </row>
    <row r="7" ht="31.5" customHeight="1" s="56">
      <c r="A7" s="66" t="inlineStr">
        <is>
          <t>Category</t>
        </is>
      </c>
      <c r="B7" s="66" t="inlineStr">
        <is>
          <t>Item</t>
        </is>
      </c>
      <c r="C7" s="66" t="inlineStr">
        <is>
          <t>Date</t>
        </is>
      </c>
      <c r="D7" s="66" t="inlineStr">
        <is>
          <t>Travel time</t>
        </is>
      </c>
      <c r="E7" s="66" t="inlineStr">
        <is>
          <t>Unit cost (3 ppl)</t>
        </is>
      </c>
      <c r="F7" s="66" t="inlineStr">
        <is>
          <t>Currency</t>
        </is>
      </c>
      <c r="G7" s="66" t="inlineStr">
        <is>
          <t>Qty (3 ppl)</t>
        </is>
      </c>
      <c r="H7" s="66" t="inlineStr">
        <is>
          <t>Total MNT – 3 people</t>
        </is>
      </c>
      <c r="I7" s="66" t="inlineStr">
        <is>
          <t>Unit cost (4 ppl)</t>
        </is>
      </c>
      <c r="J7" s="66" t="inlineStr">
        <is>
          <t>Qty (4 ppl)</t>
        </is>
      </c>
      <c r="K7" s="66" t="inlineStr">
        <is>
          <t>Total MNT – 4 people</t>
        </is>
      </c>
      <c r="L7" s="66" t="inlineStr">
        <is>
          <t>Source / notes</t>
        </is>
      </c>
    </row>
    <row r="8" ht="15" customHeight="1" s="56">
      <c r="A8" s="77" t="inlineStr">
        <is>
          <t>PAID BY UNIVERSITY</t>
        </is>
      </c>
      <c r="B8" s="78" t="n"/>
      <c r="C8" s="78" t="n"/>
      <c r="D8" s="78" t="n"/>
      <c r="E8" s="78" t="n"/>
      <c r="F8" s="78" t="n"/>
      <c r="G8" s="78" t="n"/>
      <c r="H8" s="78" t="n"/>
      <c r="I8" s="78" t="n"/>
      <c r="J8" s="78" t="n"/>
      <c r="K8" s="78" t="n"/>
      <c r="L8" s="78" t="n"/>
    </row>
    <row r="9" ht="15" customHeight="1" s="56">
      <c r="A9" s="79" t="inlineStr">
        <is>
          <t>Flights</t>
        </is>
      </c>
      <c r="B9" s="80" t="n"/>
      <c r="C9" s="80" t="n"/>
      <c r="D9" s="80" t="n"/>
      <c r="E9" s="80" t="n"/>
      <c r="F9" s="80" t="n"/>
      <c r="G9" s="80" t="n"/>
      <c r="H9" s="80" t="n"/>
      <c r="I9" s="80" t="n"/>
      <c r="J9" s="80" t="n"/>
      <c r="K9" s="80" t="n"/>
      <c r="L9" s="80" t="n"/>
    </row>
    <row r="10" ht="26.85" customHeight="1" s="56">
      <c r="A10" s="81" t="n"/>
      <c r="B10" s="82" t="inlineStr">
        <is>
          <t>MIAT OM297 Ulaanbaatar → Hong Kong, nonstop 06:45–11:25</t>
        </is>
      </c>
      <c r="C10" s="83" t="inlineStr">
        <is>
          <t>8 Jan</t>
        </is>
      </c>
      <c r="D10" s="84" t="n">
        <v>0.1944444444444444</v>
      </c>
      <c r="E10" s="85" t="n">
        <v>293</v>
      </c>
      <c r="F10" s="86" t="inlineStr">
        <is>
          <t>USD</t>
        </is>
      </c>
      <c r="G10" s="87">
        <f>Compare!$B$6</f>
        <v/>
      </c>
      <c r="H10" s="88">
        <f>E10*G10*IF(F10="USD",Compare!$B$8,IF(F10="CNY",Compare!$B$9,IF(F10="HKD",Compare!$B$10,1)))</f>
        <v/>
      </c>
      <c r="I10" s="89">
        <f>E10</f>
        <v/>
      </c>
      <c r="J10" s="87">
        <f>Compare!$B$7</f>
        <v/>
      </c>
      <c r="K10" s="88">
        <f>I10*J10*IF(F10="USD",Compare!$B$8,IF(F10="CNY",Compare!$B$9,IF(F10="HKD",Compare!$B$10,1)))</f>
        <v/>
      </c>
      <c r="L10" s="90" t="inlineStr">
        <is>
          <t>Trip.com 10 Oct: MIAT nonstop 07:15–11:50 round trip $586 pp (8–11 Jan), split half each way = $293 (SlickTrip $593; $583 on 30 Sep). Cathay codeshare $626; via Seoul $783+</t>
        </is>
      </c>
    </row>
    <row r="11" ht="26.85" customHeight="1" s="56">
      <c r="A11" s="81" t="n"/>
      <c r="B11" s="82" t="inlineStr">
        <is>
          <t>MIAT OM298 Hong Kong → Ulaanbaatar, nonstop 12:25–17:05</t>
        </is>
      </c>
      <c r="C11" s="83" t="inlineStr">
        <is>
          <t>11 Jan</t>
        </is>
      </c>
      <c r="D11" s="84" t="n">
        <v>0.1944444444444444</v>
      </c>
      <c r="E11" s="85" t="n">
        <v>293</v>
      </c>
      <c r="F11" s="86" t="inlineStr">
        <is>
          <t>USD</t>
        </is>
      </c>
      <c r="G11" s="87">
        <f>Compare!$B$6</f>
        <v/>
      </c>
      <c r="H11" s="88">
        <f>E11*G11*IF(F11="USD",Compare!$B$8,IF(F11="CNY",Compare!$B$9,IF(F11="HKD",Compare!$B$10,1)))</f>
        <v/>
      </c>
      <c r="I11" s="89">
        <f>E11</f>
        <v/>
      </c>
      <c r="J11" s="87">
        <f>Compare!$B$7</f>
        <v/>
      </c>
      <c r="K11" s="88">
        <f>I11*J11*IF(F11="USD",Compare!$B$8,IF(F11="CNY",Compare!$B$9,IF(F11="HKD",Compare!$B$10,1)))</f>
        <v/>
      </c>
      <c r="L11" s="90" t="inlineStr">
        <is>
          <t>Return half of the $586 pp Trip.com round trip</t>
        </is>
      </c>
    </row>
    <row r="12" ht="15" customHeight="1" s="56">
      <c r="A12" s="79" t="inlineStr">
        <is>
          <t>Accommodation</t>
        </is>
      </c>
      <c r="B12" s="80" t="n"/>
      <c r="C12" s="80" t="n"/>
      <c r="D12" s="80" t="n"/>
      <c r="E12" s="80" t="n"/>
      <c r="F12" s="80" t="n"/>
      <c r="G12" s="80" t="n"/>
      <c r="H12" s="80" t="n"/>
      <c r="I12" s="80" t="n"/>
      <c r="J12" s="80" t="n"/>
      <c r="K12" s="80" t="n"/>
      <c r="L12" s="80" t="n"/>
    </row>
    <row r="13" ht="26.85" customHeight="1" s="56">
      <c r="A13" s="81" t="n"/>
      <c r="B13" s="82" t="inlineStr">
        <is>
          <t>Kusa Inn, Kowloon guesthouse (3 ppl Triple Room; 4 ppl Double + Triple Room)</t>
        </is>
      </c>
      <c r="C13" s="83" t="inlineStr">
        <is>
          <t>8–11 Jan (3 nights)</t>
        </is>
      </c>
      <c r="D13" s="81" t="n"/>
      <c r="E13" s="85" t="n">
        <v>398</v>
      </c>
      <c r="F13" s="86" t="inlineStr">
        <is>
          <t>HKD</t>
        </is>
      </c>
      <c r="G13" s="91" t="n">
        <v>3</v>
      </c>
      <c r="H13" s="88">
        <f>E13*G13*IF(F13="USD",Compare!$B$8,IF(F13="CNY",Compare!$B$9,IF(F13="HKD",Compare!$B$10,1)))</f>
        <v/>
      </c>
      <c r="I13" s="85" t="n">
        <v>707.33</v>
      </c>
      <c r="J13" s="91" t="n">
        <v>3</v>
      </c>
      <c r="K13" s="88">
        <f>I13*J13*IF(F13="USD",Compare!$B$8,IF(F13="CNY",Compare!$B$9,IF(F13="HKD",Compare!$B$10,1)))</f>
        <v/>
      </c>
      <c r="L13" s="90" t="inlineStr">
        <is>
          <t>Booking.com 10 Oct, 8–11 Jan: HK$1,194 (3 ppl) / HK$2,122 (4 ppl, 2 rooms) for 3 nights; rated 9.6 (only 15 reviews). Runner-up Mochi Inn 9.1 (17 reviews): 4 ppl HK$2,212; Good Fortune Inn 8.6 (715 reviews) HK$1,759 / HK$2,889</t>
        </is>
      </c>
    </row>
    <row r="14" ht="15" customHeight="1" s="56">
      <c r="A14" s="79" t="inlineStr">
        <is>
          <t>Meals &amp; local transport</t>
        </is>
      </c>
      <c r="B14" s="80" t="n"/>
      <c r="C14" s="80" t="n"/>
      <c r="D14" s="80" t="n"/>
      <c r="E14" s="80" t="n"/>
      <c r="F14" s="80" t="n"/>
      <c r="G14" s="80" t="n"/>
      <c r="H14" s="80" t="n"/>
      <c r="I14" s="80" t="n"/>
      <c r="J14" s="80" t="n"/>
      <c r="K14" s="80" t="n"/>
      <c r="L14" s="80" t="n"/>
    </row>
    <row r="15" ht="15" customHeight="1" s="56">
      <c r="A15" s="81" t="n"/>
      <c r="B15" s="82" t="inlineStr">
        <is>
          <t>Meals</t>
        </is>
      </c>
      <c r="C15" s="83" t="inlineStr">
        <is>
          <t>in Hong Kong</t>
        </is>
      </c>
      <c r="D15" s="81" t="n"/>
      <c r="E15" s="92" t="n">
        <v>180</v>
      </c>
      <c r="F15" s="86" t="inlineStr">
        <is>
          <t>HKD</t>
        </is>
      </c>
      <c r="G15" s="87">
        <f>Compare!$B$6*$B$4</f>
        <v/>
      </c>
      <c r="H15" s="88">
        <f>E15*G15*IF(F15="USD",Compare!$B$8,IF(F15="CNY",Compare!$B$9,IF(F15="HKD",Compare!$B$10,1)))</f>
        <v/>
      </c>
      <c r="I15" s="93">
        <f>E15</f>
        <v/>
      </c>
      <c r="J15" s="87">
        <f>Compare!$B$7*$B$4</f>
        <v/>
      </c>
      <c r="K15" s="88">
        <f>I15*J15*IF(F15="USD",Compare!$B$8,IF(F15="CNY",Compare!$B$9,IF(F15="HKD",Compare!$B$10,1)))</f>
        <v/>
      </c>
      <c r="L15" s="90" t="inlineStr">
        <is>
          <t>ASSUMPTION ~180 HKD/person/day (cha chaan teng, canteens)</t>
        </is>
      </c>
    </row>
    <row r="16" ht="15" customHeight="1" s="56">
      <c r="A16" s="81" t="n"/>
      <c r="B16" s="82" t="inlineStr">
        <is>
          <t>MTR / buses (Octopus card)</t>
        </is>
      </c>
      <c r="C16" s="83" t="inlineStr">
        <is>
          <t>in Hong Kong</t>
        </is>
      </c>
      <c r="D16" s="81" t="n"/>
      <c r="E16" s="92" t="n">
        <v>40</v>
      </c>
      <c r="F16" s="86" t="inlineStr">
        <is>
          <t>HKD</t>
        </is>
      </c>
      <c r="G16" s="87">
        <f>Compare!$B$6*$B$4</f>
        <v/>
      </c>
      <c r="H16" s="88">
        <f>E16*G16*IF(F16="USD",Compare!$B$8,IF(F16="CNY",Compare!$B$9,IF(F16="HKD",Compare!$B$10,1)))</f>
        <v/>
      </c>
      <c r="I16" s="93">
        <f>E16</f>
        <v/>
      </c>
      <c r="J16" s="87">
        <f>Compare!$B$7*$B$4</f>
        <v/>
      </c>
      <c r="K16" s="88">
        <f>I16*J16*IF(F16="USD",Compare!$B$8,IF(F16="CNY",Compare!$B$9,IF(F16="HKD",Compare!$B$10,1)))</f>
        <v/>
      </c>
      <c r="L16" s="90" t="inlineStr">
        <is>
          <t>ASSUMPTION ~40 HKD/person/day</t>
        </is>
      </c>
    </row>
    <row r="17" ht="15" customHeight="1" s="56">
      <c r="A17" s="81" t="n"/>
      <c r="B17" s="82" t="inlineStr">
        <is>
          <t>Airport Express, both ways</t>
        </is>
      </c>
      <c r="C17" s="83" t="inlineStr">
        <is>
          <t>8 &amp; 11 Jan (HKG ↔ Kowloon)</t>
        </is>
      </c>
      <c r="D17" s="81" t="n"/>
      <c r="E17" s="92" t="n">
        <v>230</v>
      </c>
      <c r="F17" s="86" t="inlineStr">
        <is>
          <t>HKD</t>
        </is>
      </c>
      <c r="G17" s="87">
        <f>Compare!$B$6</f>
        <v/>
      </c>
      <c r="H17" s="88">
        <f>E17*G17*IF(F17="USD",Compare!$B$8,IF(F17="CNY",Compare!$B$9,IF(F17="HKD",Compare!$B$10,1)))</f>
        <v/>
      </c>
      <c r="I17" s="93">
        <f>E17</f>
        <v/>
      </c>
      <c r="J17" s="87">
        <f>Compare!$B$7</f>
        <v/>
      </c>
      <c r="K17" s="88">
        <f>I17*J17*IF(F17="USD",Compare!$B$8,IF(F17="CNY",Compare!$B$9,IF(F17="HKD",Compare!$B$10,1)))</f>
        <v/>
      </c>
      <c r="L17" s="90" t="inlineStr">
        <is>
          <t>ASSUMPTION ~115 HKD per person each way (recent adult single fare)</t>
        </is>
      </c>
    </row>
    <row r="18" ht="15" customHeight="1" s="56">
      <c r="A18" s="94" t="inlineStr">
        <is>
          <t>PAID PERSONALLY (university won't cover)</t>
        </is>
      </c>
      <c r="B18" s="95" t="n"/>
      <c r="C18" s="95" t="n"/>
      <c r="D18" s="95" t="n"/>
      <c r="E18" s="95" t="n"/>
      <c r="F18" s="95" t="n"/>
      <c r="G18" s="95" t="n"/>
      <c r="H18" s="95" t="n"/>
      <c r="I18" s="95" t="n"/>
      <c r="J18" s="95" t="n"/>
      <c r="K18" s="95" t="n"/>
      <c r="L18" s="95" t="n"/>
    </row>
    <row r="19" ht="15" customHeight="1" s="56">
      <c r="A19" s="79" t="inlineStr">
        <is>
          <t>Contest fee</t>
        </is>
      </c>
      <c r="B19" s="80" t="n"/>
      <c r="C19" s="80" t="n"/>
      <c r="D19" s="80" t="n"/>
      <c r="E19" s="80" t="n"/>
      <c r="F19" s="80" t="n"/>
      <c r="G19" s="80" t="n"/>
      <c r="H19" s="80" t="n"/>
      <c r="I19" s="80" t="n"/>
      <c r="J19" s="80" t="n"/>
      <c r="K19" s="80" t="n"/>
      <c r="L19" s="80" t="n"/>
    </row>
    <row r="20" ht="22.35" customHeight="1" s="56">
      <c r="A20" s="81" t="n"/>
      <c r="B20" s="82" t="inlineStr">
        <is>
          <t>Hong Kong regional registration fee (per team)</t>
        </is>
      </c>
      <c r="C20" s="83" t="inlineStr">
        <is>
          <t>TBC</t>
        </is>
      </c>
      <c r="D20" s="81" t="n"/>
      <c r="E20" s="85" t="n">
        <v>1800</v>
      </c>
      <c r="F20" s="86" t="inlineStr">
        <is>
          <t>HKD</t>
        </is>
      </c>
      <c r="G20" s="91" t="n">
        <v>1</v>
      </c>
      <c r="H20" s="88">
        <f>E20*G20*IF(F20="USD",Compare!$B$8,IF(F20="CNY",Compare!$B$9,IF(F20="HKD",Compare!$B$10,1)))</f>
        <v/>
      </c>
      <c r="I20" s="89">
        <f>E20</f>
        <v/>
      </c>
      <c r="J20" s="91" t="n">
        <v>1</v>
      </c>
      <c r="K20" s="88">
        <f>I20*J20*IF(F20="USD",Compare!$B$8,IF(F20="CNY",Compare!$B$9,IF(F20="HKD",Compare!$B$10,1)))</f>
        <v/>
      </c>
      <c r="L20" s="90" t="inlineStr">
        <is>
          <t>1,800 HKD/team at the 2025 Hong Kong regional (HKUST); 2026 host listed as HKU – confirm</t>
        </is>
      </c>
    </row>
    <row r="21" ht="15" customHeight="1" s="56">
      <c r="A21" s="79" t="inlineStr">
        <is>
          <t>Other</t>
        </is>
      </c>
      <c r="B21" s="80" t="n"/>
      <c r="C21" s="80" t="n"/>
      <c r="D21" s="80" t="n"/>
      <c r="E21" s="80" t="n"/>
      <c r="F21" s="80" t="n"/>
      <c r="G21" s="80" t="n"/>
      <c r="H21" s="80" t="n"/>
      <c r="I21" s="80" t="n"/>
      <c r="J21" s="80" t="n"/>
      <c r="K21" s="80" t="n"/>
      <c r="L21" s="80" t="n"/>
    </row>
    <row r="22" ht="15" customHeight="1" s="56">
      <c r="A22" s="81" t="n"/>
      <c r="B22" s="82" t="inlineStr">
        <is>
          <t>Taxi to/from Chinggis Khaan airport (UB), per trip</t>
        </is>
      </c>
      <c r="C22" s="83" t="inlineStr">
        <is>
          <t>out &amp; back</t>
        </is>
      </c>
      <c r="D22" s="84" t="n">
        <v>0.04166666666666666</v>
      </c>
      <c r="E22" s="92" t="n">
        <v>100000</v>
      </c>
      <c r="F22" s="86" t="inlineStr">
        <is>
          <t>MNT</t>
        </is>
      </c>
      <c r="G22" s="91" t="n">
        <v>2</v>
      </c>
      <c r="H22" s="88">
        <f>E22*G22*IF(F22="USD",Compare!$B$8,IF(F22="CNY",Compare!$B$9,IF(F22="HKD",Compare!$B$10,1)))</f>
        <v/>
      </c>
      <c r="I22" s="93">
        <f>E22</f>
        <v/>
      </c>
      <c r="J22" s="91" t="n">
        <v>2</v>
      </c>
      <c r="K22" s="88">
        <f>I22*J22*IF(F22="USD",Compare!$B$8,IF(F22="CNY",Compare!$B$9,IF(F22="HKD",Compare!$B$10,1)))</f>
        <v/>
      </c>
      <c r="L22" s="90" t="inlineStr">
        <is>
          <t>ASSUMPTION 100k MNT per trip for the group</t>
        </is>
      </c>
    </row>
    <row r="23" ht="15" customHeight="1" s="56">
      <c r="A23" s="81" t="n"/>
      <c r="B23" s="82" t="inlineStr">
        <is>
          <t>Travel medical insurance</t>
        </is>
      </c>
      <c r="C23" s="83" t="n"/>
      <c r="D23" s="81" t="n"/>
      <c r="E23" s="92" t="n">
        <v>30000</v>
      </c>
      <c r="F23" s="86" t="inlineStr">
        <is>
          <t>MNT</t>
        </is>
      </c>
      <c r="G23" s="87">
        <f>Compare!$B$6</f>
        <v/>
      </c>
      <c r="H23" s="88">
        <f>E23*G23*IF(F23="USD",Compare!$B$8,IF(F23="CNY",Compare!$B$9,IF(F23="HKD",Compare!$B$10,1)))</f>
        <v/>
      </c>
      <c r="I23" s="93">
        <f>E23</f>
        <v/>
      </c>
      <c r="J23" s="87">
        <f>Compare!$B$7</f>
        <v/>
      </c>
      <c r="K23" s="88">
        <f>I23*J23*IF(F23="USD",Compare!$B$8,IF(F23="CNY",Compare!$B$9,IF(F23="HKD",Compare!$B$10,1)))</f>
        <v/>
      </c>
      <c r="L23" s="90" t="inlineStr">
        <is>
          <t>ASSUMPTION ~30k MNT per person, Mongolian insurer</t>
        </is>
      </c>
    </row>
    <row r="24" ht="15" customHeight="1" s="56">
      <c r="A24" s="81" t="n"/>
      <c r="B24" s="82" t="inlineStr">
        <is>
          <t>Mobile data eSIM</t>
        </is>
      </c>
      <c r="C24" s="83" t="n"/>
      <c r="D24" s="81" t="n"/>
      <c r="E24" s="92" t="n">
        <v>10</v>
      </c>
      <c r="F24" s="86" t="inlineStr">
        <is>
          <t>USD</t>
        </is>
      </c>
      <c r="G24" s="87">
        <f>Compare!$B$6</f>
        <v/>
      </c>
      <c r="H24" s="88">
        <f>E24*G24*IF(F24="USD",Compare!$B$8,IF(F24="CNY",Compare!$B$9,IF(F24="HKD",Compare!$B$10,1)))</f>
        <v/>
      </c>
      <c r="I24" s="93">
        <f>E24</f>
        <v/>
      </c>
      <c r="J24" s="87">
        <f>Compare!$B$7</f>
        <v/>
      </c>
      <c r="K24" s="88">
        <f>I24*J24*IF(F24="USD",Compare!$B$8,IF(F24="CNY",Compare!$B$9,IF(F24="HKD",Compare!$B$10,1)))</f>
        <v/>
      </c>
      <c r="L24" s="90" t="inlineStr">
        <is>
          <t>ASSUMPTION ~$10 pp</t>
        </is>
      </c>
    </row>
    <row r="25" ht="22.35" customHeight="1" s="56">
      <c r="A25" s="81" t="n"/>
      <c r="B25" s="82" t="inlineStr">
        <is>
          <t>Visa</t>
        </is>
      </c>
      <c r="C25" s="83" t="n"/>
      <c r="D25" s="81" t="n"/>
      <c r="E25" s="85" t="n">
        <v>0</v>
      </c>
      <c r="F25" s="86" t="inlineStr">
        <is>
          <t>MNT</t>
        </is>
      </c>
      <c r="G25" s="87">
        <f>Compare!$B$6</f>
        <v/>
      </c>
      <c r="H25" s="88">
        <f>E25*G25*IF(F25="USD",Compare!$B$8,IF(F25="CNY",Compare!$B$9,IF(F25="HKD",Compare!$B$10,1)))</f>
        <v/>
      </c>
      <c r="I25" s="89">
        <f>E25</f>
        <v/>
      </c>
      <c r="J25" s="87">
        <f>Compare!$B$7</f>
        <v/>
      </c>
      <c r="K25" s="88">
        <f>I25*J25*IF(F25="USD",Compare!$B$8,IF(F25="CNY",Compare!$B$9,IF(F25="HKD",Compare!$B$10,1)))</f>
        <v/>
      </c>
      <c r="L25" s="90" t="inlineStr">
        <is>
          <t>Mongolian passports: visa-free (mainland China up to 30 days; Hong Kong up to 14 days)</t>
        </is>
      </c>
    </row>
    <row r="27" ht="15" customHeight="1" s="56">
      <c r="G27" s="60" t="n"/>
      <c r="H27" s="96" t="inlineStr">
        <is>
          <t>3 people – UNFUNDED</t>
        </is>
      </c>
      <c r="K27" s="96" t="inlineStr">
        <is>
          <t>4 people – FUNDED ₮12M</t>
        </is>
      </c>
    </row>
    <row r="28" ht="15" customHeight="1" s="56">
      <c r="G28" s="97" t="inlineStr">
        <is>
          <t>University-paid subtotal</t>
        </is>
      </c>
      <c r="H28" s="98">
        <f>SUM(H9:H17)</f>
        <v/>
      </c>
      <c r="K28" s="98">
        <f>SUM(K9:K17)</f>
        <v/>
      </c>
    </row>
    <row r="29" ht="15" customHeight="1" s="56">
      <c r="G29" s="99" t="inlineStr">
        <is>
          <t>Contingency</t>
        </is>
      </c>
      <c r="H29" s="100">
        <f>H28*Compare!$B$11</f>
        <v/>
      </c>
      <c r="K29" s="100">
        <f>K28*Compare!$B$11</f>
        <v/>
      </c>
    </row>
    <row r="30" ht="15" customHeight="1" s="56">
      <c r="G30" s="97" t="inlineStr">
        <is>
          <t>University-paid total incl. contingency</t>
        </is>
      </c>
      <c r="H30" s="98">
        <f>H28+H29</f>
        <v/>
      </c>
      <c r="K30" s="98">
        <f>K28+K29</f>
        <v/>
      </c>
    </row>
    <row r="31" ht="15" customHeight="1" s="56">
      <c r="G31" s="97" t="inlineStr">
        <is>
          <t>Funding left (negative = over)</t>
        </is>
      </c>
      <c r="H31" s="101">
        <f>Compare!$B$12-H30</f>
        <v/>
      </c>
      <c r="K31" s="101">
        <f>Compare!$B$5-K30</f>
        <v/>
      </c>
    </row>
    <row r="32" ht="15" customHeight="1" s="56">
      <c r="G32" s="97" t="inlineStr">
        <is>
          <t>Personal costs – team</t>
        </is>
      </c>
      <c r="H32" s="102">
        <f>SUM(H19:H25)</f>
        <v/>
      </c>
      <c r="K32" s="102">
        <f>SUM(K19:K25)</f>
        <v/>
      </c>
    </row>
    <row r="33" ht="15" customHeight="1" s="56">
      <c r="G33" s="97" t="inlineStr">
        <is>
          <t>Out-of-pocket per person (personal + any overrun)</t>
        </is>
      </c>
      <c r="H33" s="102">
        <f>(H32+MAX(0,-H31))/Compare!$B$6</f>
        <v/>
      </c>
      <c r="K33" s="102">
        <f>(K32+MAX(0,-K31))/Compare!$B$7</f>
        <v/>
      </c>
    </row>
    <row r="34" ht="15" customHeight="1" s="56">
      <c r="G34" s="97" t="inlineStr">
        <is>
          <t>Whole trip cost (university + personal)</t>
        </is>
      </c>
      <c r="H34" s="103">
        <f>H30+H32</f>
        <v/>
      </c>
      <c r="K34" s="103">
        <f>K30+K32</f>
        <v/>
      </c>
    </row>
    <row r="35" ht="15" customHeight="1" s="56">
      <c r="G35" s="99" t="inlineStr">
        <is>
          <t>Time in planes &amp; trains</t>
        </is>
      </c>
      <c r="H35" s="104">
        <f>SUM(D10:D11)</f>
        <v/>
      </c>
      <c r="K35" s="104">
        <f>SUM(D10:D11)</f>
        <v/>
      </c>
    </row>
    <row r="37" ht="15" customHeight="1" s="56">
      <c r="A37" s="72" t="inlineStr">
        <is>
          <t>Key facts</t>
        </is>
      </c>
    </row>
    <row r="38" ht="30" customHeight="1" s="56">
      <c r="A38" s="75" t="inlineStr">
        <is>
          <t>Contest</t>
        </is>
      </c>
      <c r="B38" s="74" t="inlineStr">
        <is>
          <t>Asia Hong Kong Regional, 9–10 Jan 2027 (provisional). Host listed as HKU on a coach's tracking page; the site rotates, so confirm.</t>
        </is>
      </c>
    </row>
    <row r="39" ht="15" customHeight="1" s="56">
      <c r="A39" s="75" t="inlineStr">
        <is>
          <t>Why this route</t>
        </is>
      </c>
      <c r="B39" s="74" t="inlineStr">
        <is>
          <t>MIAT flies UB–Hong Kong nonstop at $583–593 return (low against the usual $708–900); everything else via Seoul/Beijing/Shenzhen costs more.</t>
        </is>
      </c>
    </row>
    <row r="40" ht="15" customHeight="1" s="56">
      <c r="A40" s="75" t="inlineStr">
        <is>
          <t>Entry</t>
        </is>
      </c>
      <c r="B40" s="74" t="inlineStr">
        <is>
          <t>Mongolian passport holders can visit Hong Kong visa-free for up to 14 days.</t>
        </is>
      </c>
    </row>
    <row r="41" ht="15" customHeight="1" s="56">
      <c r="A41" s="75" t="inlineStr">
        <is>
          <t>Trade-off</t>
        </is>
      </c>
      <c r="B41" s="74" t="inlineStr">
        <is>
          <t>Slightly dearer than Premium Lounge for 4 people; few reviews so far; ~35 min each way to HKU.</t>
        </is>
      </c>
    </row>
    <row r="43" ht="15" customHeight="1" s="56">
      <c r="A43" s="72" t="inlineStr">
        <is>
          <t>Day-by-day plan</t>
        </is>
      </c>
    </row>
    <row r="44" ht="15" customHeight="1" s="56">
      <c r="A44" s="96" t="inlineStr">
        <is>
          <t>Date</t>
        </is>
      </c>
      <c r="B44" s="96" t="inlineStr">
        <is>
          <t>Sleep in</t>
        </is>
      </c>
      <c r="C44" s="96" t="inlineStr">
        <is>
          <t>What happens</t>
        </is>
      </c>
    </row>
    <row r="45" ht="15" customHeight="1" s="56">
      <c r="A45" s="74" t="inlineStr">
        <is>
          <t>Fri 8 Jan</t>
        </is>
      </c>
      <c r="B45" s="74" t="inlineStr">
        <is>
          <t>Hong Kong</t>
        </is>
      </c>
      <c r="C45" s="74" t="inlineStr">
        <is>
          <t>MIAT OM297 UB 06:45 → Hong Kong 11:25 (4 h 40 min). Airport Express, check in at the Tsim Sha Tsui guesthouse.</t>
        </is>
      </c>
    </row>
    <row r="46" ht="15" customHeight="1" s="56">
      <c r="A46" s="74" t="inlineStr">
        <is>
          <t>Sat 9 Jan</t>
        </is>
      </c>
      <c r="B46" s="74" t="inlineStr">
        <is>
          <t>Hong Kong</t>
        </is>
      </c>
      <c r="C46" s="74" t="inlineStr">
        <is>
          <t>Registration, opening and warm-up at the University of Hong Kong (2025 HK regional used the same day-1 pattern).</t>
        </is>
      </c>
    </row>
    <row r="47" ht="15" customHeight="1" s="56">
      <c r="A47" s="74" t="inlineStr">
        <is>
          <t>Sun 10 Jan</t>
        </is>
      </c>
      <c r="B47" s="74" t="inlineStr">
        <is>
          <t>Hong Kong</t>
        </is>
      </c>
      <c r="C47" s="74" t="inlineStr">
        <is>
          <t>HONG KONG REGIONAL contest day, closing &amp; solutions.</t>
        </is>
      </c>
    </row>
    <row r="48" ht="15" customHeight="1" s="56">
      <c r="A48" s="74" t="inlineStr">
        <is>
          <t>Mon 11 Jan</t>
        </is>
      </c>
      <c r="B48" s="74" t="inlineStr">
        <is>
          <t>Home</t>
        </is>
      </c>
      <c r="C48" s="74" t="inlineStr">
        <is>
          <t>MIAT OM298 Hong Kong 12:25 → UB 17:05.</t>
        </is>
      </c>
    </row>
    <row r="50" ht="15" customHeight="1" s="56">
      <c r="A50" s="72" t="inlineStr">
        <is>
          <t>Door-to-door travel times</t>
        </is>
      </c>
    </row>
    <row r="51" ht="15" customHeight="1" s="56">
      <c r="A51" s="96" t="inlineStr">
        <is>
          <t>Date</t>
        </is>
      </c>
      <c r="B51" s="96" t="inlineStr">
        <is>
          <t>Leg</t>
        </is>
      </c>
      <c r="C51" s="96" t="inlineStr">
        <is>
          <t>Mode</t>
        </is>
      </c>
      <c r="D51" s="96" t="inlineStr">
        <is>
          <t>Expected time</t>
        </is>
      </c>
      <c r="E51" s="96" t="inlineStr">
        <is>
          <t>Notes</t>
        </is>
      </c>
    </row>
    <row r="52" ht="15" customHeight="1" s="56">
      <c r="A52" s="105" t="inlineStr">
        <is>
          <t>8 Jan</t>
        </is>
      </c>
      <c r="B52" s="105" t="inlineStr">
        <is>
          <t>Home → Chinggis Khaan airport</t>
        </is>
      </c>
      <c r="C52" s="82" t="inlineStr">
        <is>
          <t>Taxi (~50 km)</t>
        </is>
      </c>
      <c r="D52" s="104" t="n">
        <v>0.04166666666666666</v>
      </c>
      <c r="E52" s="106" t="inlineStr">
        <is>
          <t>Leave ~03:45 for 06:45 flight</t>
        </is>
      </c>
      <c r="F52" s="107" t="n"/>
      <c r="G52" s="107" t="n"/>
      <c r="H52" s="107" t="n"/>
      <c r="I52" s="107" t="n"/>
      <c r="J52" s="107" t="n"/>
      <c r="K52" s="107" t="n"/>
      <c r="L52" s="107" t="n"/>
    </row>
    <row r="53" ht="26.85" customHeight="1" s="56">
      <c r="A53" s="105" t="inlineStr">
        <is>
          <t>8 Jan</t>
        </is>
      </c>
      <c r="B53" s="105" t="inlineStr">
        <is>
          <t>Ulaanbaatar → Hong Kong (HKG)</t>
        </is>
      </c>
      <c r="C53" s="82" t="inlineStr">
        <is>
          <t>MIAT OM297 06:45–11:25</t>
        </is>
      </c>
      <c r="D53" s="84" t="n">
        <v>0.1944444444444444</v>
      </c>
      <c r="E53" s="106" t="n"/>
      <c r="F53" s="107" t="n"/>
      <c r="G53" s="107" t="n"/>
      <c r="H53" s="107" t="n"/>
      <c r="I53" s="107" t="n"/>
      <c r="J53" s="107" t="n"/>
      <c r="K53" s="107" t="n"/>
      <c r="L53" s="107" t="n"/>
    </row>
    <row r="54" ht="15" customHeight="1" s="56">
      <c r="A54" s="105" t="inlineStr">
        <is>
          <t>8 Jan</t>
        </is>
      </c>
      <c r="B54" s="105" t="inlineStr">
        <is>
          <t>HKG arrival: immigration, bags</t>
        </is>
      </c>
      <c r="C54" s="82" t="inlineStr">
        <is>
          <t>—</t>
        </is>
      </c>
      <c r="D54" s="104" t="n">
        <v>0.02777777777777778</v>
      </c>
      <c r="E54" s="106" t="inlineStr">
        <is>
          <t>Estimate</t>
        </is>
      </c>
      <c r="F54" s="107" t="n"/>
      <c r="G54" s="107" t="n"/>
      <c r="H54" s="107" t="n"/>
      <c r="I54" s="107" t="n"/>
      <c r="J54" s="107" t="n"/>
      <c r="K54" s="107" t="n"/>
      <c r="L54" s="107" t="n"/>
    </row>
    <row r="55" ht="39.55" customHeight="1" s="56">
      <c r="A55" s="105" t="inlineStr">
        <is>
          <t>8 Jan</t>
        </is>
      </c>
      <c r="B55" s="105" t="inlineStr">
        <is>
          <t>HKG → Tsim Sha Tsui guesthouse</t>
        </is>
      </c>
      <c r="C55" s="82" t="inlineStr">
        <is>
          <t>Airport Express to Kowloon + walk/shuttle</t>
        </is>
      </c>
      <c r="D55" s="104" t="n">
        <v>0.03125</v>
      </c>
      <c r="E55" s="106" t="inlineStr">
        <is>
          <t>Estimate</t>
        </is>
      </c>
      <c r="F55" s="107" t="n"/>
      <c r="G55" s="107" t="n"/>
      <c r="H55" s="107" t="n"/>
      <c r="I55" s="107" t="n"/>
      <c r="J55" s="107" t="n"/>
      <c r="K55" s="107" t="n"/>
      <c r="L55" s="107" t="n"/>
    </row>
    <row r="56" ht="15" customHeight="1" s="56">
      <c r="A56" s="105" t="inlineStr">
        <is>
          <t>9–10 Jan</t>
        </is>
      </c>
      <c r="B56" s="105" t="inlineStr">
        <is>
          <t>Hotel ↔ HKU (each way)</t>
        </is>
      </c>
      <c r="C56" s="82" t="inlineStr">
        <is>
          <t>—</t>
        </is>
      </c>
      <c r="D56" s="108" t="inlineStr">
        <is>
          <t>daily</t>
        </is>
      </c>
      <c r="E56" s="106" t="inlineStr">
        <is>
          <t>~35 min MTR (Tsim Sha Tsui → Admiralty → HKU)</t>
        </is>
      </c>
      <c r="F56" s="107" t="n"/>
      <c r="G56" s="107" t="n"/>
      <c r="H56" s="107" t="n"/>
      <c r="I56" s="107" t="n"/>
      <c r="J56" s="107" t="n"/>
      <c r="K56" s="107" t="n"/>
      <c r="L56" s="107" t="n"/>
    </row>
    <row r="57" ht="26.85" customHeight="1" s="56">
      <c r="A57" s="105" t="inlineStr">
        <is>
          <t>11 Jan</t>
        </is>
      </c>
      <c r="B57" s="105" t="inlineStr">
        <is>
          <t>Guesthouse → HKG</t>
        </is>
      </c>
      <c r="C57" s="82" t="inlineStr">
        <is>
          <t>Airport Express from Kowloon</t>
        </is>
      </c>
      <c r="D57" s="104" t="n">
        <v>0.03125</v>
      </c>
      <c r="E57" s="106" t="inlineStr">
        <is>
          <t>Estimate</t>
        </is>
      </c>
      <c r="F57" s="107" t="n"/>
      <c r="G57" s="107" t="n"/>
      <c r="H57" s="107" t="n"/>
      <c r="I57" s="107" t="n"/>
      <c r="J57" s="107" t="n"/>
      <c r="K57" s="107" t="n"/>
      <c r="L57" s="107" t="n"/>
    </row>
    <row r="58" ht="26.85" customHeight="1" s="56">
      <c r="A58" s="105" t="inlineStr">
        <is>
          <t>11 Jan</t>
        </is>
      </c>
      <c r="B58" s="105" t="inlineStr">
        <is>
          <t>Hong Kong (HKG) → Ulaanbaatar</t>
        </is>
      </c>
      <c r="C58" s="82" t="inlineStr">
        <is>
          <t>MIAT OM298 12:25–17:05</t>
        </is>
      </c>
      <c r="D58" s="84" t="n">
        <v>0.1944444444444444</v>
      </c>
      <c r="E58" s="106" t="inlineStr">
        <is>
          <t>Be at HKG by ~10:25</t>
        </is>
      </c>
      <c r="F58" s="107" t="n"/>
      <c r="G58" s="107" t="n"/>
      <c r="H58" s="107" t="n"/>
      <c r="I58" s="107" t="n"/>
      <c r="J58" s="107" t="n"/>
      <c r="K58" s="107" t="n"/>
      <c r="L58" s="107" t="n"/>
    </row>
    <row r="59" ht="14.15" customHeight="1" s="56">
      <c r="A59" s="105" t="inlineStr">
        <is>
          <t>11 Jan</t>
        </is>
      </c>
      <c r="B59" s="105" t="inlineStr">
        <is>
          <t>Chinggis Khaan airport → home</t>
        </is>
      </c>
      <c r="C59" s="82" t="inlineStr">
        <is>
          <t>Taxi</t>
        </is>
      </c>
      <c r="D59" s="104" t="n">
        <v>0.04166666666666666</v>
      </c>
      <c r="E59" s="106" t="n"/>
      <c r="F59" s="107" t="n"/>
      <c r="G59" s="107" t="n"/>
      <c r="H59" s="107" t="n"/>
      <c r="I59" s="107" t="n"/>
      <c r="J59" s="107" t="n"/>
      <c r="K59" s="107" t="n"/>
      <c r="L59" s="107" t="n"/>
    </row>
    <row r="60" ht="15" customHeight="1" s="56">
      <c r="C60" s="59" t="inlineStr">
        <is>
          <t>Total door-to-door</t>
        </is>
      </c>
      <c r="D60" s="109">
        <f>SUM(D52:D59)</f>
        <v/>
      </c>
    </row>
  </sheetData>
  <mergeCells count="18">
    <mergeCell ref="E57:L57"/>
    <mergeCell ref="E56:L56"/>
    <mergeCell ref="E58:L58"/>
    <mergeCell ref="C45:L45"/>
    <mergeCell ref="B38:L38"/>
    <mergeCell ref="E53:L53"/>
    <mergeCell ref="E59:L59"/>
    <mergeCell ref="E51:L51"/>
    <mergeCell ref="C48:L48"/>
    <mergeCell ref="B39:L39"/>
    <mergeCell ref="E54:L54"/>
    <mergeCell ref="E55:L55"/>
    <mergeCell ref="E52:L52"/>
    <mergeCell ref="C46:L46"/>
    <mergeCell ref="C47:L47"/>
    <mergeCell ref="B40:L40"/>
    <mergeCell ref="B41:L41"/>
    <mergeCell ref="C44:L4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0.xml><?xml version="1.0" encoding="utf-8"?>
<worksheet xmlns="http://schemas.openxmlformats.org/spreadsheetml/2006/main">
  <sheetPr filterMode="0">
    <outlinePr summaryBelow="1" summaryRight="1"/>
    <pageSetUpPr fitToPage="0"/>
  </sheetPr>
  <dimension ref="A1:L60"/>
  <sheetViews>
    <sheetView workbookViewId="0">
      <pane xSplit="2" ySplit="7" topLeftCell="C8" activePane="bottomRight" state="frozen"/>
      <selection pane="topRight" activeCell="A1" sqref="A1"/>
      <selection pane="bottomLeft" activeCell="A1" sqref="A1"/>
      <selection pane="bottomRight" activeCell="A1" sqref="A1"/>
    </sheetView>
  </sheetViews>
  <sheetFormatPr baseColWidth="8" defaultColWidth="8.6796875" defaultRowHeight="15" zeroHeight="0" outlineLevelRow="0"/>
  <cols>
    <col width="26" customWidth="1" style="55" min="1" max="1"/>
    <col width="52" customWidth="1" style="55" min="2" max="2"/>
    <col width="20" customWidth="1" style="55" min="3" max="3"/>
    <col width="15" customWidth="1" style="55" min="4" max="4"/>
    <col width="13" customWidth="1" style="55" min="5" max="5"/>
    <col width="9" customWidth="1" style="55" min="6" max="7"/>
    <col width="17" customWidth="1" style="55" min="8" max="8"/>
    <col width="13" customWidth="1" style="55" min="9" max="9"/>
    <col width="9" customWidth="1" style="55" min="10" max="10"/>
    <col width="17" customWidth="1" style="55" min="11" max="11"/>
    <col width="58" customWidth="1" style="55" min="12" max="12"/>
  </cols>
  <sheetData>
    <row r="1" ht="17.35" customHeight="1" s="56">
      <c r="A1" s="57" t="inlineStr">
        <is>
          <t>Hong Kong – Sleep first</t>
        </is>
      </c>
    </row>
    <row r="2" ht="15" customHeight="1" s="56">
      <c r="A2" s="62" t="inlineStr">
        <is>
          <t>MIAT nonstop both ways; two quiet hotel rooms in Sheung Wan, 2 MTR stops (~10 min) from HKU – the contest-eve sleep is protected.</t>
        </is>
      </c>
    </row>
    <row r="4" ht="15" customHeight="1" s="56">
      <c r="A4" s="60" t="inlineStr">
        <is>
          <t>Days in destination (meals &amp; local transport)</t>
        </is>
      </c>
      <c r="B4" s="76" t="n">
        <v>3.5</v>
      </c>
      <c r="C4" s="62" t="inlineStr">
        <is>
          <t>8 Jan midday → 11 Jan morning</t>
        </is>
      </c>
    </row>
    <row r="5" ht="15" customHeight="1" s="56">
      <c r="A5" s="62" t="inlineStr">
        <is>
          <t>Shared inputs are on the Compare sheet. Scroll down for the day-by-day plan and door-to-door travel times.</t>
        </is>
      </c>
    </row>
    <row r="7" ht="31.5" customHeight="1" s="56">
      <c r="A7" s="66" t="inlineStr">
        <is>
          <t>Category</t>
        </is>
      </c>
      <c r="B7" s="66" t="inlineStr">
        <is>
          <t>Item</t>
        </is>
      </c>
      <c r="C7" s="66" t="inlineStr">
        <is>
          <t>Date</t>
        </is>
      </c>
      <c r="D7" s="66" t="inlineStr">
        <is>
          <t>Travel time</t>
        </is>
      </c>
      <c r="E7" s="66" t="inlineStr">
        <is>
          <t>Unit cost (3 ppl)</t>
        </is>
      </c>
      <c r="F7" s="66" t="inlineStr">
        <is>
          <t>Currency</t>
        </is>
      </c>
      <c r="G7" s="66" t="inlineStr">
        <is>
          <t>Qty (3 ppl)</t>
        </is>
      </c>
      <c r="H7" s="66" t="inlineStr">
        <is>
          <t>Total MNT – 3 people</t>
        </is>
      </c>
      <c r="I7" s="66" t="inlineStr">
        <is>
          <t>Unit cost (4 ppl)</t>
        </is>
      </c>
      <c r="J7" s="66" t="inlineStr">
        <is>
          <t>Qty (4 ppl)</t>
        </is>
      </c>
      <c r="K7" s="66" t="inlineStr">
        <is>
          <t>Total MNT – 4 people</t>
        </is>
      </c>
      <c r="L7" s="66" t="inlineStr">
        <is>
          <t>Source / notes</t>
        </is>
      </c>
    </row>
    <row r="8" ht="15" customHeight="1" s="56">
      <c r="A8" s="77" t="inlineStr">
        <is>
          <t>PAID BY UNIVERSITY</t>
        </is>
      </c>
      <c r="B8" s="78" t="n"/>
      <c r="C8" s="78" t="n"/>
      <c r="D8" s="78" t="n"/>
      <c r="E8" s="78" t="n"/>
      <c r="F8" s="78" t="n"/>
      <c r="G8" s="78" t="n"/>
      <c r="H8" s="78" t="n"/>
      <c r="I8" s="78" t="n"/>
      <c r="J8" s="78" t="n"/>
      <c r="K8" s="78" t="n"/>
      <c r="L8" s="78" t="n"/>
    </row>
    <row r="9" ht="15" customHeight="1" s="56">
      <c r="A9" s="79" t="inlineStr">
        <is>
          <t>Flights</t>
        </is>
      </c>
      <c r="B9" s="80" t="n"/>
      <c r="C9" s="80" t="n"/>
      <c r="D9" s="80" t="n"/>
      <c r="E9" s="80" t="n"/>
      <c r="F9" s="80" t="n"/>
      <c r="G9" s="80" t="n"/>
      <c r="H9" s="80" t="n"/>
      <c r="I9" s="80" t="n"/>
      <c r="J9" s="80" t="n"/>
      <c r="K9" s="80" t="n"/>
      <c r="L9" s="80" t="n"/>
    </row>
    <row r="10" ht="26.85" customHeight="1" s="56">
      <c r="A10" s="81" t="n"/>
      <c r="B10" s="82" t="inlineStr">
        <is>
          <t>MIAT OM297 Ulaanbaatar → Hong Kong, nonstop 06:45–11:25</t>
        </is>
      </c>
      <c r="C10" s="83" t="inlineStr">
        <is>
          <t>8 Jan</t>
        </is>
      </c>
      <c r="D10" s="84" t="n">
        <v>0.1944444444444444</v>
      </c>
      <c r="E10" s="85" t="n">
        <v>293</v>
      </c>
      <c r="F10" s="86" t="inlineStr">
        <is>
          <t>USD</t>
        </is>
      </c>
      <c r="G10" s="87">
        <f>Compare!$B$6</f>
        <v/>
      </c>
      <c r="H10" s="88">
        <f>E10*G10*IF(F10="USD",Compare!$B$8,IF(F10="CNY",Compare!$B$9,IF(F10="HKD",Compare!$B$10,1)))</f>
        <v/>
      </c>
      <c r="I10" s="89">
        <f>E10</f>
        <v/>
      </c>
      <c r="J10" s="87">
        <f>Compare!$B$7</f>
        <v/>
      </c>
      <c r="K10" s="88">
        <f>I10*J10*IF(F10="USD",Compare!$B$8,IF(F10="CNY",Compare!$B$9,IF(F10="HKD",Compare!$B$10,1)))</f>
        <v/>
      </c>
      <c r="L10" s="90" t="inlineStr">
        <is>
          <t>Trip.com 10 Oct: MIAT nonstop 07:15–11:50 round trip $586 pp (8–11 Jan), split half each way = $293 (SlickTrip $593; $583 on 30 Sep). Cathay codeshare $626; via Seoul $783+</t>
        </is>
      </c>
    </row>
    <row r="11" ht="26.85" customHeight="1" s="56">
      <c r="A11" s="81" t="n"/>
      <c r="B11" s="82" t="inlineStr">
        <is>
          <t>MIAT OM298 Hong Kong → Ulaanbaatar, nonstop 12:25–17:05</t>
        </is>
      </c>
      <c r="C11" s="83" t="inlineStr">
        <is>
          <t>11 Jan</t>
        </is>
      </c>
      <c r="D11" s="84" t="n">
        <v>0.1944444444444444</v>
      </c>
      <c r="E11" s="85" t="n">
        <v>293</v>
      </c>
      <c r="F11" s="86" t="inlineStr">
        <is>
          <t>USD</t>
        </is>
      </c>
      <c r="G11" s="87">
        <f>Compare!$B$6</f>
        <v/>
      </c>
      <c r="H11" s="88">
        <f>E11*G11*IF(F11="USD",Compare!$B$8,IF(F11="CNY",Compare!$B$9,IF(F11="HKD",Compare!$B$10,1)))</f>
        <v/>
      </c>
      <c r="I11" s="89">
        <f>E11</f>
        <v/>
      </c>
      <c r="J11" s="87">
        <f>Compare!$B$7</f>
        <v/>
      </c>
      <c r="K11" s="88">
        <f>I11*J11*IF(F11="USD",Compare!$B$8,IF(F11="CNY",Compare!$B$9,IF(F11="HKD",Compare!$B$10,1)))</f>
        <v/>
      </c>
      <c r="L11" s="90" t="inlineStr">
        <is>
          <t>Return half of the $586 pp Trip.com round trip</t>
        </is>
      </c>
    </row>
    <row r="12" ht="15" customHeight="1" s="56">
      <c r="A12" s="79" t="inlineStr">
        <is>
          <t>Accommodation</t>
        </is>
      </c>
      <c r="B12" s="80" t="n"/>
      <c r="C12" s="80" t="n"/>
      <c r="D12" s="80" t="n"/>
      <c r="E12" s="80" t="n"/>
      <c r="F12" s="80" t="n"/>
      <c r="G12" s="80" t="n"/>
      <c r="H12" s="80" t="n"/>
      <c r="I12" s="80" t="n"/>
      <c r="J12" s="80" t="n"/>
      <c r="K12" s="80" t="n"/>
      <c r="L12" s="80" t="n"/>
    </row>
    <row r="13" ht="26.85" customHeight="1" s="56">
      <c r="A13" s="81" t="n"/>
      <c r="B13" s="82" t="inlineStr">
        <is>
          <t>iclub AMTD Sheung Wan Hotel (2 rooms: 3 ppl 2 + 1; 4 ppl 2 + 2; 2 MTR stops to HKU station)</t>
        </is>
      </c>
      <c r="C13" s="83" t="inlineStr">
        <is>
          <t>8–11 Jan (3 nights)</t>
        </is>
      </c>
      <c r="D13" s="81" t="n"/>
      <c r="E13" s="113" t="n">
        <v>2068.67</v>
      </c>
      <c r="F13" s="86" t="inlineStr">
        <is>
          <t>HKD</t>
        </is>
      </c>
      <c r="G13" s="91" t="n">
        <v>3</v>
      </c>
      <c r="H13" s="88">
        <f>E13*G13*IF(F13="USD",Compare!$B$8,IF(F13="CNY",Compare!$B$9,IF(F13="HKD",Compare!$B$10,1)))</f>
        <v/>
      </c>
      <c r="I13" s="113" t="n">
        <v>2068.67</v>
      </c>
      <c r="J13" s="91" t="n">
        <v>3</v>
      </c>
      <c r="K13" s="88">
        <f>I13*J13*IF(F13="USD",Compare!$B$8,IF(F13="CNY",Compare!$B$9,IF(F13="HKD",Compare!$B$10,1)))</f>
        <v/>
      </c>
      <c r="L13" s="90" t="inlineStr">
        <is>
          <t>Booking.com 10 Oct, 8–11 Jan, 3 adults in 2 rooms: HK$6,206 for 3 nights; rated 8.6 (640 reviews). 4 ppl: ASSUMPTION same 2 rooms. Alternatives: Y Hotel 8.7 (846) 1 km HK$7,800; iclub Sheung Wan 8.3 (717) HK$5,016; Oasis Aurum 181 8.7 (578) 0.5 km HK$9,360</t>
        </is>
      </c>
    </row>
    <row r="14" ht="15" customHeight="1" s="56">
      <c r="A14" s="79" t="inlineStr">
        <is>
          <t>Meals &amp; local transport</t>
        </is>
      </c>
      <c r="B14" s="80" t="n"/>
      <c r="C14" s="80" t="n"/>
      <c r="D14" s="80" t="n"/>
      <c r="E14" s="80" t="n"/>
      <c r="F14" s="80" t="n"/>
      <c r="G14" s="80" t="n"/>
      <c r="H14" s="80" t="n"/>
      <c r="I14" s="80" t="n"/>
      <c r="J14" s="80" t="n"/>
      <c r="K14" s="80" t="n"/>
      <c r="L14" s="80" t="n"/>
    </row>
    <row r="15" ht="15" customHeight="1" s="56">
      <c r="A15" s="81" t="n"/>
      <c r="B15" s="82" t="inlineStr">
        <is>
          <t>Meals</t>
        </is>
      </c>
      <c r="C15" s="83" t="inlineStr">
        <is>
          <t>in Hong Kong</t>
        </is>
      </c>
      <c r="D15" s="81" t="n"/>
      <c r="E15" s="92" t="n">
        <v>180</v>
      </c>
      <c r="F15" s="86" t="inlineStr">
        <is>
          <t>HKD</t>
        </is>
      </c>
      <c r="G15" s="87">
        <f>Compare!$B$6*$B$4</f>
        <v/>
      </c>
      <c r="H15" s="88">
        <f>E15*G15*IF(F15="USD",Compare!$B$8,IF(F15="CNY",Compare!$B$9,IF(F15="HKD",Compare!$B$10,1)))</f>
        <v/>
      </c>
      <c r="I15" s="93">
        <f>E15</f>
        <v/>
      </c>
      <c r="J15" s="87">
        <f>Compare!$B$7*$B$4</f>
        <v/>
      </c>
      <c r="K15" s="88">
        <f>I15*J15*IF(F15="USD",Compare!$B$8,IF(F15="CNY",Compare!$B$9,IF(F15="HKD",Compare!$B$10,1)))</f>
        <v/>
      </c>
      <c r="L15" s="90" t="inlineStr">
        <is>
          <t>ASSUMPTION ~180 HKD/person/day (cha chaan teng, canteens)</t>
        </is>
      </c>
    </row>
    <row r="16" ht="15" customHeight="1" s="56">
      <c r="A16" s="81" t="n"/>
      <c r="B16" s="82" t="inlineStr">
        <is>
          <t>MTR / buses (Octopus card)</t>
        </is>
      </c>
      <c r="C16" s="83" t="inlineStr">
        <is>
          <t>in Hong Kong</t>
        </is>
      </c>
      <c r="D16" s="81" t="n"/>
      <c r="E16" s="92" t="n">
        <v>40</v>
      </c>
      <c r="F16" s="86" t="inlineStr">
        <is>
          <t>HKD</t>
        </is>
      </c>
      <c r="G16" s="87">
        <f>Compare!$B$6*$B$4</f>
        <v/>
      </c>
      <c r="H16" s="88">
        <f>E16*G16*IF(F16="USD",Compare!$B$8,IF(F16="CNY",Compare!$B$9,IF(F16="HKD",Compare!$B$10,1)))</f>
        <v/>
      </c>
      <c r="I16" s="93">
        <f>E16</f>
        <v/>
      </c>
      <c r="J16" s="87">
        <f>Compare!$B$7*$B$4</f>
        <v/>
      </c>
      <c r="K16" s="88">
        <f>I16*J16*IF(F16="USD",Compare!$B$8,IF(F16="CNY",Compare!$B$9,IF(F16="HKD",Compare!$B$10,1)))</f>
        <v/>
      </c>
      <c r="L16" s="90" t="inlineStr">
        <is>
          <t>ASSUMPTION ~40 HKD/person/day</t>
        </is>
      </c>
    </row>
    <row r="17" ht="15" customHeight="1" s="56">
      <c r="A17" s="81" t="n"/>
      <c r="B17" s="82" t="inlineStr">
        <is>
          <t>Airport Express, both ways</t>
        </is>
      </c>
      <c r="C17" s="83" t="inlineStr">
        <is>
          <t>8 &amp; 11 Jan (HKG ↔ Hong Kong station)</t>
        </is>
      </c>
      <c r="D17" s="81" t="n"/>
      <c r="E17" s="92" t="n">
        <v>230</v>
      </c>
      <c r="F17" s="86" t="inlineStr">
        <is>
          <t>HKD</t>
        </is>
      </c>
      <c r="G17" s="87">
        <f>Compare!$B$6</f>
        <v/>
      </c>
      <c r="H17" s="88">
        <f>E17*G17*IF(F17="USD",Compare!$B$8,IF(F17="CNY",Compare!$B$9,IF(F17="HKD",Compare!$B$10,1)))</f>
        <v/>
      </c>
      <c r="I17" s="93">
        <f>E17</f>
        <v/>
      </c>
      <c r="J17" s="87">
        <f>Compare!$B$7</f>
        <v/>
      </c>
      <c r="K17" s="88">
        <f>I17*J17*IF(F17="USD",Compare!$B$8,IF(F17="CNY",Compare!$B$9,IF(F17="HKD",Compare!$B$10,1)))</f>
        <v/>
      </c>
      <c r="L17" s="90" t="inlineStr">
        <is>
          <t>ASSUMPTION ~115 HKD per person each way (recent adult single fare)</t>
        </is>
      </c>
    </row>
    <row r="18" ht="15" customHeight="1" s="56">
      <c r="A18" s="94" t="inlineStr">
        <is>
          <t>PAID PERSONALLY (university won't cover)</t>
        </is>
      </c>
      <c r="B18" s="95" t="n"/>
      <c r="C18" s="95" t="n"/>
      <c r="D18" s="95" t="n"/>
      <c r="E18" s="95" t="n"/>
      <c r="F18" s="95" t="n"/>
      <c r="G18" s="95" t="n"/>
      <c r="H18" s="95" t="n"/>
      <c r="I18" s="95" t="n"/>
      <c r="J18" s="95" t="n"/>
      <c r="K18" s="95" t="n"/>
      <c r="L18" s="95" t="n"/>
    </row>
    <row r="19" ht="15" customHeight="1" s="56">
      <c r="A19" s="79" t="inlineStr">
        <is>
          <t>Contest fee</t>
        </is>
      </c>
      <c r="B19" s="80" t="n"/>
      <c r="C19" s="80" t="n"/>
      <c r="D19" s="80" t="n"/>
      <c r="E19" s="80" t="n"/>
      <c r="F19" s="80" t="n"/>
      <c r="G19" s="80" t="n"/>
      <c r="H19" s="80" t="n"/>
      <c r="I19" s="80" t="n"/>
      <c r="J19" s="80" t="n"/>
      <c r="K19" s="80" t="n"/>
      <c r="L19" s="80" t="n"/>
    </row>
    <row r="20" ht="22.35" customHeight="1" s="56">
      <c r="A20" s="81" t="n"/>
      <c r="B20" s="82" t="inlineStr">
        <is>
          <t>Hong Kong regional registration fee (per team)</t>
        </is>
      </c>
      <c r="C20" s="83" t="inlineStr">
        <is>
          <t>TBC</t>
        </is>
      </c>
      <c r="D20" s="81" t="n"/>
      <c r="E20" s="85" t="n">
        <v>1800</v>
      </c>
      <c r="F20" s="86" t="inlineStr">
        <is>
          <t>HKD</t>
        </is>
      </c>
      <c r="G20" s="91" t="n">
        <v>1</v>
      </c>
      <c r="H20" s="88">
        <f>E20*G20*IF(F20="USD",Compare!$B$8,IF(F20="CNY",Compare!$B$9,IF(F20="HKD",Compare!$B$10,1)))</f>
        <v/>
      </c>
      <c r="I20" s="89">
        <f>E20</f>
        <v/>
      </c>
      <c r="J20" s="91" t="n">
        <v>1</v>
      </c>
      <c r="K20" s="88">
        <f>I20*J20*IF(F20="USD",Compare!$B$8,IF(F20="CNY",Compare!$B$9,IF(F20="HKD",Compare!$B$10,1)))</f>
        <v/>
      </c>
      <c r="L20" s="90" t="inlineStr">
        <is>
          <t>1,800 HKD/team at the 2025 Hong Kong regional (HKUST); 2026 host listed as HKU – confirm</t>
        </is>
      </c>
    </row>
    <row r="21" ht="15" customHeight="1" s="56">
      <c r="A21" s="79" t="inlineStr">
        <is>
          <t>Other</t>
        </is>
      </c>
      <c r="B21" s="80" t="n"/>
      <c r="C21" s="80" t="n"/>
      <c r="D21" s="80" t="n"/>
      <c r="E21" s="80" t="n"/>
      <c r="F21" s="80" t="n"/>
      <c r="G21" s="80" t="n"/>
      <c r="H21" s="80" t="n"/>
      <c r="I21" s="80" t="n"/>
      <c r="J21" s="80" t="n"/>
      <c r="K21" s="80" t="n"/>
      <c r="L21" s="80" t="n"/>
    </row>
    <row r="22" ht="15" customHeight="1" s="56">
      <c r="A22" s="81" t="n"/>
      <c r="B22" s="82" t="inlineStr">
        <is>
          <t>Taxi to/from Chinggis Khaan airport (UB), per trip</t>
        </is>
      </c>
      <c r="C22" s="83" t="inlineStr">
        <is>
          <t>out &amp; back</t>
        </is>
      </c>
      <c r="D22" s="84" t="n">
        <v>0.04166666666666666</v>
      </c>
      <c r="E22" s="92" t="n">
        <v>100000</v>
      </c>
      <c r="F22" s="86" t="inlineStr">
        <is>
          <t>MNT</t>
        </is>
      </c>
      <c r="G22" s="91" t="n">
        <v>2</v>
      </c>
      <c r="H22" s="88">
        <f>E22*G22*IF(F22="USD",Compare!$B$8,IF(F22="CNY",Compare!$B$9,IF(F22="HKD",Compare!$B$10,1)))</f>
        <v/>
      </c>
      <c r="I22" s="93">
        <f>E22</f>
        <v/>
      </c>
      <c r="J22" s="91" t="n">
        <v>2</v>
      </c>
      <c r="K22" s="88">
        <f>I22*J22*IF(F22="USD",Compare!$B$8,IF(F22="CNY",Compare!$B$9,IF(F22="HKD",Compare!$B$10,1)))</f>
        <v/>
      </c>
      <c r="L22" s="90" t="inlineStr">
        <is>
          <t>ASSUMPTION 100k MNT per trip for the group</t>
        </is>
      </c>
    </row>
    <row r="23" ht="15" customHeight="1" s="56">
      <c r="A23" s="81" t="n"/>
      <c r="B23" s="82" t="inlineStr">
        <is>
          <t>Travel medical insurance</t>
        </is>
      </c>
      <c r="C23" s="83" t="n"/>
      <c r="D23" s="81" t="n"/>
      <c r="E23" s="92" t="n">
        <v>30000</v>
      </c>
      <c r="F23" s="86" t="inlineStr">
        <is>
          <t>MNT</t>
        </is>
      </c>
      <c r="G23" s="87">
        <f>Compare!$B$6</f>
        <v/>
      </c>
      <c r="H23" s="88">
        <f>E23*G23*IF(F23="USD",Compare!$B$8,IF(F23="CNY",Compare!$B$9,IF(F23="HKD",Compare!$B$10,1)))</f>
        <v/>
      </c>
      <c r="I23" s="93">
        <f>E23</f>
        <v/>
      </c>
      <c r="J23" s="87">
        <f>Compare!$B$7</f>
        <v/>
      </c>
      <c r="K23" s="88">
        <f>I23*J23*IF(F23="USD",Compare!$B$8,IF(F23="CNY",Compare!$B$9,IF(F23="HKD",Compare!$B$10,1)))</f>
        <v/>
      </c>
      <c r="L23" s="90" t="inlineStr">
        <is>
          <t>ASSUMPTION ~30k MNT per person, Mongolian insurer</t>
        </is>
      </c>
    </row>
    <row r="24" ht="15" customHeight="1" s="56">
      <c r="A24" s="81" t="n"/>
      <c r="B24" s="82" t="inlineStr">
        <is>
          <t>Mobile data eSIM</t>
        </is>
      </c>
      <c r="C24" s="83" t="n"/>
      <c r="D24" s="81" t="n"/>
      <c r="E24" s="92" t="n">
        <v>10</v>
      </c>
      <c r="F24" s="86" t="inlineStr">
        <is>
          <t>USD</t>
        </is>
      </c>
      <c r="G24" s="87">
        <f>Compare!$B$6</f>
        <v/>
      </c>
      <c r="H24" s="88">
        <f>E24*G24*IF(F24="USD",Compare!$B$8,IF(F24="CNY",Compare!$B$9,IF(F24="HKD",Compare!$B$10,1)))</f>
        <v/>
      </c>
      <c r="I24" s="93">
        <f>E24</f>
        <v/>
      </c>
      <c r="J24" s="87">
        <f>Compare!$B$7</f>
        <v/>
      </c>
      <c r="K24" s="88">
        <f>I24*J24*IF(F24="USD",Compare!$B$8,IF(F24="CNY",Compare!$B$9,IF(F24="HKD",Compare!$B$10,1)))</f>
        <v/>
      </c>
      <c r="L24" s="90" t="inlineStr">
        <is>
          <t>ASSUMPTION ~$10 pp</t>
        </is>
      </c>
    </row>
    <row r="25" ht="22.35" customHeight="1" s="56">
      <c r="A25" s="81" t="n"/>
      <c r="B25" s="82" t="inlineStr">
        <is>
          <t>Visa</t>
        </is>
      </c>
      <c r="C25" s="83" t="n"/>
      <c r="D25" s="81" t="n"/>
      <c r="E25" s="85" t="n">
        <v>0</v>
      </c>
      <c r="F25" s="86" t="inlineStr">
        <is>
          <t>MNT</t>
        </is>
      </c>
      <c r="G25" s="87">
        <f>Compare!$B$6</f>
        <v/>
      </c>
      <c r="H25" s="88">
        <f>E25*G25*IF(F25="USD",Compare!$B$8,IF(F25="CNY",Compare!$B$9,IF(F25="HKD",Compare!$B$10,1)))</f>
        <v/>
      </c>
      <c r="I25" s="89">
        <f>E25</f>
        <v/>
      </c>
      <c r="J25" s="87">
        <f>Compare!$B$7</f>
        <v/>
      </c>
      <c r="K25" s="88">
        <f>I25*J25*IF(F25="USD",Compare!$B$8,IF(F25="CNY",Compare!$B$9,IF(F25="HKD",Compare!$B$10,1)))</f>
        <v/>
      </c>
      <c r="L25" s="90" t="inlineStr">
        <is>
          <t>Mongolian passports: visa-free (mainland China up to 30 days; Hong Kong up to 14 days)</t>
        </is>
      </c>
    </row>
    <row r="27" ht="15" customHeight="1" s="56">
      <c r="G27" s="60" t="n"/>
      <c r="H27" s="96" t="inlineStr">
        <is>
          <t>3 people – UNFUNDED</t>
        </is>
      </c>
      <c r="K27" s="96" t="inlineStr">
        <is>
          <t>4 people – FUNDED ₮12M</t>
        </is>
      </c>
    </row>
    <row r="28" ht="15" customHeight="1" s="56">
      <c r="G28" s="97" t="inlineStr">
        <is>
          <t>University-paid subtotal</t>
        </is>
      </c>
      <c r="H28" s="98">
        <f>SUM(H9:H17)</f>
        <v/>
      </c>
      <c r="K28" s="98">
        <f>SUM(K9:K17)</f>
        <v/>
      </c>
    </row>
    <row r="29" ht="15" customHeight="1" s="56">
      <c r="G29" s="99" t="inlineStr">
        <is>
          <t>Contingency</t>
        </is>
      </c>
      <c r="H29" s="100">
        <f>H28*Compare!$B$11</f>
        <v/>
      </c>
      <c r="K29" s="100">
        <f>K28*Compare!$B$11</f>
        <v/>
      </c>
    </row>
    <row r="30" ht="15" customHeight="1" s="56">
      <c r="G30" s="97" t="inlineStr">
        <is>
          <t>University-paid total incl. contingency</t>
        </is>
      </c>
      <c r="H30" s="98">
        <f>H28+H29</f>
        <v/>
      </c>
      <c r="K30" s="98">
        <f>K28+K29</f>
        <v/>
      </c>
    </row>
    <row r="31" ht="15" customHeight="1" s="56">
      <c r="G31" s="97" t="inlineStr">
        <is>
          <t>Funding left (negative = over)</t>
        </is>
      </c>
      <c r="H31" s="101">
        <f>Compare!$B$12-H30</f>
        <v/>
      </c>
      <c r="K31" s="101">
        <f>Compare!$B$5-K30</f>
        <v/>
      </c>
    </row>
    <row r="32" ht="15" customHeight="1" s="56">
      <c r="G32" s="97" t="inlineStr">
        <is>
          <t>Personal costs – team</t>
        </is>
      </c>
      <c r="H32" s="102">
        <f>SUM(H19:H25)</f>
        <v/>
      </c>
      <c r="K32" s="102">
        <f>SUM(K19:K25)</f>
        <v/>
      </c>
    </row>
    <row r="33" ht="15" customHeight="1" s="56">
      <c r="G33" s="97" t="inlineStr">
        <is>
          <t>Out-of-pocket per person (personal + any overrun)</t>
        </is>
      </c>
      <c r="H33" s="102">
        <f>(H32+MAX(0,-H31))/Compare!$B$6</f>
        <v/>
      </c>
      <c r="K33" s="102">
        <f>(K32+MAX(0,-K31))/Compare!$B$7</f>
        <v/>
      </c>
    </row>
    <row r="34" ht="15" customHeight="1" s="56">
      <c r="G34" s="97" t="inlineStr">
        <is>
          <t>Whole trip cost (university + personal)</t>
        </is>
      </c>
      <c r="H34" s="103">
        <f>H30+H32</f>
        <v/>
      </c>
      <c r="K34" s="103">
        <f>K30+K32</f>
        <v/>
      </c>
    </row>
    <row r="35" ht="15" customHeight="1" s="56">
      <c r="G35" s="99" t="inlineStr">
        <is>
          <t>Time in planes &amp; trains</t>
        </is>
      </c>
      <c r="H35" s="104">
        <f>SUM(D10:D11)</f>
        <v/>
      </c>
      <c r="K35" s="104">
        <f>SUM(D10:D11)</f>
        <v/>
      </c>
    </row>
    <row r="37" ht="15" customHeight="1" s="56">
      <c r="A37" s="72" t="inlineStr">
        <is>
          <t>Key facts</t>
        </is>
      </c>
    </row>
    <row r="38" ht="30" customHeight="1" s="56">
      <c r="A38" s="75" t="inlineStr">
        <is>
          <t>Contest</t>
        </is>
      </c>
      <c r="B38" s="74" t="inlineStr">
        <is>
          <t>Asia Hong Kong Regional, 9–10 Jan 2027 (provisional). Host listed as HKU on a coach's tracking page; the site rotates, so confirm.</t>
        </is>
      </c>
    </row>
    <row r="39" ht="15" customHeight="1" s="56">
      <c r="A39" s="75" t="inlineStr">
        <is>
          <t>Why this route</t>
        </is>
      </c>
      <c r="B39" s="74" t="inlineStr">
        <is>
          <t>MIAT nonstop is the cheapest flight (see Budget). The extra money goes into two rooms in a quiet hotel close to HKU so everyone sleeps 7–8 h on 8 and 9 Jan.</t>
        </is>
      </c>
    </row>
    <row r="40" ht="15" customHeight="1" s="56">
      <c r="A40" s="75" t="inlineStr">
        <is>
          <t>Entry</t>
        </is>
      </c>
      <c r="B40" s="74" t="inlineStr">
        <is>
          <t>Mongolian passport holders can visit Hong Kong visa-free for up to 14 days.</t>
        </is>
      </c>
    </row>
    <row r="41" ht="15" customHeight="1" s="56">
      <c r="A41" s="75" t="inlineStr">
        <is>
          <t>Trade-off</t>
        </is>
      </c>
      <c r="B41" s="74" t="inlineStr">
        <is>
          <t>About ₮2.6M dearer than the guesthouse plan for 3 people (HK$6,206 vs HK$1,177 for the rooms). With the coach it is ₮14.45M, over the ₮12M funding – so use it only for the unfunded trip if the team wants to pay for sleep, or drop to Value.</t>
        </is>
      </c>
    </row>
    <row r="43" ht="15" customHeight="1" s="56">
      <c r="A43" s="72" t="inlineStr">
        <is>
          <t>Day-by-day plan</t>
        </is>
      </c>
    </row>
    <row r="44" ht="15" customHeight="1" s="56">
      <c r="A44" s="96" t="inlineStr">
        <is>
          <t>Date</t>
        </is>
      </c>
      <c r="B44" s="96" t="inlineStr">
        <is>
          <t>Sleep in</t>
        </is>
      </c>
      <c r="C44" s="96" t="inlineStr">
        <is>
          <t>What happens</t>
        </is>
      </c>
    </row>
    <row r="45" ht="15" customHeight="1" s="56">
      <c r="A45" s="74" t="inlineStr">
        <is>
          <t>Fri 8 Jan</t>
        </is>
      </c>
      <c r="B45" s="74" t="inlineStr">
        <is>
          <t>Hong Kong</t>
        </is>
      </c>
      <c r="C45" s="74" t="inlineStr">
        <is>
          <t>MIAT OM297 UB 06:45 → Hong Kong 11:25 (4 h 40 min). Airport Express + taxi/MTR, check in at the Sheung Wan hotel (nap).</t>
        </is>
      </c>
    </row>
    <row r="46" ht="15" customHeight="1" s="56">
      <c r="A46" s="74" t="inlineStr">
        <is>
          <t>Sat 9 Jan</t>
        </is>
      </c>
      <c r="B46" s="74" t="inlineStr">
        <is>
          <t>Hong Kong</t>
        </is>
      </c>
      <c r="C46" s="74" t="inlineStr">
        <is>
          <t>Registration, opening and warm-up at the University of Hong Kong (2025 HK regional used the same day-1 pattern).</t>
        </is>
      </c>
    </row>
    <row r="47" ht="15" customHeight="1" s="56">
      <c r="A47" s="74" t="inlineStr">
        <is>
          <t>Sun 10 Jan</t>
        </is>
      </c>
      <c r="B47" s="74" t="inlineStr">
        <is>
          <t>Hong Kong</t>
        </is>
      </c>
      <c r="C47" s="74" t="inlineStr">
        <is>
          <t>HONG KONG REGIONAL contest day, closing &amp; solutions.</t>
        </is>
      </c>
    </row>
    <row r="48" ht="15" customHeight="1" s="56">
      <c r="A48" s="74" t="inlineStr">
        <is>
          <t>Mon 11 Jan</t>
        </is>
      </c>
      <c r="B48" s="74" t="inlineStr">
        <is>
          <t>Home</t>
        </is>
      </c>
      <c r="C48" s="74" t="inlineStr">
        <is>
          <t>MIAT OM298 Hong Kong 12:25 → UB 17:05.</t>
        </is>
      </c>
    </row>
    <row r="50" ht="15" customHeight="1" s="56">
      <c r="A50" s="72" t="inlineStr">
        <is>
          <t>Door-to-door travel times</t>
        </is>
      </c>
    </row>
    <row r="51" ht="15" customHeight="1" s="56">
      <c r="A51" s="96" t="inlineStr">
        <is>
          <t>Date</t>
        </is>
      </c>
      <c r="B51" s="96" t="inlineStr">
        <is>
          <t>Leg</t>
        </is>
      </c>
      <c r="C51" s="96" t="inlineStr">
        <is>
          <t>Mode</t>
        </is>
      </c>
      <c r="D51" s="96" t="inlineStr">
        <is>
          <t>Expected time</t>
        </is>
      </c>
      <c r="E51" s="96" t="inlineStr">
        <is>
          <t>Notes</t>
        </is>
      </c>
    </row>
    <row r="52" ht="15" customHeight="1" s="56">
      <c r="A52" s="105" t="inlineStr">
        <is>
          <t>8 Jan</t>
        </is>
      </c>
      <c r="B52" s="105" t="inlineStr">
        <is>
          <t>Home → Chinggis Khaan airport</t>
        </is>
      </c>
      <c r="C52" s="82" t="inlineStr">
        <is>
          <t>Taxi (~50 km)</t>
        </is>
      </c>
      <c r="D52" s="104" t="n">
        <v>0.04166666666666666</v>
      </c>
      <c r="E52" s="106" t="inlineStr">
        <is>
          <t>Leave ~03:45 for 06:45 flight</t>
        </is>
      </c>
      <c r="F52" s="107" t="n"/>
      <c r="G52" s="107" t="n"/>
      <c r="H52" s="107" t="n"/>
      <c r="I52" s="107" t="n"/>
      <c r="J52" s="107" t="n"/>
      <c r="K52" s="107" t="n"/>
      <c r="L52" s="107" t="n"/>
    </row>
    <row r="53" ht="26.85" customHeight="1" s="56">
      <c r="A53" s="105" t="inlineStr">
        <is>
          <t>8 Jan</t>
        </is>
      </c>
      <c r="B53" s="105" t="inlineStr">
        <is>
          <t>Ulaanbaatar → Hong Kong (HKG)</t>
        </is>
      </c>
      <c r="C53" s="82" t="inlineStr">
        <is>
          <t>MIAT OM297 06:45–11:25</t>
        </is>
      </c>
      <c r="D53" s="84" t="n">
        <v>0.1944444444444444</v>
      </c>
      <c r="E53" s="106" t="n"/>
      <c r="F53" s="107" t="n"/>
      <c r="G53" s="107" t="n"/>
      <c r="H53" s="107" t="n"/>
      <c r="I53" s="107" t="n"/>
      <c r="J53" s="107" t="n"/>
      <c r="K53" s="107" t="n"/>
      <c r="L53" s="107" t="n"/>
    </row>
    <row r="54" ht="15" customHeight="1" s="56">
      <c r="A54" s="105" t="inlineStr">
        <is>
          <t>8 Jan</t>
        </is>
      </c>
      <c r="B54" s="105" t="inlineStr">
        <is>
          <t>HKG arrival: immigration, bags</t>
        </is>
      </c>
      <c r="C54" s="82" t="inlineStr">
        <is>
          <t>—</t>
        </is>
      </c>
      <c r="D54" s="104" t="n">
        <v>0.02777777777777778</v>
      </c>
      <c r="E54" s="106" t="inlineStr">
        <is>
          <t>Estimate</t>
        </is>
      </c>
      <c r="F54" s="107" t="n"/>
      <c r="G54" s="107" t="n"/>
      <c r="H54" s="107" t="n"/>
      <c r="I54" s="107" t="n"/>
      <c r="J54" s="107" t="n"/>
      <c r="K54" s="107" t="n"/>
      <c r="L54" s="107" t="n"/>
    </row>
    <row r="55" ht="39.55" customHeight="1" s="56">
      <c r="A55" s="105" t="inlineStr">
        <is>
          <t>8 Jan</t>
        </is>
      </c>
      <c r="B55" s="105" t="inlineStr">
        <is>
          <t>HKG → Sheung Wan hotel</t>
        </is>
      </c>
      <c r="C55" s="82" t="inlineStr">
        <is>
          <t>Airport Express to Hong Kong stn + taxi / MTR</t>
        </is>
      </c>
      <c r="D55" s="104" t="n">
        <v>0.03472222222222222</v>
      </c>
      <c r="E55" s="106" t="inlineStr">
        <is>
          <t>Estimate</t>
        </is>
      </c>
      <c r="F55" s="107" t="n"/>
      <c r="G55" s="107" t="n"/>
      <c r="H55" s="107" t="n"/>
      <c r="I55" s="107" t="n"/>
      <c r="J55" s="107" t="n"/>
      <c r="K55" s="107" t="n"/>
      <c r="L55" s="107" t="n"/>
    </row>
    <row r="56" ht="15" customHeight="1" s="56">
      <c r="A56" s="105" t="inlineStr">
        <is>
          <t>9–10 Jan</t>
        </is>
      </c>
      <c r="B56" s="105" t="inlineStr">
        <is>
          <t>Hotel ↔ HKU (each way)</t>
        </is>
      </c>
      <c r="C56" s="82" t="inlineStr">
        <is>
          <t>—</t>
        </is>
      </c>
      <c r="D56" s="108" t="inlineStr">
        <is>
          <t>daily</t>
        </is>
      </c>
      <c r="E56" s="106" t="inlineStr">
        <is>
          <t>~10–15 min (MTR Sheung Wan → HKU, 2 stops; or taxi)</t>
        </is>
      </c>
      <c r="F56" s="107" t="n"/>
      <c r="G56" s="107" t="n"/>
      <c r="H56" s="107" t="n"/>
      <c r="I56" s="107" t="n"/>
      <c r="J56" s="107" t="n"/>
      <c r="K56" s="107" t="n"/>
      <c r="L56" s="107" t="n"/>
    </row>
    <row r="57" ht="26.85" customHeight="1" s="56">
      <c r="A57" s="105" t="inlineStr">
        <is>
          <t>11 Jan</t>
        </is>
      </c>
      <c r="B57" s="105" t="inlineStr">
        <is>
          <t>Hotel → HKG</t>
        </is>
      </c>
      <c r="C57" s="82" t="inlineStr">
        <is>
          <t>Taxi/MTR + Airport Express</t>
        </is>
      </c>
      <c r="D57" s="104" t="n">
        <v>0.03472222222222222</v>
      </c>
      <c r="E57" s="106" t="inlineStr">
        <is>
          <t>Estimate</t>
        </is>
      </c>
      <c r="F57" s="107" t="n"/>
      <c r="G57" s="107" t="n"/>
      <c r="H57" s="107" t="n"/>
      <c r="I57" s="107" t="n"/>
      <c r="J57" s="107" t="n"/>
      <c r="K57" s="107" t="n"/>
      <c r="L57" s="107" t="n"/>
    </row>
    <row r="58" ht="26.85" customHeight="1" s="56">
      <c r="A58" s="105" t="inlineStr">
        <is>
          <t>11 Jan</t>
        </is>
      </c>
      <c r="B58" s="105" t="inlineStr">
        <is>
          <t>Hong Kong (HKG) → Ulaanbaatar</t>
        </is>
      </c>
      <c r="C58" s="82" t="inlineStr">
        <is>
          <t>MIAT OM298 12:25–17:05</t>
        </is>
      </c>
      <c r="D58" s="84" t="n">
        <v>0.1944444444444444</v>
      </c>
      <c r="E58" s="106" t="inlineStr">
        <is>
          <t>Be at HKG by ~10:25</t>
        </is>
      </c>
      <c r="F58" s="107" t="n"/>
      <c r="G58" s="107" t="n"/>
      <c r="H58" s="107" t="n"/>
      <c r="I58" s="107" t="n"/>
      <c r="J58" s="107" t="n"/>
      <c r="K58" s="107" t="n"/>
      <c r="L58" s="107" t="n"/>
    </row>
    <row r="59" ht="14.15" customHeight="1" s="56">
      <c r="A59" s="105" t="inlineStr">
        <is>
          <t>11 Jan</t>
        </is>
      </c>
      <c r="B59" s="105" t="inlineStr">
        <is>
          <t>Chinggis Khaan airport → home</t>
        </is>
      </c>
      <c r="C59" s="82" t="inlineStr">
        <is>
          <t>Taxi</t>
        </is>
      </c>
      <c r="D59" s="104" t="n">
        <v>0.04166666666666666</v>
      </c>
      <c r="E59" s="106" t="n"/>
      <c r="F59" s="107" t="n"/>
      <c r="G59" s="107" t="n"/>
      <c r="H59" s="107" t="n"/>
      <c r="I59" s="107" t="n"/>
      <c r="J59" s="107" t="n"/>
      <c r="K59" s="107" t="n"/>
      <c r="L59" s="107" t="n"/>
    </row>
    <row r="60" ht="15" customHeight="1" s="56">
      <c r="C60" s="59" t="inlineStr">
        <is>
          <t>Total door-to-door</t>
        </is>
      </c>
      <c r="D60" s="109">
        <f>SUM(D52:D59)</f>
        <v/>
      </c>
    </row>
  </sheetData>
  <mergeCells count="18">
    <mergeCell ref="E57:L57"/>
    <mergeCell ref="E56:L56"/>
    <mergeCell ref="E58:L58"/>
    <mergeCell ref="C45:L45"/>
    <mergeCell ref="B38:L38"/>
    <mergeCell ref="E59:L59"/>
    <mergeCell ref="E51:L51"/>
    <mergeCell ref="C48:L48"/>
    <mergeCell ref="B39:L39"/>
    <mergeCell ref="E54:L54"/>
    <mergeCell ref="B40:L40"/>
    <mergeCell ref="E55:L55"/>
    <mergeCell ref="E52:L52"/>
    <mergeCell ref="C46:L46"/>
    <mergeCell ref="C47:L47"/>
    <mergeCell ref="E53:L53"/>
    <mergeCell ref="B41:L41"/>
    <mergeCell ref="C44:L4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1.xml><?xml version="1.0" encoding="utf-8"?>
<worksheet xmlns="http://schemas.openxmlformats.org/spreadsheetml/2006/main">
  <sheetPr filterMode="0">
    <outlinePr summaryBelow="1" summaryRight="1"/>
    <pageSetUpPr fitToPage="0"/>
  </sheetPr>
  <dimension ref="A1:L60"/>
  <sheetViews>
    <sheetView workbookViewId="0">
      <pane xSplit="2" ySplit="7" topLeftCell="C8" activePane="bottomRight" state="frozen"/>
      <selection pane="topRight" activeCell="A1" sqref="A1"/>
      <selection pane="bottomLeft" activeCell="A1" sqref="A1"/>
      <selection pane="bottomRight" activeCell="A1" sqref="A1"/>
    </sheetView>
  </sheetViews>
  <sheetFormatPr baseColWidth="8" defaultColWidth="8.6796875" defaultRowHeight="15" zeroHeight="0" outlineLevelRow="0"/>
  <cols>
    <col width="26" customWidth="1" style="55" min="1" max="1"/>
    <col width="52" customWidth="1" style="55" min="2" max="2"/>
    <col width="20" customWidth="1" style="55" min="3" max="3"/>
    <col width="15" customWidth="1" style="55" min="4" max="4"/>
    <col width="13" customWidth="1" style="55" min="5" max="5"/>
    <col width="9" customWidth="1" style="55" min="6" max="7"/>
    <col width="17" customWidth="1" style="55" min="8" max="8"/>
    <col width="13" customWidth="1" style="55" min="9" max="9"/>
    <col width="9" customWidth="1" style="55" min="10" max="10"/>
    <col width="17" customWidth="1" style="55" min="11" max="11"/>
    <col width="58" customWidth="1" style="55" min="12" max="12"/>
  </cols>
  <sheetData>
    <row r="1" ht="17.35" customHeight="1" s="56">
      <c r="A1" s="57" t="inlineStr">
        <is>
          <t>Hong Kong – Funded 12M</t>
        </is>
      </c>
    </row>
    <row r="2" ht="15" customHeight="1" s="56">
      <c r="A2" s="62" t="inlineStr">
        <is>
          <t>For the funded regional (₮12M, coach travels): MIAT nonstop, two rooms at a hotel ~540 m from HKU (walk, no commute) so each contestant has a bed and the contest-eve sleep is protected; airport bus instead of the Airport Express to stay under the cap.</t>
        </is>
      </c>
    </row>
    <row r="4" ht="15" customHeight="1" s="56">
      <c r="A4" s="60" t="inlineStr">
        <is>
          <t>Days in destination (meals &amp; local transport)</t>
        </is>
      </c>
      <c r="B4" s="76" t="n">
        <v>3.5</v>
      </c>
      <c r="C4" s="62" t="inlineStr">
        <is>
          <t>8 Jan midday → 11 Jan morning</t>
        </is>
      </c>
    </row>
    <row r="5" ht="15" customHeight="1" s="56">
      <c r="A5" s="62" t="inlineStr">
        <is>
          <t>Shared inputs are on the Compare sheet. Scroll down for the day-by-day plan and door-to-door travel times.</t>
        </is>
      </c>
    </row>
    <row r="7" ht="31.5" customHeight="1" s="56">
      <c r="A7" s="66" t="inlineStr">
        <is>
          <t>Category</t>
        </is>
      </c>
      <c r="B7" s="66" t="inlineStr">
        <is>
          <t>Item</t>
        </is>
      </c>
      <c r="C7" s="66" t="inlineStr">
        <is>
          <t>Date</t>
        </is>
      </c>
      <c r="D7" s="66" t="inlineStr">
        <is>
          <t>Travel time</t>
        </is>
      </c>
      <c r="E7" s="66" t="inlineStr">
        <is>
          <t>Unit cost (3 ppl)</t>
        </is>
      </c>
      <c r="F7" s="66" t="inlineStr">
        <is>
          <t>Currency</t>
        </is>
      </c>
      <c r="G7" s="66" t="inlineStr">
        <is>
          <t>Qty (3 ppl)</t>
        </is>
      </c>
      <c r="H7" s="66" t="inlineStr">
        <is>
          <t>Total MNT – 3 people</t>
        </is>
      </c>
      <c r="I7" s="66" t="inlineStr">
        <is>
          <t>Unit cost (4 ppl)</t>
        </is>
      </c>
      <c r="J7" s="66" t="inlineStr">
        <is>
          <t>Qty (4 ppl)</t>
        </is>
      </c>
      <c r="K7" s="66" t="inlineStr">
        <is>
          <t>Total MNT – 4 people</t>
        </is>
      </c>
      <c r="L7" s="66" t="inlineStr">
        <is>
          <t>Source / notes</t>
        </is>
      </c>
    </row>
    <row r="8" ht="15" customHeight="1" s="56">
      <c r="A8" s="77" t="inlineStr">
        <is>
          <t>PAID BY UNIVERSITY</t>
        </is>
      </c>
      <c r="B8" s="78" t="n"/>
      <c r="C8" s="78" t="n"/>
      <c r="D8" s="78" t="n"/>
      <c r="E8" s="78" t="n"/>
      <c r="F8" s="78" t="n"/>
      <c r="G8" s="78" t="n"/>
      <c r="H8" s="78" t="n"/>
      <c r="I8" s="78" t="n"/>
      <c r="J8" s="78" t="n"/>
      <c r="K8" s="78" t="n"/>
      <c r="L8" s="78" t="n"/>
    </row>
    <row r="9" ht="15" customHeight="1" s="56">
      <c r="A9" s="79" t="inlineStr">
        <is>
          <t>Flights</t>
        </is>
      </c>
      <c r="B9" s="80" t="n"/>
      <c r="C9" s="80" t="n"/>
      <c r="D9" s="80" t="n"/>
      <c r="E9" s="80" t="n"/>
      <c r="F9" s="80" t="n"/>
      <c r="G9" s="80" t="n"/>
      <c r="H9" s="80" t="n"/>
      <c r="I9" s="80" t="n"/>
      <c r="J9" s="80" t="n"/>
      <c r="K9" s="80" t="n"/>
      <c r="L9" s="80" t="n"/>
    </row>
    <row r="10" ht="26.85" customHeight="1" s="56">
      <c r="A10" s="81" t="n"/>
      <c r="B10" s="82" t="inlineStr">
        <is>
          <t>MIAT OM297 Ulaanbaatar → Hong Kong, nonstop 06:45–11:25</t>
        </is>
      </c>
      <c r="C10" s="83" t="inlineStr">
        <is>
          <t>8 Jan</t>
        </is>
      </c>
      <c r="D10" s="84" t="n">
        <v>0.1944444444444444</v>
      </c>
      <c r="E10" s="85" t="n">
        <v>293</v>
      </c>
      <c r="F10" s="86" t="inlineStr">
        <is>
          <t>USD</t>
        </is>
      </c>
      <c r="G10" s="87">
        <f>Compare!$B$6</f>
        <v/>
      </c>
      <c r="H10" s="88">
        <f>E10*G10*IF(F10="USD",Compare!$B$8,IF(F10="CNY",Compare!$B$9,IF(F10="HKD",Compare!$B$10,1)))</f>
        <v/>
      </c>
      <c r="I10" s="89">
        <f>E10</f>
        <v/>
      </c>
      <c r="J10" s="87">
        <f>Compare!$B$7</f>
        <v/>
      </c>
      <c r="K10" s="88">
        <f>I10*J10*IF(F10="USD",Compare!$B$8,IF(F10="CNY",Compare!$B$9,IF(F10="HKD",Compare!$B$10,1)))</f>
        <v/>
      </c>
      <c r="L10" s="90" t="inlineStr">
        <is>
          <t>Trip.com 10 Oct: MIAT nonstop 07:15–11:50 round trip $586 pp (8–11 Jan), split half each way = $293 (SlickTrip $593; $583 on 30 Sep). Cathay codeshare $626; via Seoul $783+</t>
        </is>
      </c>
    </row>
    <row r="11" ht="26.85" customHeight="1" s="56">
      <c r="A11" s="81" t="n"/>
      <c r="B11" s="82" t="inlineStr">
        <is>
          <t>MIAT OM298 Hong Kong → Ulaanbaatar, nonstop 12:25–17:05</t>
        </is>
      </c>
      <c r="C11" s="83" t="inlineStr">
        <is>
          <t>11 Jan</t>
        </is>
      </c>
      <c r="D11" s="84" t="n">
        <v>0.1944444444444444</v>
      </c>
      <c r="E11" s="85" t="n">
        <v>293</v>
      </c>
      <c r="F11" s="86" t="inlineStr">
        <is>
          <t>USD</t>
        </is>
      </c>
      <c r="G11" s="87">
        <f>Compare!$B$6</f>
        <v/>
      </c>
      <c r="H11" s="88">
        <f>E11*G11*IF(F11="USD",Compare!$B$8,IF(F11="CNY",Compare!$B$9,IF(F11="HKD",Compare!$B$10,1)))</f>
        <v/>
      </c>
      <c r="I11" s="89">
        <f>E11</f>
        <v/>
      </c>
      <c r="J11" s="87">
        <f>Compare!$B$7</f>
        <v/>
      </c>
      <c r="K11" s="88">
        <f>I11*J11*IF(F11="USD",Compare!$B$8,IF(F11="CNY",Compare!$B$9,IF(F11="HKD",Compare!$B$10,1)))</f>
        <v/>
      </c>
      <c r="L11" s="90" t="inlineStr">
        <is>
          <t>Return half of the $586 pp Trip.com round trip</t>
        </is>
      </c>
    </row>
    <row r="12" ht="15" customHeight="1" s="56">
      <c r="A12" s="79" t="inlineStr">
        <is>
          <t>Accommodation</t>
        </is>
      </c>
      <c r="B12" s="80" t="n"/>
      <c r="C12" s="80" t="n"/>
      <c r="D12" s="80" t="n"/>
      <c r="E12" s="80" t="n"/>
      <c r="F12" s="80" t="n"/>
      <c r="G12" s="80" t="n"/>
      <c r="H12" s="80" t="n"/>
      <c r="I12" s="80" t="n"/>
      <c r="J12" s="80" t="n"/>
      <c r="K12" s="80" t="n"/>
      <c r="L12" s="80" t="n"/>
    </row>
    <row r="13" ht="26.85" customHeight="1" s="56">
      <c r="A13" s="81" t="n"/>
      <c r="B13" s="82" t="inlineStr">
        <is>
          <t>Best Western Plus Hotel Hong Kong, Sai Ying Pun (~540 m to HKU; 3 ppl 1 room; 4 ppl 2 rooms, 2 beds each)</t>
        </is>
      </c>
      <c r="C13" s="83" t="inlineStr">
        <is>
          <t>8–11 Jan (3 nights)</t>
        </is>
      </c>
      <c r="D13" s="81" t="n"/>
      <c r="E13" s="85" t="n">
        <v>713</v>
      </c>
      <c r="F13" s="86" t="inlineStr">
        <is>
          <t>HKD</t>
        </is>
      </c>
      <c r="G13" s="91" t="n">
        <v>3</v>
      </c>
      <c r="H13" s="88">
        <f>E13*G13*IF(F13="USD",Compare!$B$8,IF(F13="CNY",Compare!$B$9,IF(F13="HKD",Compare!$B$10,1)))</f>
        <v/>
      </c>
      <c r="I13" s="85" t="n">
        <v>1213.33</v>
      </c>
      <c r="J13" s="91" t="n">
        <v>3</v>
      </c>
      <c r="K13" s="88">
        <f>I13*J13*IF(F13="USD",Compare!$B$8,IF(F13="CNY",Compare!$B$9,IF(F13="HKD",Compare!$B$10,1)))</f>
        <v/>
      </c>
      <c r="L13" s="90" t="inlineStr">
        <is>
          <t>Booking.com 8–11 Jan: HK$2,139 (3 ppl) / HK$3,640 (4 ppl, 2 rooms) for 3 nights; rated 7.4 (4,583 reviews) on Booking.com, 8.2 (3,331) on Trip.com where 4 ppl / 2 rooms is HK$4,243. Read recent noise reviews; the cheaper guesthouses (Good Fortune Inn 8.6, 4 twin beds, HK$2,889) are ~35 min away by MTR</t>
        </is>
      </c>
    </row>
    <row r="14" ht="15" customHeight="1" s="56">
      <c r="A14" s="79" t="inlineStr">
        <is>
          <t>Meals &amp; local transport</t>
        </is>
      </c>
      <c r="B14" s="80" t="n"/>
      <c r="C14" s="80" t="n"/>
      <c r="D14" s="80" t="n"/>
      <c r="E14" s="80" t="n"/>
      <c r="F14" s="80" t="n"/>
      <c r="G14" s="80" t="n"/>
      <c r="H14" s="80" t="n"/>
      <c r="I14" s="80" t="n"/>
      <c r="J14" s="80" t="n"/>
      <c r="K14" s="80" t="n"/>
      <c r="L14" s="80" t="n"/>
    </row>
    <row r="15" ht="15" customHeight="1" s="56">
      <c r="A15" s="81" t="n"/>
      <c r="B15" s="82" t="inlineStr">
        <is>
          <t>Meals</t>
        </is>
      </c>
      <c r="C15" s="83" t="inlineStr">
        <is>
          <t>in Hong Kong</t>
        </is>
      </c>
      <c r="D15" s="81" t="n"/>
      <c r="E15" s="92" t="n">
        <v>180</v>
      </c>
      <c r="F15" s="86" t="inlineStr">
        <is>
          <t>HKD</t>
        </is>
      </c>
      <c r="G15" s="87">
        <f>Compare!$B$6*$B$4</f>
        <v/>
      </c>
      <c r="H15" s="88">
        <f>E15*G15*IF(F15="USD",Compare!$B$8,IF(F15="CNY",Compare!$B$9,IF(F15="HKD",Compare!$B$10,1)))</f>
        <v/>
      </c>
      <c r="I15" s="93">
        <f>E15</f>
        <v/>
      </c>
      <c r="J15" s="87">
        <f>Compare!$B$7*$B$4</f>
        <v/>
      </c>
      <c r="K15" s="88">
        <f>I15*J15*IF(F15="USD",Compare!$B$8,IF(F15="CNY",Compare!$B$9,IF(F15="HKD",Compare!$B$10,1)))</f>
        <v/>
      </c>
      <c r="L15" s="90" t="inlineStr">
        <is>
          <t>ASSUMPTION ~180 HKD/person/day (cha chaan teng, canteens)</t>
        </is>
      </c>
    </row>
    <row r="16" ht="15" customHeight="1" s="56">
      <c r="A16" s="81" t="n"/>
      <c r="B16" s="82" t="inlineStr">
        <is>
          <t>MTR / buses (Octopus card)</t>
        </is>
      </c>
      <c r="C16" s="83" t="inlineStr">
        <is>
          <t>in Hong Kong</t>
        </is>
      </c>
      <c r="D16" s="81" t="n"/>
      <c r="E16" s="92" t="n">
        <v>40</v>
      </c>
      <c r="F16" s="86" t="inlineStr">
        <is>
          <t>HKD</t>
        </is>
      </c>
      <c r="G16" s="87">
        <f>Compare!$B$6*$B$4</f>
        <v/>
      </c>
      <c r="H16" s="88">
        <f>E16*G16*IF(F16="USD",Compare!$B$8,IF(F16="CNY",Compare!$B$9,IF(F16="HKD",Compare!$B$10,1)))</f>
        <v/>
      </c>
      <c r="I16" s="93">
        <f>E16</f>
        <v/>
      </c>
      <c r="J16" s="87">
        <f>Compare!$B$7*$B$4</f>
        <v/>
      </c>
      <c r="K16" s="88">
        <f>I16*J16*IF(F16="USD",Compare!$B$8,IF(F16="CNY",Compare!$B$9,IF(F16="HKD",Compare!$B$10,1)))</f>
        <v/>
      </c>
      <c r="L16" s="90" t="inlineStr">
        <is>
          <t>ASSUMPTION ~40 HKD/person/day</t>
        </is>
      </c>
    </row>
    <row r="17" ht="15" customHeight="1" s="56">
      <c r="A17" s="81" t="n"/>
      <c r="B17" s="82" t="inlineStr">
        <is>
          <t>Airport bus A10 / A12 (HKG ↔ Sheung Wan / Sai Ying Pun), both ways</t>
        </is>
      </c>
      <c r="C17" s="83" t="inlineStr">
        <is>
          <t>8 &amp; 11 Jan</t>
        </is>
      </c>
      <c r="D17" s="81" t="n"/>
      <c r="E17" s="92" t="n">
        <v>90</v>
      </c>
      <c r="F17" s="86" t="inlineStr">
        <is>
          <t>HKD</t>
        </is>
      </c>
      <c r="G17" s="87">
        <f>Compare!$B$6</f>
        <v/>
      </c>
      <c r="H17" s="88">
        <f>E17*G17*IF(F17="USD",Compare!$B$8,IF(F17="CNY",Compare!$B$9,IF(F17="HKD",Compare!$B$10,1)))</f>
        <v/>
      </c>
      <c r="I17" s="93">
        <f>E17</f>
        <v/>
      </c>
      <c r="J17" s="87">
        <f>Compare!$B$7</f>
        <v/>
      </c>
      <c r="K17" s="88">
        <f>I17*J17*IF(F17="USD",Compare!$B$8,IF(F17="CNY",Compare!$B$9,IF(F17="HKD",Compare!$B$10,1)))</f>
        <v/>
      </c>
      <c r="L17" s="90" t="inlineStr">
        <is>
          <t>ASSUMPTION ~HK$45 per person each way on the A-route airport buses (about 45–60 min) instead of the HK$115 Airport Express (saves HK$140 pp, ~₮0.26M for 4 people)</t>
        </is>
      </c>
    </row>
    <row r="18" ht="15" customHeight="1" s="56">
      <c r="A18" s="94" t="inlineStr">
        <is>
          <t>PAID PERSONALLY (university won't cover)</t>
        </is>
      </c>
      <c r="B18" s="95" t="n"/>
      <c r="C18" s="95" t="n"/>
      <c r="D18" s="95" t="n"/>
      <c r="E18" s="95" t="n"/>
      <c r="F18" s="95" t="n"/>
      <c r="G18" s="95" t="n"/>
      <c r="H18" s="95" t="n"/>
      <c r="I18" s="95" t="n"/>
      <c r="J18" s="95" t="n"/>
      <c r="K18" s="95" t="n"/>
      <c r="L18" s="95" t="n"/>
    </row>
    <row r="19" ht="15" customHeight="1" s="56">
      <c r="A19" s="79" t="inlineStr">
        <is>
          <t>Contest fee</t>
        </is>
      </c>
      <c r="B19" s="80" t="n"/>
      <c r="C19" s="80" t="n"/>
      <c r="D19" s="80" t="n"/>
      <c r="E19" s="80" t="n"/>
      <c r="F19" s="80" t="n"/>
      <c r="G19" s="80" t="n"/>
      <c r="H19" s="80" t="n"/>
      <c r="I19" s="80" t="n"/>
      <c r="J19" s="80" t="n"/>
      <c r="K19" s="80" t="n"/>
      <c r="L19" s="80" t="n"/>
    </row>
    <row r="20" ht="22.35" customHeight="1" s="56">
      <c r="A20" s="81" t="n"/>
      <c r="B20" s="82" t="inlineStr">
        <is>
          <t>Hong Kong regional registration fee (per team)</t>
        </is>
      </c>
      <c r="C20" s="83" t="inlineStr">
        <is>
          <t>TBC</t>
        </is>
      </c>
      <c r="D20" s="81" t="n"/>
      <c r="E20" s="85" t="n">
        <v>1800</v>
      </c>
      <c r="F20" s="86" t="inlineStr">
        <is>
          <t>HKD</t>
        </is>
      </c>
      <c r="G20" s="91" t="n">
        <v>1</v>
      </c>
      <c r="H20" s="88">
        <f>E20*G20*IF(F20="USD",Compare!$B$8,IF(F20="CNY",Compare!$B$9,IF(F20="HKD",Compare!$B$10,1)))</f>
        <v/>
      </c>
      <c r="I20" s="89">
        <f>E20</f>
        <v/>
      </c>
      <c r="J20" s="91" t="n">
        <v>1</v>
      </c>
      <c r="K20" s="88">
        <f>I20*J20*IF(F20="USD",Compare!$B$8,IF(F20="CNY",Compare!$B$9,IF(F20="HKD",Compare!$B$10,1)))</f>
        <v/>
      </c>
      <c r="L20" s="90" t="inlineStr">
        <is>
          <t>1,800 HKD/team at the 2025 Hong Kong regional (HKUST); 2026 host listed as HKU – confirm</t>
        </is>
      </c>
    </row>
    <row r="21" ht="15" customHeight="1" s="56">
      <c r="A21" s="79" t="inlineStr">
        <is>
          <t>Other</t>
        </is>
      </c>
      <c r="B21" s="80" t="n"/>
      <c r="C21" s="80" t="n"/>
      <c r="D21" s="80" t="n"/>
      <c r="E21" s="80" t="n"/>
      <c r="F21" s="80" t="n"/>
      <c r="G21" s="80" t="n"/>
      <c r="H21" s="80" t="n"/>
      <c r="I21" s="80" t="n"/>
      <c r="J21" s="80" t="n"/>
      <c r="K21" s="80" t="n"/>
      <c r="L21" s="80" t="n"/>
    </row>
    <row r="22" ht="15" customHeight="1" s="56">
      <c r="A22" s="81" t="n"/>
      <c r="B22" s="82" t="inlineStr">
        <is>
          <t>Taxi to/from Chinggis Khaan airport (UB), per trip</t>
        </is>
      </c>
      <c r="C22" s="83" t="inlineStr">
        <is>
          <t>out &amp; back</t>
        </is>
      </c>
      <c r="D22" s="84" t="n">
        <v>0.04166666666666666</v>
      </c>
      <c r="E22" s="92" t="n">
        <v>100000</v>
      </c>
      <c r="F22" s="86" t="inlineStr">
        <is>
          <t>MNT</t>
        </is>
      </c>
      <c r="G22" s="91" t="n">
        <v>2</v>
      </c>
      <c r="H22" s="88">
        <f>E22*G22*IF(F22="USD",Compare!$B$8,IF(F22="CNY",Compare!$B$9,IF(F22="HKD",Compare!$B$10,1)))</f>
        <v/>
      </c>
      <c r="I22" s="93">
        <f>E22</f>
        <v/>
      </c>
      <c r="J22" s="91" t="n">
        <v>2</v>
      </c>
      <c r="K22" s="88">
        <f>I22*J22*IF(F22="USD",Compare!$B$8,IF(F22="CNY",Compare!$B$9,IF(F22="HKD",Compare!$B$10,1)))</f>
        <v/>
      </c>
      <c r="L22" s="90" t="inlineStr">
        <is>
          <t>ASSUMPTION 100k MNT per trip for the group</t>
        </is>
      </c>
    </row>
    <row r="23" ht="15" customHeight="1" s="56">
      <c r="A23" s="81" t="n"/>
      <c r="B23" s="82" t="inlineStr">
        <is>
          <t>Travel medical insurance</t>
        </is>
      </c>
      <c r="C23" s="83" t="n"/>
      <c r="D23" s="81" t="n"/>
      <c r="E23" s="92" t="n">
        <v>30000</v>
      </c>
      <c r="F23" s="86" t="inlineStr">
        <is>
          <t>MNT</t>
        </is>
      </c>
      <c r="G23" s="87">
        <f>Compare!$B$6</f>
        <v/>
      </c>
      <c r="H23" s="88">
        <f>E23*G23*IF(F23="USD",Compare!$B$8,IF(F23="CNY",Compare!$B$9,IF(F23="HKD",Compare!$B$10,1)))</f>
        <v/>
      </c>
      <c r="I23" s="93">
        <f>E23</f>
        <v/>
      </c>
      <c r="J23" s="87">
        <f>Compare!$B$7</f>
        <v/>
      </c>
      <c r="K23" s="88">
        <f>I23*J23*IF(F23="USD",Compare!$B$8,IF(F23="CNY",Compare!$B$9,IF(F23="HKD",Compare!$B$10,1)))</f>
        <v/>
      </c>
      <c r="L23" s="90" t="inlineStr">
        <is>
          <t>ASSUMPTION ~30k MNT per person, Mongolian insurer</t>
        </is>
      </c>
    </row>
    <row r="24" ht="15" customHeight="1" s="56">
      <c r="A24" s="81" t="n"/>
      <c r="B24" s="82" t="inlineStr">
        <is>
          <t>Mobile data eSIM</t>
        </is>
      </c>
      <c r="C24" s="83" t="n"/>
      <c r="D24" s="81" t="n"/>
      <c r="E24" s="92" t="n">
        <v>10</v>
      </c>
      <c r="F24" s="86" t="inlineStr">
        <is>
          <t>USD</t>
        </is>
      </c>
      <c r="G24" s="87">
        <f>Compare!$B$6</f>
        <v/>
      </c>
      <c r="H24" s="88">
        <f>E24*G24*IF(F24="USD",Compare!$B$8,IF(F24="CNY",Compare!$B$9,IF(F24="HKD",Compare!$B$10,1)))</f>
        <v/>
      </c>
      <c r="I24" s="93">
        <f>E24</f>
        <v/>
      </c>
      <c r="J24" s="87">
        <f>Compare!$B$7</f>
        <v/>
      </c>
      <c r="K24" s="88">
        <f>I24*J24*IF(F24="USD",Compare!$B$8,IF(F24="CNY",Compare!$B$9,IF(F24="HKD",Compare!$B$10,1)))</f>
        <v/>
      </c>
      <c r="L24" s="90" t="inlineStr">
        <is>
          <t>ASSUMPTION ~$10 pp</t>
        </is>
      </c>
    </row>
    <row r="25" ht="22.35" customHeight="1" s="56">
      <c r="A25" s="81" t="n"/>
      <c r="B25" s="82" t="inlineStr">
        <is>
          <t>Visa</t>
        </is>
      </c>
      <c r="C25" s="83" t="n"/>
      <c r="D25" s="81" t="n"/>
      <c r="E25" s="85" t="n">
        <v>0</v>
      </c>
      <c r="F25" s="86" t="inlineStr">
        <is>
          <t>MNT</t>
        </is>
      </c>
      <c r="G25" s="87">
        <f>Compare!$B$6</f>
        <v/>
      </c>
      <c r="H25" s="88">
        <f>E25*G25*IF(F25="USD",Compare!$B$8,IF(F25="CNY",Compare!$B$9,IF(F25="HKD",Compare!$B$10,1)))</f>
        <v/>
      </c>
      <c r="I25" s="89">
        <f>E25</f>
        <v/>
      </c>
      <c r="J25" s="87">
        <f>Compare!$B$7</f>
        <v/>
      </c>
      <c r="K25" s="88">
        <f>I25*J25*IF(F25="USD",Compare!$B$8,IF(F25="CNY",Compare!$B$9,IF(F25="HKD",Compare!$B$10,1)))</f>
        <v/>
      </c>
      <c r="L25" s="90" t="inlineStr">
        <is>
          <t>Mongolian passports: visa-free (mainland China up to 30 days; Hong Kong up to 14 days)</t>
        </is>
      </c>
    </row>
    <row r="27" ht="15" customHeight="1" s="56">
      <c r="G27" s="60" t="n"/>
      <c r="H27" s="96" t="inlineStr">
        <is>
          <t>3 people – UNFUNDED</t>
        </is>
      </c>
      <c r="K27" s="96" t="inlineStr">
        <is>
          <t>4 people – FUNDED ₮12M</t>
        </is>
      </c>
    </row>
    <row r="28" ht="15" customHeight="1" s="56">
      <c r="G28" s="97" t="inlineStr">
        <is>
          <t>University-paid subtotal</t>
        </is>
      </c>
      <c r="H28" s="98">
        <f>SUM(H9:H17)</f>
        <v/>
      </c>
      <c r="K28" s="98">
        <f>SUM(K9:K17)</f>
        <v/>
      </c>
    </row>
    <row r="29" ht="15" customHeight="1" s="56">
      <c r="G29" s="99" t="inlineStr">
        <is>
          <t>Contingency</t>
        </is>
      </c>
      <c r="H29" s="100">
        <f>H28*Compare!$B$11</f>
        <v/>
      </c>
      <c r="K29" s="100">
        <f>K28*Compare!$B$11</f>
        <v/>
      </c>
    </row>
    <row r="30" ht="15" customHeight="1" s="56">
      <c r="G30" s="97" t="inlineStr">
        <is>
          <t>University-paid total incl. contingency</t>
        </is>
      </c>
      <c r="H30" s="98">
        <f>H28+H29</f>
        <v/>
      </c>
      <c r="K30" s="98">
        <f>K28+K29</f>
        <v/>
      </c>
    </row>
    <row r="31" ht="15" customHeight="1" s="56">
      <c r="G31" s="97" t="inlineStr">
        <is>
          <t>Funding left (negative = over)</t>
        </is>
      </c>
      <c r="H31" s="101">
        <f>Compare!$B$12-H30</f>
        <v/>
      </c>
      <c r="K31" s="101">
        <f>Compare!$B$5-K30</f>
        <v/>
      </c>
    </row>
    <row r="32" ht="15" customHeight="1" s="56">
      <c r="G32" s="97" t="inlineStr">
        <is>
          <t>Personal costs – team</t>
        </is>
      </c>
      <c r="H32" s="102">
        <f>SUM(H19:H25)</f>
        <v/>
      </c>
      <c r="K32" s="102">
        <f>SUM(K19:K25)</f>
        <v/>
      </c>
    </row>
    <row r="33" ht="15" customHeight="1" s="56">
      <c r="G33" s="97" t="inlineStr">
        <is>
          <t>Out-of-pocket per person (personal + any overrun)</t>
        </is>
      </c>
      <c r="H33" s="102">
        <f>(H32+MAX(0,-H31))/Compare!$B$6</f>
        <v/>
      </c>
      <c r="K33" s="102">
        <f>(K32+MAX(0,-K31))/Compare!$B$7</f>
        <v/>
      </c>
    </row>
    <row r="34" ht="15" customHeight="1" s="56">
      <c r="G34" s="97" t="inlineStr">
        <is>
          <t>Whole trip cost (university + personal)</t>
        </is>
      </c>
      <c r="H34" s="103">
        <f>H30+H32</f>
        <v/>
      </c>
      <c r="K34" s="103">
        <f>K30+K32</f>
        <v/>
      </c>
    </row>
    <row r="35" ht="15" customHeight="1" s="56">
      <c r="G35" s="99" t="inlineStr">
        <is>
          <t>Time in planes &amp; trains</t>
        </is>
      </c>
      <c r="H35" s="104">
        <f>SUM(D10:D11)</f>
        <v/>
      </c>
      <c r="K35" s="104">
        <f>SUM(D10:D11)</f>
        <v/>
      </c>
    </row>
    <row r="37" ht="15" customHeight="1" s="56">
      <c r="A37" s="72" t="inlineStr">
        <is>
          <t>Key facts</t>
        </is>
      </c>
    </row>
    <row r="38" ht="15" customHeight="1" s="56">
      <c r="A38" s="75" t="inlineStr">
        <is>
          <t>Contest</t>
        </is>
      </c>
      <c r="B38" s="74" t="inlineStr">
        <is>
          <t>Asia Hong Kong Regional, 9–10 Jan 2027 (provisional), host listed as HKU – confirm.</t>
        </is>
      </c>
    </row>
    <row r="39" ht="15" customHeight="1" s="56">
      <c r="A39" s="75" t="inlineStr">
        <is>
          <t>Why this plan</t>
        </is>
      </c>
      <c r="B39" s="74" t="inlineStr">
        <is>
          <t>Flights are fixed (MIAT nonstop is the cheapest way in). The only room for the ₮12M cap is the hotel and the airport transfer, so this plan uses 2 rooms at a hotel next to HKU and the airport bus.</t>
        </is>
      </c>
    </row>
    <row r="40" ht="15" customHeight="1" s="56">
      <c r="A40" s="75" t="inlineStr">
        <is>
          <t>Entry</t>
        </is>
      </c>
      <c r="B40" s="74" t="inlineStr">
        <is>
          <t>Mongolian passport holders can visit Hong Kong visa-free for up to 14 days.</t>
        </is>
      </c>
    </row>
    <row r="41" ht="15" customHeight="1" s="56">
      <c r="A41" s="75" t="inlineStr">
        <is>
          <t>Trade-off</t>
        </is>
      </c>
      <c r="B41" s="74" t="inlineStr">
        <is>
          <t>Fits ₮12M only before the 10% contingency (about ₮11.7M); with contingency it is ~₮0.9M over. Lock the flights first – they are 70% of the cost. Read noise reviews for the hotel before booking.</t>
        </is>
      </c>
    </row>
    <row r="43" ht="15" customHeight="1" s="56">
      <c r="A43" s="72" t="inlineStr">
        <is>
          <t>Day-by-day plan</t>
        </is>
      </c>
    </row>
    <row r="44" ht="15" customHeight="1" s="56">
      <c r="A44" s="96" t="inlineStr">
        <is>
          <t>Date</t>
        </is>
      </c>
      <c r="B44" s="96" t="inlineStr">
        <is>
          <t>Sleep in</t>
        </is>
      </c>
      <c r="C44" s="96" t="inlineStr">
        <is>
          <t>What happens</t>
        </is>
      </c>
    </row>
    <row r="45" ht="15" customHeight="1" s="56">
      <c r="A45" s="74" t="inlineStr">
        <is>
          <t>Fri 8 Jan</t>
        </is>
      </c>
      <c r="B45" s="74" t="inlineStr">
        <is>
          <t>Hong Kong</t>
        </is>
      </c>
      <c r="C45" s="74" t="inlineStr">
        <is>
          <t>MIAT OM297 UB 06:45 → Hong Kong 11:25 (4 h 40 min). Airport bus, check in at the Sai Ying Pun hotel (nap).</t>
        </is>
      </c>
    </row>
    <row r="46" ht="15" customHeight="1" s="56">
      <c r="A46" s="74" t="inlineStr">
        <is>
          <t>Sat 9 Jan</t>
        </is>
      </c>
      <c r="B46" s="74" t="inlineStr">
        <is>
          <t>Hong Kong</t>
        </is>
      </c>
      <c r="C46" s="74" t="inlineStr">
        <is>
          <t>Registration, opening and warm-up at the University of Hong Kong (2025 HK regional used the same day-1 pattern).</t>
        </is>
      </c>
    </row>
    <row r="47" ht="15" customHeight="1" s="56">
      <c r="A47" s="74" t="inlineStr">
        <is>
          <t>Sun 10 Jan</t>
        </is>
      </c>
      <c r="B47" s="74" t="inlineStr">
        <is>
          <t>Hong Kong</t>
        </is>
      </c>
      <c r="C47" s="74" t="inlineStr">
        <is>
          <t>HONG KONG REGIONAL contest day, closing &amp; solutions.</t>
        </is>
      </c>
    </row>
    <row r="48" ht="15" customHeight="1" s="56">
      <c r="A48" s="74" t="inlineStr">
        <is>
          <t>Mon 11 Jan</t>
        </is>
      </c>
      <c r="B48" s="74" t="inlineStr">
        <is>
          <t>Home</t>
        </is>
      </c>
      <c r="C48" s="74" t="inlineStr">
        <is>
          <t>MIAT OM298 Hong Kong 12:25 → UB 17:05.</t>
        </is>
      </c>
    </row>
    <row r="50" ht="15" customHeight="1" s="56">
      <c r="A50" s="72" t="inlineStr">
        <is>
          <t>Door-to-door travel times</t>
        </is>
      </c>
    </row>
    <row r="51" ht="15" customHeight="1" s="56">
      <c r="A51" s="96" t="inlineStr">
        <is>
          <t>Date</t>
        </is>
      </c>
      <c r="B51" s="96" t="inlineStr">
        <is>
          <t>Leg</t>
        </is>
      </c>
      <c r="C51" s="96" t="inlineStr">
        <is>
          <t>Mode</t>
        </is>
      </c>
      <c r="D51" s="96" t="inlineStr">
        <is>
          <t>Expected time</t>
        </is>
      </c>
      <c r="E51" s="96" t="inlineStr">
        <is>
          <t>Notes</t>
        </is>
      </c>
    </row>
    <row r="52" ht="15" customHeight="1" s="56">
      <c r="A52" s="105" t="inlineStr">
        <is>
          <t>8 Jan</t>
        </is>
      </c>
      <c r="B52" s="105" t="inlineStr">
        <is>
          <t>Home → Chinggis Khaan airport</t>
        </is>
      </c>
      <c r="C52" s="82" t="inlineStr">
        <is>
          <t>Taxi (~50 km)</t>
        </is>
      </c>
      <c r="D52" s="104" t="n">
        <v>0.04166666666666666</v>
      </c>
      <c r="E52" s="106" t="inlineStr">
        <is>
          <t>Leave ~03:45 for 06:45 flight</t>
        </is>
      </c>
      <c r="F52" s="107" t="n"/>
      <c r="G52" s="107" t="n"/>
      <c r="H52" s="107" t="n"/>
      <c r="I52" s="107" t="n"/>
      <c r="J52" s="107" t="n"/>
      <c r="K52" s="107" t="n"/>
      <c r="L52" s="107" t="n"/>
    </row>
    <row r="53" ht="26.85" customHeight="1" s="56">
      <c r="A53" s="105" t="inlineStr">
        <is>
          <t>8 Jan</t>
        </is>
      </c>
      <c r="B53" s="105" t="inlineStr">
        <is>
          <t>Ulaanbaatar → Hong Kong (HKG)</t>
        </is>
      </c>
      <c r="C53" s="82" t="inlineStr">
        <is>
          <t>MIAT OM297 06:45–11:25</t>
        </is>
      </c>
      <c r="D53" s="84" t="n">
        <v>0.1944444444444444</v>
      </c>
      <c r="E53" s="106" t="n"/>
      <c r="F53" s="107" t="n"/>
      <c r="G53" s="107" t="n"/>
      <c r="H53" s="107" t="n"/>
      <c r="I53" s="107" t="n"/>
      <c r="J53" s="107" t="n"/>
      <c r="K53" s="107" t="n"/>
      <c r="L53" s="107" t="n"/>
    </row>
    <row r="54" ht="15" customHeight="1" s="56">
      <c r="A54" s="105" t="inlineStr">
        <is>
          <t>8 Jan</t>
        </is>
      </c>
      <c r="B54" s="105" t="inlineStr">
        <is>
          <t>HKG arrival: immigration, bags</t>
        </is>
      </c>
      <c r="C54" s="82" t="inlineStr">
        <is>
          <t>—</t>
        </is>
      </c>
      <c r="D54" s="104" t="n">
        <v>0.02777777777777778</v>
      </c>
      <c r="E54" s="106" t="inlineStr">
        <is>
          <t>Estimate</t>
        </is>
      </c>
      <c r="F54" s="107" t="n"/>
      <c r="G54" s="107" t="n"/>
      <c r="H54" s="107" t="n"/>
      <c r="I54" s="107" t="n"/>
      <c r="J54" s="107" t="n"/>
      <c r="K54" s="107" t="n"/>
      <c r="L54" s="107" t="n"/>
    </row>
    <row r="55" ht="39.55" customHeight="1" s="56">
      <c r="A55" s="105" t="inlineStr">
        <is>
          <t>8 Jan</t>
        </is>
      </c>
      <c r="B55" s="105" t="inlineStr">
        <is>
          <t>HKG → Sai Ying Pun hotel</t>
        </is>
      </c>
      <c r="C55" s="82" t="inlineStr">
        <is>
          <t>Airport bus to Sheung Wan / Sai Ying Pun + walk</t>
        </is>
      </c>
      <c r="D55" s="104" t="n">
        <v>0.03472222222222222</v>
      </c>
      <c r="E55" s="106" t="inlineStr">
        <is>
          <t>Estimate</t>
        </is>
      </c>
      <c r="F55" s="107" t="n"/>
      <c r="G55" s="107" t="n"/>
      <c r="H55" s="107" t="n"/>
      <c r="I55" s="107" t="n"/>
      <c r="J55" s="107" t="n"/>
      <c r="K55" s="107" t="n"/>
      <c r="L55" s="107" t="n"/>
    </row>
    <row r="56" ht="15" customHeight="1" s="56">
      <c r="A56" s="105" t="inlineStr">
        <is>
          <t>9–10 Jan</t>
        </is>
      </c>
      <c r="B56" s="105" t="inlineStr">
        <is>
          <t>Hotel ↔ HKU (each way)</t>
        </is>
      </c>
      <c r="C56" s="82" t="inlineStr">
        <is>
          <t>—</t>
        </is>
      </c>
      <c r="D56" s="108" t="inlineStr">
        <is>
          <t>daily</t>
        </is>
      </c>
      <c r="E56" s="106" t="inlineStr">
        <is>
          <t>~10–15 min (walk or 1 MTR stop to HKU station)</t>
        </is>
      </c>
      <c r="F56" s="107" t="n"/>
      <c r="G56" s="107" t="n"/>
      <c r="H56" s="107" t="n"/>
      <c r="I56" s="107" t="n"/>
      <c r="J56" s="107" t="n"/>
      <c r="K56" s="107" t="n"/>
      <c r="L56" s="107" t="n"/>
    </row>
    <row r="57" ht="26.85" customHeight="1" s="56">
      <c r="A57" s="105" t="inlineStr">
        <is>
          <t>11 Jan</t>
        </is>
      </c>
      <c r="B57" s="105" t="inlineStr">
        <is>
          <t>Hotel → HKG</t>
        </is>
      </c>
      <c r="C57" s="82" t="inlineStr">
        <is>
          <t>Walk + airport bus</t>
        </is>
      </c>
      <c r="D57" s="104" t="n">
        <v>0.03472222222222222</v>
      </c>
      <c r="E57" s="106" t="inlineStr">
        <is>
          <t>Estimate</t>
        </is>
      </c>
      <c r="F57" s="107" t="n"/>
      <c r="G57" s="107" t="n"/>
      <c r="H57" s="107" t="n"/>
      <c r="I57" s="107" t="n"/>
      <c r="J57" s="107" t="n"/>
      <c r="K57" s="107" t="n"/>
      <c r="L57" s="107" t="n"/>
    </row>
    <row r="58" ht="26.85" customHeight="1" s="56">
      <c r="A58" s="105" t="inlineStr">
        <is>
          <t>11 Jan</t>
        </is>
      </c>
      <c r="B58" s="105" t="inlineStr">
        <is>
          <t>Hong Kong (HKG) → Ulaanbaatar</t>
        </is>
      </c>
      <c r="C58" s="82" t="inlineStr">
        <is>
          <t>MIAT OM298 12:25–17:05</t>
        </is>
      </c>
      <c r="D58" s="84" t="n">
        <v>0.1944444444444444</v>
      </c>
      <c r="E58" s="106" t="inlineStr">
        <is>
          <t>Be at HKG by ~10:25</t>
        </is>
      </c>
      <c r="F58" s="107" t="n"/>
      <c r="G58" s="107" t="n"/>
      <c r="H58" s="107" t="n"/>
      <c r="I58" s="107" t="n"/>
      <c r="J58" s="107" t="n"/>
      <c r="K58" s="107" t="n"/>
      <c r="L58" s="107" t="n"/>
    </row>
    <row r="59" ht="14.15" customHeight="1" s="56">
      <c r="A59" s="105" t="inlineStr">
        <is>
          <t>11 Jan</t>
        </is>
      </c>
      <c r="B59" s="105" t="inlineStr">
        <is>
          <t>Chinggis Khaan airport → home</t>
        </is>
      </c>
      <c r="C59" s="82" t="inlineStr">
        <is>
          <t>Taxi</t>
        </is>
      </c>
      <c r="D59" s="104" t="n">
        <v>0.04166666666666666</v>
      </c>
      <c r="E59" s="106" t="n"/>
      <c r="F59" s="107" t="n"/>
      <c r="G59" s="107" t="n"/>
      <c r="H59" s="107" t="n"/>
      <c r="I59" s="107" t="n"/>
      <c r="J59" s="107" t="n"/>
      <c r="K59" s="107" t="n"/>
      <c r="L59" s="107" t="n"/>
    </row>
    <row r="60" ht="15" customHeight="1" s="56">
      <c r="C60" s="59" t="inlineStr">
        <is>
          <t>Total door-to-door</t>
        </is>
      </c>
      <c r="D60" s="109">
        <f>SUM(D52:D59)</f>
        <v/>
      </c>
    </row>
  </sheetData>
  <mergeCells count="18">
    <mergeCell ref="E57:L57"/>
    <mergeCell ref="E56:L56"/>
    <mergeCell ref="E58:L58"/>
    <mergeCell ref="C45:L45"/>
    <mergeCell ref="B38:L38"/>
    <mergeCell ref="E59:L59"/>
    <mergeCell ref="E51:L51"/>
    <mergeCell ref="C48:L48"/>
    <mergeCell ref="B39:L39"/>
    <mergeCell ref="E54:L54"/>
    <mergeCell ref="C44:L44"/>
    <mergeCell ref="E55:L55"/>
    <mergeCell ref="E52:L52"/>
    <mergeCell ref="C46:L46"/>
    <mergeCell ref="C47:L47"/>
    <mergeCell ref="E53:L53"/>
    <mergeCell ref="B41:L41"/>
    <mergeCell ref="B40:L4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2.xml><?xml version="1.0" encoding="utf-8"?>
<worksheet xmlns="http://schemas.openxmlformats.org/spreadsheetml/2006/main">
  <sheetPr filterMode="0">
    <outlinePr summaryBelow="1" summaryRight="1"/>
    <pageSetUpPr fitToPage="0"/>
  </sheetPr>
  <dimension ref="A1:L60"/>
  <sheetViews>
    <sheetView workbookViewId="0">
      <pane xSplit="2" ySplit="7" topLeftCell="C8" activePane="bottomRight" state="frozen"/>
      <selection pane="topRight" activeCell="A1" sqref="A1"/>
      <selection pane="bottomLeft" activeCell="A1" sqref="A1"/>
      <selection pane="bottomRight" activeCell="A1" sqref="A1"/>
    </sheetView>
  </sheetViews>
  <sheetFormatPr baseColWidth="8" defaultColWidth="8.6796875" defaultRowHeight="15" zeroHeight="0" outlineLevelRow="0"/>
  <cols>
    <col width="26" customWidth="1" style="55" min="1" max="1"/>
    <col width="52" customWidth="1" style="55" min="2" max="2"/>
    <col width="20" customWidth="1" style="55" min="3" max="3"/>
    <col width="15" customWidth="1" style="55" min="4" max="4"/>
    <col width="13" customWidth="1" style="55" min="5" max="5"/>
    <col width="9" customWidth="1" style="55" min="6" max="7"/>
    <col width="17" customWidth="1" style="55" min="8" max="8"/>
    <col width="13" customWidth="1" style="55" min="9" max="9"/>
    <col width="9" customWidth="1" style="55" min="10" max="10"/>
    <col width="17" customWidth="1" style="55" min="11" max="11"/>
    <col width="58" customWidth="1" style="55" min="12" max="12"/>
  </cols>
  <sheetData>
    <row r="1" ht="17.35" customHeight="1" s="56">
      <c r="A1" s="57" t="inlineStr">
        <is>
          <t>Hong Kong – Sleep priority</t>
        </is>
      </c>
    </row>
    <row r="2" ht="15" customHeight="1" s="56">
      <c r="A2" s="62" t="inlineStr">
        <is>
          <t>Sleep over distance: MIAT nonstop, two rooms with four separate twin beds and private bathrooms in a well-reviewed guesthouse in Kowloon (~35–40 min MTR to HKU), airport bus; stays under the ₮12M cap before contingency.</t>
        </is>
      </c>
    </row>
    <row r="4" ht="15" customHeight="1" s="56">
      <c r="A4" s="60" t="inlineStr">
        <is>
          <t>Days in destination (meals &amp; local transport)</t>
        </is>
      </c>
      <c r="B4" s="76" t="n">
        <v>3.5</v>
      </c>
      <c r="C4" s="62" t="inlineStr">
        <is>
          <t>8 Jan midday → 11 Jan morning</t>
        </is>
      </c>
    </row>
    <row r="5" ht="15" customHeight="1" s="56">
      <c r="A5" s="62" t="inlineStr">
        <is>
          <t>Shared inputs are on the Compare sheet. Scroll down for the day-by-day plan and door-to-door travel times.</t>
        </is>
      </c>
    </row>
    <row r="7" ht="31.5" customHeight="1" s="56">
      <c r="A7" s="66" t="inlineStr">
        <is>
          <t>Category</t>
        </is>
      </c>
      <c r="B7" s="66" t="inlineStr">
        <is>
          <t>Item</t>
        </is>
      </c>
      <c r="C7" s="66" t="inlineStr">
        <is>
          <t>Date</t>
        </is>
      </c>
      <c r="D7" s="66" t="inlineStr">
        <is>
          <t>Travel time</t>
        </is>
      </c>
      <c r="E7" s="66" t="inlineStr">
        <is>
          <t>Unit cost (3 ppl)</t>
        </is>
      </c>
      <c r="F7" s="66" t="inlineStr">
        <is>
          <t>Currency</t>
        </is>
      </c>
      <c r="G7" s="66" t="inlineStr">
        <is>
          <t>Qty (3 ppl)</t>
        </is>
      </c>
      <c r="H7" s="66" t="inlineStr">
        <is>
          <t>Total MNT – 3 people</t>
        </is>
      </c>
      <c r="I7" s="66" t="inlineStr">
        <is>
          <t>Unit cost (4 ppl)</t>
        </is>
      </c>
      <c r="J7" s="66" t="inlineStr">
        <is>
          <t>Qty (4 ppl)</t>
        </is>
      </c>
      <c r="K7" s="66" t="inlineStr">
        <is>
          <t>Total MNT – 4 people</t>
        </is>
      </c>
      <c r="L7" s="66" t="inlineStr">
        <is>
          <t>Source / notes</t>
        </is>
      </c>
    </row>
    <row r="8" ht="15" customHeight="1" s="56">
      <c r="A8" s="77" t="inlineStr">
        <is>
          <t>PAID BY UNIVERSITY</t>
        </is>
      </c>
      <c r="B8" s="78" t="n"/>
      <c r="C8" s="78" t="n"/>
      <c r="D8" s="78" t="n"/>
      <c r="E8" s="78" t="n"/>
      <c r="F8" s="78" t="n"/>
      <c r="G8" s="78" t="n"/>
      <c r="H8" s="78" t="n"/>
      <c r="I8" s="78" t="n"/>
      <c r="J8" s="78" t="n"/>
      <c r="K8" s="78" t="n"/>
      <c r="L8" s="78" t="n"/>
    </row>
    <row r="9" ht="15" customHeight="1" s="56">
      <c r="A9" s="79" t="inlineStr">
        <is>
          <t>Flights</t>
        </is>
      </c>
      <c r="B9" s="80" t="n"/>
      <c r="C9" s="80" t="n"/>
      <c r="D9" s="80" t="n"/>
      <c r="E9" s="80" t="n"/>
      <c r="F9" s="80" t="n"/>
      <c r="G9" s="80" t="n"/>
      <c r="H9" s="80" t="n"/>
      <c r="I9" s="80" t="n"/>
      <c r="J9" s="80" t="n"/>
      <c r="K9" s="80" t="n"/>
      <c r="L9" s="80" t="n"/>
    </row>
    <row r="10" ht="26.85" customHeight="1" s="56">
      <c r="A10" s="81" t="n"/>
      <c r="B10" s="82" t="inlineStr">
        <is>
          <t>MIAT OM297 Ulaanbaatar → Hong Kong, nonstop 06:45–11:25</t>
        </is>
      </c>
      <c r="C10" s="83" t="inlineStr">
        <is>
          <t>8 Jan</t>
        </is>
      </c>
      <c r="D10" s="84" t="n">
        <v>0.1944444444444444</v>
      </c>
      <c r="E10" s="85" t="n">
        <v>293</v>
      </c>
      <c r="F10" s="86" t="inlineStr">
        <is>
          <t>USD</t>
        </is>
      </c>
      <c r="G10" s="87">
        <f>Compare!$B$6</f>
        <v/>
      </c>
      <c r="H10" s="88">
        <f>E10*G10*IF(F10="USD",Compare!$B$8,IF(F10="CNY",Compare!$B$9,IF(F10="HKD",Compare!$B$10,1)))</f>
        <v/>
      </c>
      <c r="I10" s="89">
        <f>E10</f>
        <v/>
      </c>
      <c r="J10" s="87">
        <f>Compare!$B$7</f>
        <v/>
      </c>
      <c r="K10" s="88">
        <f>I10*J10*IF(F10="USD",Compare!$B$8,IF(F10="CNY",Compare!$B$9,IF(F10="HKD",Compare!$B$10,1)))</f>
        <v/>
      </c>
      <c r="L10" s="90" t="inlineStr">
        <is>
          <t>Trip.com 10 Oct: MIAT nonstop 07:15–11:50 round trip $586 pp (8–11 Jan), split half each way = $293 (SlickTrip $593; $583 on 30 Sep). Cathay codeshare $626; via Seoul $783+</t>
        </is>
      </c>
    </row>
    <row r="11" ht="26.85" customHeight="1" s="56">
      <c r="A11" s="81" t="n"/>
      <c r="B11" s="82" t="inlineStr">
        <is>
          <t>MIAT OM298 Hong Kong → Ulaanbaatar, nonstop 12:25–17:05</t>
        </is>
      </c>
      <c r="C11" s="83" t="inlineStr">
        <is>
          <t>11 Jan</t>
        </is>
      </c>
      <c r="D11" s="84" t="n">
        <v>0.1944444444444444</v>
      </c>
      <c r="E11" s="85" t="n">
        <v>293</v>
      </c>
      <c r="F11" s="86" t="inlineStr">
        <is>
          <t>USD</t>
        </is>
      </c>
      <c r="G11" s="87">
        <f>Compare!$B$6</f>
        <v/>
      </c>
      <c r="H11" s="88">
        <f>E11*G11*IF(F11="USD",Compare!$B$8,IF(F11="CNY",Compare!$B$9,IF(F11="HKD",Compare!$B$10,1)))</f>
        <v/>
      </c>
      <c r="I11" s="89">
        <f>E11</f>
        <v/>
      </c>
      <c r="J11" s="87">
        <f>Compare!$B$7</f>
        <v/>
      </c>
      <c r="K11" s="88">
        <f>I11*J11*IF(F11="USD",Compare!$B$8,IF(F11="CNY",Compare!$B$9,IF(F11="HKD",Compare!$B$10,1)))</f>
        <v/>
      </c>
      <c r="L11" s="90" t="inlineStr">
        <is>
          <t>Return half of the $586 pp Trip.com round trip</t>
        </is>
      </c>
    </row>
    <row r="12" ht="15" customHeight="1" s="56">
      <c r="A12" s="79" t="inlineStr">
        <is>
          <t>Accommodation</t>
        </is>
      </c>
      <c r="B12" s="80" t="n"/>
      <c r="C12" s="80" t="n"/>
      <c r="D12" s="80" t="n"/>
      <c r="E12" s="80" t="n"/>
      <c r="F12" s="80" t="n"/>
      <c r="G12" s="80" t="n"/>
      <c r="H12" s="80" t="n"/>
      <c r="I12" s="80" t="n"/>
      <c r="J12" s="80" t="n"/>
      <c r="K12" s="80" t="n"/>
      <c r="L12" s="80" t="n"/>
    </row>
    <row r="13" ht="26.85" customHeight="1" s="56">
      <c r="A13" s="81" t="n"/>
      <c r="B13" s="82" t="inlineStr">
        <is>
          <t>Good Fortune Inn, Kowloon (3 ppl: triple room; 4 ppl: 2 rooms, 2 twin beds each, private bathroom; ~35–40 min MTR to HKU)</t>
        </is>
      </c>
      <c r="C13" s="83" t="inlineStr">
        <is>
          <t>8–11 Jan (3 nights)</t>
        </is>
      </c>
      <c r="D13" s="81" t="n"/>
      <c r="E13" s="85" t="n">
        <v>586.33</v>
      </c>
      <c r="F13" s="86" t="inlineStr">
        <is>
          <t>HKD</t>
        </is>
      </c>
      <c r="G13" s="91" t="n">
        <v>3</v>
      </c>
      <c r="H13" s="88">
        <f>E13*G13*IF(F13="USD",Compare!$B$8,IF(F13="CNY",Compare!$B$9,IF(F13="HKD",Compare!$B$10,1)))</f>
        <v/>
      </c>
      <c r="I13" s="85" t="n">
        <v>963</v>
      </c>
      <c r="J13" s="91" t="n">
        <v>3</v>
      </c>
      <c r="K13" s="88">
        <f>I13*J13*IF(F13="USD",Compare!$B$8,IF(F13="CNY",Compare!$B$9,IF(F13="HKD",Compare!$B$10,1)))</f>
        <v/>
      </c>
      <c r="L13" s="90" t="inlineStr">
        <is>
          <t>Booking.com 10 Oct, 8–11 Jan: HK$1,759 (3 ppl, triple room) / HK$2,889 (4 ppl, 2 rooms with 4 twin beds) for 3 nights; rated 8.6 (715 reviews). Alternatives with real hotel rooms: ALVA Hotel by Royal, Tsuen Wan (8.5, 1,038 reviews) HK$3,890, two queen beds, ~50 min to HKU; Sleep Inn (8.4) HK$3,401 but one full bed per room (two people share a bed)</t>
        </is>
      </c>
    </row>
    <row r="14" ht="15" customHeight="1" s="56">
      <c r="A14" s="79" t="inlineStr">
        <is>
          <t>Meals &amp; local transport</t>
        </is>
      </c>
      <c r="B14" s="80" t="n"/>
      <c r="C14" s="80" t="n"/>
      <c r="D14" s="80" t="n"/>
      <c r="E14" s="80" t="n"/>
      <c r="F14" s="80" t="n"/>
      <c r="G14" s="80" t="n"/>
      <c r="H14" s="80" t="n"/>
      <c r="I14" s="80" t="n"/>
      <c r="J14" s="80" t="n"/>
      <c r="K14" s="80" t="n"/>
      <c r="L14" s="80" t="n"/>
    </row>
    <row r="15" ht="15" customHeight="1" s="56">
      <c r="A15" s="81" t="n"/>
      <c r="B15" s="82" t="inlineStr">
        <is>
          <t>Meals</t>
        </is>
      </c>
      <c r="C15" s="83" t="inlineStr">
        <is>
          <t>in Hong Kong</t>
        </is>
      </c>
      <c r="D15" s="81" t="n"/>
      <c r="E15" s="92" t="n">
        <v>180</v>
      </c>
      <c r="F15" s="86" t="inlineStr">
        <is>
          <t>HKD</t>
        </is>
      </c>
      <c r="G15" s="87">
        <f>Compare!$B$6*$B$4</f>
        <v/>
      </c>
      <c r="H15" s="88">
        <f>E15*G15*IF(F15="USD",Compare!$B$8,IF(F15="CNY",Compare!$B$9,IF(F15="HKD",Compare!$B$10,1)))</f>
        <v/>
      </c>
      <c r="I15" s="93">
        <f>E15</f>
        <v/>
      </c>
      <c r="J15" s="87">
        <f>Compare!$B$7*$B$4</f>
        <v/>
      </c>
      <c r="K15" s="88">
        <f>I15*J15*IF(F15="USD",Compare!$B$8,IF(F15="CNY",Compare!$B$9,IF(F15="HKD",Compare!$B$10,1)))</f>
        <v/>
      </c>
      <c r="L15" s="90" t="inlineStr">
        <is>
          <t>ASSUMPTION ~180 HKD/person/day (cha chaan teng, canteens)</t>
        </is>
      </c>
    </row>
    <row r="16" ht="15" customHeight="1" s="56">
      <c r="A16" s="81" t="n"/>
      <c r="B16" s="82" t="inlineStr">
        <is>
          <t>MTR / buses (Octopus card)</t>
        </is>
      </c>
      <c r="C16" s="83" t="inlineStr">
        <is>
          <t>in Hong Kong</t>
        </is>
      </c>
      <c r="D16" s="81" t="n"/>
      <c r="E16" s="92" t="n">
        <v>40</v>
      </c>
      <c r="F16" s="86" t="inlineStr">
        <is>
          <t>HKD</t>
        </is>
      </c>
      <c r="G16" s="87">
        <f>Compare!$B$6*$B$4</f>
        <v/>
      </c>
      <c r="H16" s="88">
        <f>E16*G16*IF(F16="USD",Compare!$B$8,IF(F16="CNY",Compare!$B$9,IF(F16="HKD",Compare!$B$10,1)))</f>
        <v/>
      </c>
      <c r="I16" s="93">
        <f>E16</f>
        <v/>
      </c>
      <c r="J16" s="87">
        <f>Compare!$B$7*$B$4</f>
        <v/>
      </c>
      <c r="K16" s="88">
        <f>I16*J16*IF(F16="USD",Compare!$B$8,IF(F16="CNY",Compare!$B$9,IF(F16="HKD",Compare!$B$10,1)))</f>
        <v/>
      </c>
      <c r="L16" s="90" t="inlineStr">
        <is>
          <t>ASSUMPTION ~40 HKD/person/day</t>
        </is>
      </c>
    </row>
    <row r="17" ht="15" customHeight="1" s="56">
      <c r="A17" s="81" t="n"/>
      <c r="B17" s="82" t="inlineStr">
        <is>
          <t>Airport bus A21 (HKG ↔ Kowloon / Yau Ma Tei), both ways</t>
        </is>
      </c>
      <c r="C17" s="83" t="inlineStr">
        <is>
          <t>8 &amp; 11 Jan</t>
        </is>
      </c>
      <c r="D17" s="81" t="n"/>
      <c r="E17" s="92" t="n">
        <v>80</v>
      </c>
      <c r="F17" s="86" t="inlineStr">
        <is>
          <t>HKD</t>
        </is>
      </c>
      <c r="G17" s="87">
        <f>Compare!$B$6</f>
        <v/>
      </c>
      <c r="H17" s="88">
        <f>E17*G17*IF(F17="USD",Compare!$B$8,IF(F17="CNY",Compare!$B$9,IF(F17="HKD",Compare!$B$10,1)))</f>
        <v/>
      </c>
      <c r="I17" s="93">
        <f>E17</f>
        <v/>
      </c>
      <c r="J17" s="87">
        <f>Compare!$B$7</f>
        <v/>
      </c>
      <c r="K17" s="88">
        <f>I17*J17*IF(F17="USD",Compare!$B$8,IF(F17="CNY",Compare!$B$9,IF(F17="HKD",Compare!$B$10,1)))</f>
        <v/>
      </c>
      <c r="L17" s="90" t="inlineStr">
        <is>
          <t>ASSUMPTION ~HK$40 per person each way on the A21 airport bus (~60 min) instead of the HK$115 Airport Express + walk</t>
        </is>
      </c>
    </row>
    <row r="18" ht="15" customHeight="1" s="56">
      <c r="A18" s="94" t="inlineStr">
        <is>
          <t>PAID PERSONALLY (university won't cover)</t>
        </is>
      </c>
      <c r="B18" s="95" t="n"/>
      <c r="C18" s="95" t="n"/>
      <c r="D18" s="95" t="n"/>
      <c r="E18" s="95" t="n"/>
      <c r="F18" s="95" t="n"/>
      <c r="G18" s="95" t="n"/>
      <c r="H18" s="95" t="n"/>
      <c r="I18" s="95" t="n"/>
      <c r="J18" s="95" t="n"/>
      <c r="K18" s="95" t="n"/>
      <c r="L18" s="95" t="n"/>
    </row>
    <row r="19" ht="15" customHeight="1" s="56">
      <c r="A19" s="79" t="inlineStr">
        <is>
          <t>Contest fee</t>
        </is>
      </c>
      <c r="B19" s="80" t="n"/>
      <c r="C19" s="80" t="n"/>
      <c r="D19" s="80" t="n"/>
      <c r="E19" s="80" t="n"/>
      <c r="F19" s="80" t="n"/>
      <c r="G19" s="80" t="n"/>
      <c r="H19" s="80" t="n"/>
      <c r="I19" s="80" t="n"/>
      <c r="J19" s="80" t="n"/>
      <c r="K19" s="80" t="n"/>
      <c r="L19" s="80" t="n"/>
    </row>
    <row r="20" ht="22.35" customHeight="1" s="56">
      <c r="A20" s="81" t="n"/>
      <c r="B20" s="82" t="inlineStr">
        <is>
          <t>Hong Kong regional registration fee (per team)</t>
        </is>
      </c>
      <c r="C20" s="83" t="inlineStr">
        <is>
          <t>TBC</t>
        </is>
      </c>
      <c r="D20" s="81" t="n"/>
      <c r="E20" s="85" t="n">
        <v>1800</v>
      </c>
      <c r="F20" s="86" t="inlineStr">
        <is>
          <t>HKD</t>
        </is>
      </c>
      <c r="G20" s="91" t="n">
        <v>1</v>
      </c>
      <c r="H20" s="88">
        <f>E20*G20*IF(F20="USD",Compare!$B$8,IF(F20="CNY",Compare!$B$9,IF(F20="HKD",Compare!$B$10,1)))</f>
        <v/>
      </c>
      <c r="I20" s="89">
        <f>E20</f>
        <v/>
      </c>
      <c r="J20" s="91" t="n">
        <v>1</v>
      </c>
      <c r="K20" s="88">
        <f>I20*J20*IF(F20="USD",Compare!$B$8,IF(F20="CNY",Compare!$B$9,IF(F20="HKD",Compare!$B$10,1)))</f>
        <v/>
      </c>
      <c r="L20" s="90" t="inlineStr">
        <is>
          <t>1,800 HKD/team at the 2025 Hong Kong regional (HKUST); 2026 host listed as HKU – confirm</t>
        </is>
      </c>
    </row>
    <row r="21" ht="15" customHeight="1" s="56">
      <c r="A21" s="79" t="inlineStr">
        <is>
          <t>Other</t>
        </is>
      </c>
      <c r="B21" s="80" t="n"/>
      <c r="C21" s="80" t="n"/>
      <c r="D21" s="80" t="n"/>
      <c r="E21" s="80" t="n"/>
      <c r="F21" s="80" t="n"/>
      <c r="G21" s="80" t="n"/>
      <c r="H21" s="80" t="n"/>
      <c r="I21" s="80" t="n"/>
      <c r="J21" s="80" t="n"/>
      <c r="K21" s="80" t="n"/>
      <c r="L21" s="80" t="n"/>
    </row>
    <row r="22" ht="15" customHeight="1" s="56">
      <c r="A22" s="81" t="n"/>
      <c r="B22" s="82" t="inlineStr">
        <is>
          <t>Taxi to/from Chinggis Khaan airport (UB), per trip</t>
        </is>
      </c>
      <c r="C22" s="83" t="inlineStr">
        <is>
          <t>out &amp; back</t>
        </is>
      </c>
      <c r="D22" s="84" t="n">
        <v>0.04166666666666666</v>
      </c>
      <c r="E22" s="92" t="n">
        <v>100000</v>
      </c>
      <c r="F22" s="86" t="inlineStr">
        <is>
          <t>MNT</t>
        </is>
      </c>
      <c r="G22" s="91" t="n">
        <v>2</v>
      </c>
      <c r="H22" s="88">
        <f>E22*G22*IF(F22="USD",Compare!$B$8,IF(F22="CNY",Compare!$B$9,IF(F22="HKD",Compare!$B$10,1)))</f>
        <v/>
      </c>
      <c r="I22" s="93">
        <f>E22</f>
        <v/>
      </c>
      <c r="J22" s="91" t="n">
        <v>2</v>
      </c>
      <c r="K22" s="88">
        <f>I22*J22*IF(F22="USD",Compare!$B$8,IF(F22="CNY",Compare!$B$9,IF(F22="HKD",Compare!$B$10,1)))</f>
        <v/>
      </c>
      <c r="L22" s="90" t="inlineStr">
        <is>
          <t>ASSUMPTION 100k MNT per trip for the group</t>
        </is>
      </c>
    </row>
    <row r="23" ht="15" customHeight="1" s="56">
      <c r="A23" s="81" t="n"/>
      <c r="B23" s="82" t="inlineStr">
        <is>
          <t>Travel medical insurance</t>
        </is>
      </c>
      <c r="C23" s="83" t="n"/>
      <c r="D23" s="81" t="n"/>
      <c r="E23" s="92" t="n">
        <v>30000</v>
      </c>
      <c r="F23" s="86" t="inlineStr">
        <is>
          <t>MNT</t>
        </is>
      </c>
      <c r="G23" s="87">
        <f>Compare!$B$6</f>
        <v/>
      </c>
      <c r="H23" s="88">
        <f>E23*G23*IF(F23="USD",Compare!$B$8,IF(F23="CNY",Compare!$B$9,IF(F23="HKD",Compare!$B$10,1)))</f>
        <v/>
      </c>
      <c r="I23" s="93">
        <f>E23</f>
        <v/>
      </c>
      <c r="J23" s="87">
        <f>Compare!$B$7</f>
        <v/>
      </c>
      <c r="K23" s="88">
        <f>I23*J23*IF(F23="USD",Compare!$B$8,IF(F23="CNY",Compare!$B$9,IF(F23="HKD",Compare!$B$10,1)))</f>
        <v/>
      </c>
      <c r="L23" s="90" t="inlineStr">
        <is>
          <t>ASSUMPTION ~30k MNT per person, Mongolian insurer</t>
        </is>
      </c>
    </row>
    <row r="24" ht="15" customHeight="1" s="56">
      <c r="A24" s="81" t="n"/>
      <c r="B24" s="82" t="inlineStr">
        <is>
          <t>Mobile data eSIM</t>
        </is>
      </c>
      <c r="C24" s="83" t="n"/>
      <c r="D24" s="81" t="n"/>
      <c r="E24" s="92" t="n">
        <v>10</v>
      </c>
      <c r="F24" s="86" t="inlineStr">
        <is>
          <t>USD</t>
        </is>
      </c>
      <c r="G24" s="87">
        <f>Compare!$B$6</f>
        <v/>
      </c>
      <c r="H24" s="88">
        <f>E24*G24*IF(F24="USD",Compare!$B$8,IF(F24="CNY",Compare!$B$9,IF(F24="HKD",Compare!$B$10,1)))</f>
        <v/>
      </c>
      <c r="I24" s="93">
        <f>E24</f>
        <v/>
      </c>
      <c r="J24" s="87">
        <f>Compare!$B$7</f>
        <v/>
      </c>
      <c r="K24" s="88">
        <f>I24*J24*IF(F24="USD",Compare!$B$8,IF(F24="CNY",Compare!$B$9,IF(F24="HKD",Compare!$B$10,1)))</f>
        <v/>
      </c>
      <c r="L24" s="90" t="inlineStr">
        <is>
          <t>ASSUMPTION ~$10 pp</t>
        </is>
      </c>
    </row>
    <row r="25" ht="22.35" customHeight="1" s="56">
      <c r="A25" s="81" t="n"/>
      <c r="B25" s="82" t="inlineStr">
        <is>
          <t>Visa</t>
        </is>
      </c>
      <c r="C25" s="83" t="n"/>
      <c r="D25" s="81" t="n"/>
      <c r="E25" s="85" t="n">
        <v>0</v>
      </c>
      <c r="F25" s="86" t="inlineStr">
        <is>
          <t>MNT</t>
        </is>
      </c>
      <c r="G25" s="87">
        <f>Compare!$B$6</f>
        <v/>
      </c>
      <c r="H25" s="88">
        <f>E25*G25*IF(F25="USD",Compare!$B$8,IF(F25="CNY",Compare!$B$9,IF(F25="HKD",Compare!$B$10,1)))</f>
        <v/>
      </c>
      <c r="I25" s="89">
        <f>E25</f>
        <v/>
      </c>
      <c r="J25" s="87">
        <f>Compare!$B$7</f>
        <v/>
      </c>
      <c r="K25" s="88">
        <f>I25*J25*IF(F25="USD",Compare!$B$8,IF(F25="CNY",Compare!$B$9,IF(F25="HKD",Compare!$B$10,1)))</f>
        <v/>
      </c>
      <c r="L25" s="90" t="inlineStr">
        <is>
          <t>Mongolian passports: visa-free (mainland China up to 30 days; Hong Kong up to 14 days)</t>
        </is>
      </c>
    </row>
    <row r="27" ht="15" customHeight="1" s="56">
      <c r="G27" s="60" t="n"/>
      <c r="H27" s="96" t="inlineStr">
        <is>
          <t>3 people – UNFUNDED</t>
        </is>
      </c>
      <c r="K27" s="96" t="inlineStr">
        <is>
          <t>4 people – FUNDED ₮12M</t>
        </is>
      </c>
    </row>
    <row r="28" ht="15" customHeight="1" s="56">
      <c r="G28" s="97" t="inlineStr">
        <is>
          <t>University-paid subtotal</t>
        </is>
      </c>
      <c r="H28" s="98">
        <f>SUM(H9:H17)</f>
        <v/>
      </c>
      <c r="K28" s="98">
        <f>SUM(K9:K17)</f>
        <v/>
      </c>
    </row>
    <row r="29" ht="15" customHeight="1" s="56">
      <c r="G29" s="99" t="inlineStr">
        <is>
          <t>Contingency</t>
        </is>
      </c>
      <c r="H29" s="100">
        <f>H28*Compare!$B$11</f>
        <v/>
      </c>
      <c r="K29" s="100">
        <f>K28*Compare!$B$11</f>
        <v/>
      </c>
    </row>
    <row r="30" ht="15" customHeight="1" s="56">
      <c r="G30" s="97" t="inlineStr">
        <is>
          <t>University-paid total incl. contingency</t>
        </is>
      </c>
      <c r="H30" s="98">
        <f>H28+H29</f>
        <v/>
      </c>
      <c r="K30" s="98">
        <f>K28+K29</f>
        <v/>
      </c>
    </row>
    <row r="31" ht="15" customHeight="1" s="56">
      <c r="G31" s="97" t="inlineStr">
        <is>
          <t>Funding left (negative = over)</t>
        </is>
      </c>
      <c r="H31" s="101">
        <f>Compare!$B$12-H30</f>
        <v/>
      </c>
      <c r="K31" s="101">
        <f>Compare!$B$5-K30</f>
        <v/>
      </c>
    </row>
    <row r="32" ht="15" customHeight="1" s="56">
      <c r="G32" s="97" t="inlineStr">
        <is>
          <t>Personal costs – team</t>
        </is>
      </c>
      <c r="H32" s="102">
        <f>SUM(H19:H25)</f>
        <v/>
      </c>
      <c r="K32" s="102">
        <f>SUM(K19:K25)</f>
        <v/>
      </c>
    </row>
    <row r="33" ht="15" customHeight="1" s="56">
      <c r="G33" s="97" t="inlineStr">
        <is>
          <t>Out-of-pocket per person (personal + any overrun)</t>
        </is>
      </c>
      <c r="H33" s="102">
        <f>(H32+MAX(0,-H31))/Compare!$B$6</f>
        <v/>
      </c>
      <c r="K33" s="102">
        <f>(K32+MAX(0,-K31))/Compare!$B$7</f>
        <v/>
      </c>
    </row>
    <row r="34" ht="15" customHeight="1" s="56">
      <c r="G34" s="97" t="inlineStr">
        <is>
          <t>Whole trip cost (university + personal)</t>
        </is>
      </c>
      <c r="H34" s="103">
        <f>H30+H32</f>
        <v/>
      </c>
      <c r="K34" s="103">
        <f>K30+K32</f>
        <v/>
      </c>
    </row>
    <row r="35" ht="15" customHeight="1" s="56">
      <c r="G35" s="99" t="inlineStr">
        <is>
          <t>Time in planes &amp; trains</t>
        </is>
      </c>
      <c r="H35" s="104">
        <f>SUM(D10:D11)</f>
        <v/>
      </c>
      <c r="K35" s="104">
        <f>SUM(D10:D11)</f>
        <v/>
      </c>
    </row>
    <row r="37" ht="15" customHeight="1" s="56">
      <c r="A37" s="72" t="inlineStr">
        <is>
          <t>Key facts</t>
        </is>
      </c>
    </row>
    <row r="38" ht="15" customHeight="1" s="56">
      <c r="A38" s="75" t="inlineStr">
        <is>
          <t>Contest</t>
        </is>
      </c>
      <c r="B38" s="74" t="inlineStr">
        <is>
          <t>Asia Hong Kong Regional, 9–10 Jan 2027 (provisional). Host listed as HKU on a coach's tracking page, but the 2025 regional was at HKUST (Clear Water Bay) – the site rotates, so confirm before paying for a hotel near any one campus.</t>
        </is>
      </c>
    </row>
    <row r="39" ht="15" customHeight="1" s="56">
      <c r="A39" s="75" t="inlineStr">
        <is>
          <t>Why this plan</t>
        </is>
      </c>
      <c r="B39" s="74" t="inlineStr">
        <is>
          <t>The hotel is chosen for the sleep, not the distance: every contestant has their own bed, a private bathroom and a quiet room; the flights are fixed. A guesthouse in Kowloon also keeps the team on the MTR whichever campus hosts.</t>
        </is>
      </c>
    </row>
    <row r="40" ht="15" customHeight="1" s="56">
      <c r="A40" s="75" t="inlineStr">
        <is>
          <t>Entry</t>
        </is>
      </c>
      <c r="B40" s="74" t="inlineStr">
        <is>
          <t>Mongolian passport holders can visit Hong Kong visa-free for up to 14 days.</t>
        </is>
      </c>
    </row>
    <row r="41" ht="15" customHeight="1" s="56">
      <c r="A41" s="75" t="inlineStr">
        <is>
          <t>Trade-off</t>
        </is>
      </c>
      <c r="B41" s="74" t="inlineStr">
        <is>
          <t>~35–40 min each way on the MTR (wake ~06:15 for a 09:00 start; still ≥7.5 h in bed with lights out at 22:30). Request a high floor away from the street, bring earplugs. Guesthouse rooms are small. Fits ₮12M before the 10% contingency (about ₮11.3M).</t>
        </is>
      </c>
    </row>
    <row r="43" ht="15" customHeight="1" s="56">
      <c r="A43" s="72" t="inlineStr">
        <is>
          <t>Day-by-day plan</t>
        </is>
      </c>
    </row>
    <row r="44" ht="15" customHeight="1" s="56">
      <c r="A44" s="96" t="inlineStr">
        <is>
          <t>Date</t>
        </is>
      </c>
      <c r="B44" s="96" t="inlineStr">
        <is>
          <t>Sleep in</t>
        </is>
      </c>
      <c r="C44" s="96" t="inlineStr">
        <is>
          <t>What happens</t>
        </is>
      </c>
    </row>
    <row r="45" ht="15" customHeight="1" s="56">
      <c r="A45" s="74" t="inlineStr">
        <is>
          <t>Fri 8 Jan</t>
        </is>
      </c>
      <c r="B45" s="74" t="inlineStr">
        <is>
          <t>Hong Kong</t>
        </is>
      </c>
      <c r="C45" s="74" t="inlineStr">
        <is>
          <t>MIAT OM297 UB 06:45 → Hong Kong 11:25 (4 h 40 min). Airport bus A21 to Yau Ma Tei, leave bags, check in at the guesthouse and nap.</t>
        </is>
      </c>
    </row>
    <row r="46" ht="15" customHeight="1" s="56">
      <c r="A46" s="74" t="inlineStr">
        <is>
          <t>Sat 9 Jan</t>
        </is>
      </c>
      <c r="B46" s="74" t="inlineStr">
        <is>
          <t>Hong Kong</t>
        </is>
      </c>
      <c r="C46" s="74" t="inlineStr">
        <is>
          <t>Registration, opening and warm-up at the University of Hong Kong (2025 HK regional used the same day-1 pattern).</t>
        </is>
      </c>
    </row>
    <row r="47" ht="15" customHeight="1" s="56">
      <c r="A47" s="74" t="inlineStr">
        <is>
          <t>Sun 10 Jan</t>
        </is>
      </c>
      <c r="B47" s="74" t="inlineStr">
        <is>
          <t>Hong Kong</t>
        </is>
      </c>
      <c r="C47" s="74" t="inlineStr">
        <is>
          <t>HONG KONG REGIONAL contest day, closing &amp; solutions.</t>
        </is>
      </c>
    </row>
    <row r="48" ht="15" customHeight="1" s="56">
      <c r="A48" s="74" t="inlineStr">
        <is>
          <t>Mon 11 Jan</t>
        </is>
      </c>
      <c r="B48" s="74" t="inlineStr">
        <is>
          <t>Home</t>
        </is>
      </c>
      <c r="C48" s="74" t="inlineStr">
        <is>
          <t>MIAT OM298 Hong Kong 12:25 → UB 17:05.</t>
        </is>
      </c>
    </row>
    <row r="50" ht="15" customHeight="1" s="56">
      <c r="A50" s="72" t="inlineStr">
        <is>
          <t>Door-to-door travel times</t>
        </is>
      </c>
    </row>
    <row r="51" ht="15" customHeight="1" s="56">
      <c r="A51" s="96" t="inlineStr">
        <is>
          <t>Date</t>
        </is>
      </c>
      <c r="B51" s="96" t="inlineStr">
        <is>
          <t>Leg</t>
        </is>
      </c>
      <c r="C51" s="96" t="inlineStr">
        <is>
          <t>Mode</t>
        </is>
      </c>
      <c r="D51" s="96" t="inlineStr">
        <is>
          <t>Expected time</t>
        </is>
      </c>
      <c r="E51" s="96" t="inlineStr">
        <is>
          <t>Notes</t>
        </is>
      </c>
    </row>
    <row r="52" ht="15" customHeight="1" s="56">
      <c r="A52" s="105" t="inlineStr">
        <is>
          <t>8 Jan</t>
        </is>
      </c>
      <c r="B52" s="105" t="inlineStr">
        <is>
          <t>Home → Chinggis Khaan airport</t>
        </is>
      </c>
      <c r="C52" s="82" t="inlineStr">
        <is>
          <t>Taxi (~50 km)</t>
        </is>
      </c>
      <c r="D52" s="104" t="n">
        <v>0.04166666666666666</v>
      </c>
      <c r="E52" s="106" t="inlineStr">
        <is>
          <t>Leave ~03:45 for 06:45 flight</t>
        </is>
      </c>
      <c r="F52" s="107" t="n"/>
      <c r="G52" s="107" t="n"/>
      <c r="H52" s="107" t="n"/>
      <c r="I52" s="107" t="n"/>
      <c r="J52" s="107" t="n"/>
      <c r="K52" s="107" t="n"/>
      <c r="L52" s="107" t="n"/>
    </row>
    <row r="53" ht="26.85" customHeight="1" s="56">
      <c r="A53" s="105" t="inlineStr">
        <is>
          <t>8 Jan</t>
        </is>
      </c>
      <c r="B53" s="105" t="inlineStr">
        <is>
          <t>Ulaanbaatar → Hong Kong (HKG)</t>
        </is>
      </c>
      <c r="C53" s="82" t="inlineStr">
        <is>
          <t>MIAT OM297 06:45–11:25</t>
        </is>
      </c>
      <c r="D53" s="84" t="n">
        <v>0.1944444444444444</v>
      </c>
      <c r="E53" s="106" t="n"/>
      <c r="F53" s="107" t="n"/>
      <c r="G53" s="107" t="n"/>
      <c r="H53" s="107" t="n"/>
      <c r="I53" s="107" t="n"/>
      <c r="J53" s="107" t="n"/>
      <c r="K53" s="107" t="n"/>
      <c r="L53" s="107" t="n"/>
    </row>
    <row r="54" ht="15" customHeight="1" s="56">
      <c r="A54" s="105" t="inlineStr">
        <is>
          <t>8 Jan</t>
        </is>
      </c>
      <c r="B54" s="105" t="inlineStr">
        <is>
          <t>HKG arrival: immigration, bags</t>
        </is>
      </c>
      <c r="C54" s="82" t="inlineStr">
        <is>
          <t>—</t>
        </is>
      </c>
      <c r="D54" s="104" t="n">
        <v>0.02777777777777778</v>
      </c>
      <c r="E54" s="106" t="inlineStr">
        <is>
          <t>Estimate</t>
        </is>
      </c>
      <c r="F54" s="107" t="n"/>
      <c r="G54" s="107" t="n"/>
      <c r="H54" s="107" t="n"/>
      <c r="I54" s="107" t="n"/>
      <c r="J54" s="107" t="n"/>
      <c r="K54" s="107" t="n"/>
      <c r="L54" s="107" t="n"/>
    </row>
    <row r="55" ht="39.55" customHeight="1" s="56">
      <c r="A55" s="105" t="inlineStr">
        <is>
          <t>8 Jan</t>
        </is>
      </c>
      <c r="B55" s="105" t="inlineStr">
        <is>
          <t>HKG → Good Fortune Inn</t>
        </is>
      </c>
      <c r="C55" s="82" t="inlineStr">
        <is>
          <t>Airport bus A21 + walk</t>
        </is>
      </c>
      <c r="D55" s="104" t="n">
        <v>0.04166666666666666</v>
      </c>
      <c r="E55" s="106" t="inlineStr">
        <is>
          <t>Estimate</t>
        </is>
      </c>
      <c r="F55" s="107" t="n"/>
      <c r="G55" s="107" t="n"/>
      <c r="H55" s="107" t="n"/>
      <c r="I55" s="107" t="n"/>
      <c r="J55" s="107" t="n"/>
      <c r="K55" s="107" t="n"/>
      <c r="L55" s="107" t="n"/>
    </row>
    <row r="56" ht="15" customHeight="1" s="56">
      <c r="A56" s="105" t="inlineStr">
        <is>
          <t>9–10 Jan</t>
        </is>
      </c>
      <c r="B56" s="105" t="inlineStr">
        <is>
          <t>Hotel ↔ HKU (each way)</t>
        </is>
      </c>
      <c r="C56" s="82" t="inlineStr">
        <is>
          <t>—</t>
        </is>
      </c>
      <c r="D56" s="108" t="inlineStr">
        <is>
          <t>daily</t>
        </is>
      </c>
      <c r="E56" s="106" t="inlineStr">
        <is>
          <t>~35–40 min MTR (Yau Ma Tei → Admiralty → HKU); leave ~07:15 for a 09:00 start</t>
        </is>
      </c>
      <c r="F56" s="107" t="n"/>
      <c r="G56" s="107" t="n"/>
      <c r="H56" s="107" t="n"/>
      <c r="I56" s="107" t="n"/>
      <c r="J56" s="107" t="n"/>
      <c r="K56" s="107" t="n"/>
      <c r="L56" s="107" t="n"/>
    </row>
    <row r="57" ht="26.85" customHeight="1" s="56">
      <c r="A57" s="105" t="inlineStr">
        <is>
          <t>11 Jan</t>
        </is>
      </c>
      <c r="B57" s="105" t="inlineStr">
        <is>
          <t>Guesthouse → HKG</t>
        </is>
      </c>
      <c r="C57" s="82" t="inlineStr">
        <is>
          <t>Airport bus A21 + walk</t>
        </is>
      </c>
      <c r="D57" s="104" t="n">
        <v>0.04166666666666666</v>
      </c>
      <c r="E57" s="106" t="inlineStr">
        <is>
          <t>Estimate</t>
        </is>
      </c>
      <c r="F57" s="107" t="n"/>
      <c r="G57" s="107" t="n"/>
      <c r="H57" s="107" t="n"/>
      <c r="I57" s="107" t="n"/>
      <c r="J57" s="107" t="n"/>
      <c r="K57" s="107" t="n"/>
      <c r="L57" s="107" t="n"/>
    </row>
    <row r="58" ht="26.85" customHeight="1" s="56">
      <c r="A58" s="105" t="inlineStr">
        <is>
          <t>11 Jan</t>
        </is>
      </c>
      <c r="B58" s="105" t="inlineStr">
        <is>
          <t>Hong Kong (HKG) → Ulaanbaatar</t>
        </is>
      </c>
      <c r="C58" s="82" t="inlineStr">
        <is>
          <t>MIAT OM298 12:25–17:05</t>
        </is>
      </c>
      <c r="D58" s="84" t="n">
        <v>0.1944444444444444</v>
      </c>
      <c r="E58" s="106" t="inlineStr">
        <is>
          <t>Be at HKG by ~10:25</t>
        </is>
      </c>
      <c r="F58" s="107" t="n"/>
      <c r="G58" s="107" t="n"/>
      <c r="H58" s="107" t="n"/>
      <c r="I58" s="107" t="n"/>
      <c r="J58" s="107" t="n"/>
      <c r="K58" s="107" t="n"/>
      <c r="L58" s="107" t="n"/>
    </row>
    <row r="59" ht="14.15" customHeight="1" s="56">
      <c r="A59" s="105" t="inlineStr">
        <is>
          <t>11 Jan</t>
        </is>
      </c>
      <c r="B59" s="105" t="inlineStr">
        <is>
          <t>Chinggis Khaan airport → home</t>
        </is>
      </c>
      <c r="C59" s="82" t="inlineStr">
        <is>
          <t>Taxi</t>
        </is>
      </c>
      <c r="D59" s="104" t="n">
        <v>0.04166666666666666</v>
      </c>
      <c r="E59" s="106" t="n"/>
      <c r="F59" s="107" t="n"/>
      <c r="G59" s="107" t="n"/>
      <c r="H59" s="107" t="n"/>
      <c r="I59" s="107" t="n"/>
      <c r="J59" s="107" t="n"/>
      <c r="K59" s="107" t="n"/>
      <c r="L59" s="107" t="n"/>
    </row>
    <row r="60" ht="15" customHeight="1" s="56">
      <c r="C60" s="59" t="inlineStr">
        <is>
          <t>Total door-to-door</t>
        </is>
      </c>
      <c r="D60" s="109">
        <f>SUM(D52:D59)</f>
        <v/>
      </c>
    </row>
  </sheetData>
  <mergeCells count="18">
    <mergeCell ref="E57:L57"/>
    <mergeCell ref="E56:L56"/>
    <mergeCell ref="E58:L58"/>
    <mergeCell ref="C45:L45"/>
    <mergeCell ref="B38:L38"/>
    <mergeCell ref="E59:L59"/>
    <mergeCell ref="E51:L51"/>
    <mergeCell ref="C48:L48"/>
    <mergeCell ref="B39:L39"/>
    <mergeCell ref="E54:L54"/>
    <mergeCell ref="C44:L44"/>
    <mergeCell ref="E55:L55"/>
    <mergeCell ref="E52:L52"/>
    <mergeCell ref="C46:L46"/>
    <mergeCell ref="C47:L47"/>
    <mergeCell ref="E53:L53"/>
    <mergeCell ref="B41:L41"/>
    <mergeCell ref="B40:L4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3.xml><?xml version="1.0" encoding="utf-8"?>
<worksheet xmlns="http://schemas.openxmlformats.org/spreadsheetml/2006/main">
  <sheetPr filterMode="0">
    <outlinePr summaryBelow="1" summaryRight="1"/>
    <pageSetUpPr fitToPage="0"/>
  </sheetPr>
  <dimension ref="A1:L70"/>
  <sheetViews>
    <sheetView showFormulas="0" showGridLines="1" showRowColHeaders="1" showZeros="1" rightToLeft="0" tabSelected="0" showOutlineSymbols="1" defaultGridColor="1"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baseColWidth="8" defaultColWidth="8.6796875" defaultRowHeight="15" zeroHeight="0" outlineLevelRow="0"/>
  <cols>
    <col width="26" customWidth="1" style="55" min="1" max="1"/>
    <col width="52" customWidth="1" style="55" min="2" max="2"/>
    <col width="20" customWidth="1" style="55" min="3" max="3"/>
    <col width="15" customWidth="1" style="55" min="4" max="4"/>
    <col width="13" customWidth="1" style="55" min="5" max="5"/>
    <col width="9" customWidth="1" style="55" min="6" max="7"/>
    <col width="17" customWidth="1" style="55" min="8" max="8"/>
    <col width="13" customWidth="1" style="55" min="9" max="9"/>
    <col width="9" customWidth="1" style="55" min="10" max="10"/>
    <col width="17" customWidth="1" style="55" min="11" max="11"/>
    <col width="58" customWidth="1" style="55" min="12" max="12"/>
  </cols>
  <sheetData>
    <row r="1" ht="17.35" customHeight="1" s="56">
      <c r="A1" s="57" t="inlineStr">
        <is>
          <t>EC Final Hangzhou – Train</t>
        </is>
      </c>
    </row>
    <row r="2" ht="15" customHeight="1" s="56">
      <c r="A2" s="62" t="inlineStr">
        <is>
          <t>MIAT to Beijing + overnight D17 sleeper train to Hangzhou (no first hotel night); Air China through ticket Hangzhou → UB back (home on 29 Jan); hotel ~1.6 km from HZNU Cangqian.</t>
        </is>
      </c>
    </row>
    <row r="4" ht="15" customHeight="1" s="56">
      <c r="A4" s="60" t="inlineStr">
        <is>
          <t>Days in destination (meals &amp; local transport)</t>
        </is>
      </c>
      <c r="B4" s="76" t="n">
        <v>4.5</v>
      </c>
      <c r="C4" s="62" t="inlineStr">
        <is>
          <t>25 Jan → morning 29 Jan</t>
        </is>
      </c>
    </row>
    <row r="5" ht="15" customHeight="1" s="56">
      <c r="A5" s="62" t="inlineStr">
        <is>
          <t>Shared inputs are on the Compare sheet. Scroll down for the day-by-day plan and door-to-door travel times.</t>
        </is>
      </c>
    </row>
    <row r="7" ht="31.5" customHeight="1" s="56">
      <c r="A7" s="66" t="inlineStr">
        <is>
          <t>Category</t>
        </is>
      </c>
      <c r="B7" s="66" t="inlineStr">
        <is>
          <t>Item</t>
        </is>
      </c>
      <c r="C7" s="66" t="inlineStr">
        <is>
          <t>Date</t>
        </is>
      </c>
      <c r="D7" s="66" t="inlineStr">
        <is>
          <t>Travel time</t>
        </is>
      </c>
      <c r="E7" s="66" t="inlineStr">
        <is>
          <t>Unit cost (3 ppl)</t>
        </is>
      </c>
      <c r="F7" s="66" t="inlineStr">
        <is>
          <t>Currency</t>
        </is>
      </c>
      <c r="G7" s="66" t="inlineStr">
        <is>
          <t>Qty (3 ppl)</t>
        </is>
      </c>
      <c r="H7" s="66" t="inlineStr">
        <is>
          <t>Total MNT – 3 people</t>
        </is>
      </c>
      <c r="I7" s="66" t="inlineStr">
        <is>
          <t>Unit cost (4 ppl)</t>
        </is>
      </c>
      <c r="J7" s="66" t="inlineStr">
        <is>
          <t>Qty (4 ppl)</t>
        </is>
      </c>
      <c r="K7" s="66" t="inlineStr">
        <is>
          <t>Total MNT – 4 people</t>
        </is>
      </c>
      <c r="L7" s="66" t="inlineStr">
        <is>
          <t>Source / notes</t>
        </is>
      </c>
    </row>
    <row r="8" ht="15" customHeight="1" s="56">
      <c r="A8" s="77" t="inlineStr">
        <is>
          <t>PAID BY UNIVERSITY</t>
        </is>
      </c>
      <c r="B8" s="78" t="n"/>
      <c r="C8" s="78" t="n"/>
      <c r="D8" s="78" t="n"/>
      <c r="E8" s="78" t="n"/>
      <c r="F8" s="78" t="n"/>
      <c r="G8" s="78" t="n"/>
      <c r="H8" s="78" t="n"/>
      <c r="I8" s="78" t="n"/>
      <c r="J8" s="78" t="n"/>
      <c r="K8" s="78" t="n"/>
      <c r="L8" s="78" t="n"/>
    </row>
    <row r="9" ht="15" customHeight="1" s="56">
      <c r="A9" s="79" t="inlineStr">
        <is>
          <t>Flights</t>
        </is>
      </c>
      <c r="B9" s="80" t="n"/>
      <c r="C9" s="80" t="n"/>
      <c r="D9" s="80" t="n"/>
      <c r="E9" s="80" t="n"/>
      <c r="F9" s="80" t="n"/>
      <c r="G9" s="80" t="n"/>
      <c r="H9" s="80" t="n"/>
      <c r="I9" s="80" t="n"/>
      <c r="J9" s="80" t="n"/>
      <c r="K9" s="80" t="n"/>
      <c r="L9" s="80" t="n"/>
    </row>
    <row r="10" ht="26.85" customHeight="1" s="56">
      <c r="A10" s="81" t="n"/>
      <c r="B10" s="82" t="inlineStr">
        <is>
          <t>MIAT OM223 Ulaanbaatar → Beijing (PEK), 08:15–10:30</t>
        </is>
      </c>
      <c r="C10" s="83" t="inlineStr">
        <is>
          <t>25 Jan</t>
        </is>
      </c>
      <c r="D10" s="84" t="n">
        <v>0.09375</v>
      </c>
      <c r="E10" s="85" t="n">
        <v>150</v>
      </c>
      <c r="F10" s="86" t="inlineStr">
        <is>
          <t>USD</t>
        </is>
      </c>
      <c r="G10" s="87">
        <f>Compare!$B$6</f>
        <v/>
      </c>
      <c r="H10" s="88">
        <f>E10*G10*IF(F10="USD",Compare!$B$8,IF(F10="CNY",Compare!$B$9,IF(F10="HKD",Compare!$B$10,1)))</f>
        <v/>
      </c>
      <c r="I10" s="89">
        <f>E10</f>
        <v/>
      </c>
      <c r="J10" s="87">
        <f>Compare!$B$7</f>
        <v/>
      </c>
      <c r="K10" s="88">
        <f>I10*J10*IF(F10="USD",Compare!$B$8,IF(F10="CNY",Compare!$B$9,IF(F10="HKD",Compare!$B$10,1)))</f>
        <v/>
      </c>
      <c r="L10" s="90" t="inlineStr">
        <is>
          <t>Trip.com 1 Oct: MIAT 08:15–10:30 $150 pp (SlickTrip 30 Sep: $154)</t>
        </is>
      </c>
    </row>
    <row r="11" ht="26.85" customHeight="1" s="56">
      <c r="A11" s="81" t="n"/>
      <c r="B11" s="82" t="inlineStr">
        <is>
          <t>Air China through ticket Hangzhou 08:00 → Beijing Capital (2 h 35 min transfer) → Ulaanbaatar 15:05, bags checked through</t>
        </is>
      </c>
      <c r="C11" s="83" t="inlineStr">
        <is>
          <t>29 Jan</t>
        </is>
      </c>
      <c r="D11" s="84" t="n">
        <v>0.1875</v>
      </c>
      <c r="E11" s="85" t="n">
        <v>2250</v>
      </c>
      <c r="F11" s="86" t="inlineStr">
        <is>
          <t>CNY</t>
        </is>
      </c>
      <c r="G11" s="87">
        <f>Compare!$B$6</f>
        <v/>
      </c>
      <c r="H11" s="88">
        <f>E11*G11*IF(F11="USD",Compare!$B$8,IF(F11="CNY",Compare!$B$9,IF(F11="HKD",Compare!$B$10,1)))</f>
        <v/>
      </c>
      <c r="I11" s="89">
        <f>E11</f>
        <v/>
      </c>
      <c r="J11" s="87">
        <f>Compare!$B$7</f>
        <v/>
      </c>
      <c r="K11" s="88">
        <f>I11*J11*IF(F11="USD",Compare!$B$8,IF(F11="CNY",Compare!$B$9,IF(F11="HKD",Compare!$B$10,1)))</f>
        <v/>
      </c>
      <c r="L11" s="90" t="inlineStr">
        <is>
          <t>Trip.com 1 Oct: ¥2,250 pp (same price for 07:00 and 09:00 departures). Replaces Hangzhou→Beijing ¥1,809 + a Beijing hotel night + MIAT on 30 Jan $219 (~¥3,280 pp + hotel)</t>
        </is>
      </c>
    </row>
    <row r="12" ht="15" customHeight="1" s="56">
      <c r="A12" s="79" t="inlineStr">
        <is>
          <t>Trains</t>
        </is>
      </c>
      <c r="B12" s="80" t="n"/>
      <c r="C12" s="80" t="n"/>
      <c r="D12" s="80" t="n"/>
      <c r="E12" s="80" t="n"/>
      <c r="F12" s="80" t="n"/>
      <c r="G12" s="80" t="n"/>
      <c r="H12" s="80" t="n"/>
      <c r="I12" s="80" t="n"/>
      <c r="J12" s="80" t="n"/>
      <c r="K12" s="80" t="n"/>
      <c r="L12" s="80" t="n"/>
    </row>
    <row r="13" ht="26.85" customHeight="1" s="56">
      <c r="A13" s="81" t="n"/>
      <c r="B13" s="82" t="inlineStr">
        <is>
          <t>Overnight D-train D17 Beijing 19:10 → Hangzhou 09:15 (+1), 2nd-class sleeper</t>
        </is>
      </c>
      <c r="C13" s="83" t="inlineStr">
        <is>
          <t>25 Jan (night)</t>
        </is>
      </c>
      <c r="D13" s="84" t="n">
        <v>0.5868055555555556</v>
      </c>
      <c r="E13" s="85" t="n">
        <v>491</v>
      </c>
      <c r="F13" s="86" t="inlineStr">
        <is>
          <t>CNY</t>
        </is>
      </c>
      <c r="G13" s="87">
        <f>Compare!$B$6</f>
        <v/>
      </c>
      <c r="H13" s="88">
        <f>E13*G13*IF(F13="USD",Compare!$B$8,IF(F13="CNY",Compare!$B$9,IF(F13="HKD",Compare!$B$10,1)))</f>
        <v/>
      </c>
      <c r="I13" s="89">
        <f>E13</f>
        <v/>
      </c>
      <c r="J13" s="87">
        <f>Compare!$B$7</f>
        <v/>
      </c>
      <c r="K13" s="88">
        <f>I13*J13*IF(F13="USD",Compare!$B$8,IF(F13="CNY",Compare!$B$9,IF(F13="HKD",Compare!$B$10,1)))</f>
        <v/>
      </c>
      <c r="L13" s="90" t="inlineStr">
        <is>
          <t>12306 3 Oct (official fare, 15 Oct train): D17 2nd-class sleeper ¥491, 1st-class sleeper ¥670. Replaces the afternoon G-train (¥601–644) + the 25 Jan hotel night. Sales open 11 Jan 10:00 (Beijing station). Backups: D11 Beijing South 21:22 → Hangzhou 11:20 (sleeper ¥564), Z281 Fengtai 19:10 → 10:36 (hard sleeper ¥328), or an afternoon G-train + hotel night. ChinaTicketOnline charges ~$110 + $12 fee for the same berth.</t>
        </is>
      </c>
    </row>
    <row r="14" ht="26.85" customHeight="1" s="56">
      <c r="A14" s="81" t="n"/>
      <c r="B14" s="82" t="inlineStr">
        <is>
          <t>Taxi hotel → Hangzhou airport (~55 km), replaces the return train</t>
        </is>
      </c>
      <c r="C14" s="83" t="inlineStr">
        <is>
          <t>29 Jan</t>
        </is>
      </c>
      <c r="D14" s="84" t="n"/>
      <c r="E14" s="92" t="n">
        <v>150</v>
      </c>
      <c r="F14" s="86" t="inlineStr">
        <is>
          <t>CNY</t>
        </is>
      </c>
      <c r="G14" s="87" t="n">
        <v>1</v>
      </c>
      <c r="H14" s="88">
        <f>E14*G14*IF(F14="USD",Compare!$B$8,IF(F14="CNY",Compare!$B$9,IF(F14="HKD",Compare!$B$10,1)))</f>
        <v/>
      </c>
      <c r="I14" s="89">
        <f>E14</f>
        <v/>
      </c>
      <c r="J14" s="87" t="n">
        <v>1</v>
      </c>
      <c r="K14" s="88">
        <f>I14*J14*IF(F14="USD",Compare!$B$8,IF(F14="CNY",Compare!$B$9,IF(F14="HKD",Compare!$B$10,1)))</f>
        <v/>
      </c>
      <c r="L14" s="90" t="inlineStr">
        <is>
          <t>ASSUMPTION ~150 CNY per car. The return train (601 CNY) + Beijing night + MIAT 30 Jan cost about the same as the through ticket but take a day longer</t>
        </is>
      </c>
    </row>
    <row r="15" ht="15" customHeight="1" s="56">
      <c r="A15" s="79" t="inlineStr">
        <is>
          <t>Accommodation</t>
        </is>
      </c>
      <c r="B15" s="80" t="n"/>
      <c r="C15" s="80" t="n"/>
      <c r="D15" s="80" t="n"/>
      <c r="E15" s="80" t="n"/>
      <c r="F15" s="80" t="n"/>
      <c r="G15" s="80" t="n"/>
      <c r="H15" s="80" t="n"/>
      <c r="I15" s="80" t="n"/>
      <c r="J15" s="80" t="n"/>
      <c r="K15" s="80" t="n"/>
      <c r="L15" s="80" t="n"/>
    </row>
    <row r="16" ht="26.85" customHeight="1" s="56">
      <c r="A16" s="81" t="n"/>
      <c r="B16" s="82" t="inlineStr">
        <is>
          <t>HanTing Hotel Future Sci-Tech Town (~1.6 km to HZNU Cangqian; 3 ppl Family Room; 4 ppl 2 twin rooms)</t>
        </is>
      </c>
      <c r="C16" s="83" t="inlineStr">
        <is>
          <t>26–29 Jan (3 nights)</t>
        </is>
      </c>
      <c r="D16" s="81" t="n"/>
      <c r="E16" s="85" t="n">
        <v>315.75</v>
      </c>
      <c r="F16" s="86" t="inlineStr">
        <is>
          <t>CNY</t>
        </is>
      </c>
      <c r="G16" s="91" t="n">
        <v>3</v>
      </c>
      <c r="H16" s="88">
        <f>E16*G16*IF(F16="USD",Compare!$B$8,IF(F16="CNY",Compare!$B$9,IF(F16="HKD",Compare!$B$10,1)))</f>
        <v/>
      </c>
      <c r="I16" s="85" t="n">
        <v>548</v>
      </c>
      <c r="J16" s="91" t="n">
        <v>3</v>
      </c>
      <c r="K16" s="88">
        <f>I16*J16*IF(F16="USD",Compare!$B$8,IF(F16="CNY",Compare!$B$9,IF(F16="HKD",Compare!$B$10,1)))</f>
        <v/>
      </c>
      <c r="L16" s="90" t="inlineStr">
        <is>
          <t>Trip.com 1 Oct: ¥1,263 (3 ppl, Family Room) / ¥2,192 (4 ppl, 2 twin rooms) for 4 nights; rated 9.9 (70 reviews, new). Was CitiGO ¥1,630 / ¥2,576 on Booking.com Plan now books 3 of these nights (average per night); the 25 Jan night is on the D17 sleeper.</t>
        </is>
      </c>
    </row>
    <row r="17" ht="26.85" customHeight="1" s="56">
      <c r="A17" s="81" t="n"/>
      <c r="B17" s="82" t="n"/>
      <c r="C17" s="83" t="n"/>
      <c r="D17" s="81" t="n"/>
      <c r="E17" s="85" t="n"/>
      <c r="F17" s="86" t="n"/>
      <c r="G17" s="91" t="n"/>
      <c r="H17" s="88" t="n"/>
      <c r="I17" s="85" t="n"/>
      <c r="J17" s="91" t="n"/>
      <c r="K17" s="88" t="n"/>
      <c r="L17" s="90" t="n"/>
    </row>
    <row r="18" ht="15" customHeight="1" s="56">
      <c r="A18" s="79" t="inlineStr">
        <is>
          <t>Meals &amp; local transport</t>
        </is>
      </c>
      <c r="B18" s="80" t="n"/>
      <c r="C18" s="80" t="n"/>
      <c r="D18" s="80" t="n"/>
      <c r="E18" s="80" t="n"/>
      <c r="F18" s="80" t="n"/>
      <c r="G18" s="80" t="n"/>
      <c r="H18" s="80" t="n"/>
      <c r="I18" s="80" t="n"/>
      <c r="J18" s="80" t="n"/>
      <c r="K18" s="80" t="n"/>
      <c r="L18" s="80" t="n"/>
    </row>
    <row r="19" ht="15" customHeight="1" s="56">
      <c r="A19" s="81" t="n"/>
      <c r="B19" s="82" t="inlineStr">
        <is>
          <t>Meals</t>
        </is>
      </c>
      <c r="C19" s="83" t="inlineStr">
        <is>
          <t>in China</t>
        </is>
      </c>
      <c r="D19" s="81" t="n"/>
      <c r="E19" s="92" t="n">
        <v>80</v>
      </c>
      <c r="F19" s="86" t="inlineStr">
        <is>
          <t>CNY</t>
        </is>
      </c>
      <c r="G19" s="87">
        <f>Compare!$B$6*$B$4</f>
        <v/>
      </c>
      <c r="H19" s="88">
        <f>E19*G19*IF(F19="USD",Compare!$B$8,IF(F19="CNY",Compare!$B$9,IF(F19="HKD",Compare!$B$10,1)))</f>
        <v/>
      </c>
      <c r="I19" s="93">
        <f>E19</f>
        <v/>
      </c>
      <c r="J19" s="87">
        <f>Compare!$B$7*$B$4</f>
        <v/>
      </c>
      <c r="K19" s="88">
        <f>I19*J19*IF(F19="USD",Compare!$B$8,IF(F19="CNY",Compare!$B$9,IF(F19="HKD",Compare!$B$10,1)))</f>
        <v/>
      </c>
      <c r="L19" s="90" t="inlineStr">
        <is>
          <t>ASSUMPTION 80 CNY/person/day; EC Final usually includes banquets</t>
        </is>
      </c>
    </row>
    <row r="20" ht="15" customHeight="1" s="56">
      <c r="A20" s="81" t="n"/>
      <c r="B20" s="82" t="inlineStr">
        <is>
          <t>Local transport (metro, taxis)</t>
        </is>
      </c>
      <c r="C20" s="83" t="inlineStr">
        <is>
          <t>in China</t>
        </is>
      </c>
      <c r="D20" s="81" t="n"/>
      <c r="E20" s="92" t="n">
        <v>30</v>
      </c>
      <c r="F20" s="86" t="inlineStr">
        <is>
          <t>CNY</t>
        </is>
      </c>
      <c r="G20" s="87">
        <f>Compare!$B$6*$B$4</f>
        <v/>
      </c>
      <c r="H20" s="88">
        <f>E20*G20*IF(F20="USD",Compare!$B$8,IF(F20="CNY",Compare!$B$9,IF(F20="HKD",Compare!$B$10,1)))</f>
        <v/>
      </c>
      <c r="I20" s="93">
        <f>E20</f>
        <v/>
      </c>
      <c r="J20" s="87">
        <f>Compare!$B$7*$B$4</f>
        <v/>
      </c>
      <c r="K20" s="88">
        <f>I20*J20*IF(F20="USD",Compare!$B$8,IF(F20="CNY",Compare!$B$9,IF(F20="HKD",Compare!$B$10,1)))</f>
        <v/>
      </c>
      <c r="L20" s="90" t="inlineStr">
        <is>
          <t>ASSUMPTION 30 CNY/person/day</t>
        </is>
      </c>
    </row>
    <row r="21" ht="15" customHeight="1" s="56">
      <c r="A21" s="81" t="n"/>
      <c r="B21" s="82" t="inlineStr">
        <is>
          <t>Taxi Hangzhou station ↔ Cangqian (~25 km) on 26 Jan; hotel → HGH is row 14</t>
        </is>
      </c>
      <c r="C21" s="83" t="inlineStr">
        <is>
          <t>26 Jan</t>
        </is>
      </c>
      <c r="D21" s="81" t="n"/>
      <c r="E21" s="92" t="n">
        <v>100</v>
      </c>
      <c r="F21" s="86" t="inlineStr">
        <is>
          <t>CNY</t>
        </is>
      </c>
      <c r="G21" s="91" t="n">
        <v>1</v>
      </c>
      <c r="H21" s="88">
        <f>E21*G21*IF(F21="USD",Compare!$B$8,IF(F21="CNY",Compare!$B$9,IF(F21="HKD",Compare!$B$10,1)))</f>
        <v/>
      </c>
      <c r="I21" s="93">
        <f>E21</f>
        <v/>
      </c>
      <c r="J21" s="91" t="n">
        <v>1</v>
      </c>
      <c r="K21" s="88">
        <f>I21*J21*IF(F21="USD",Compare!$B$8,IF(F21="CNY",Compare!$B$9,IF(F21="HKD",Compare!$B$10,1)))</f>
        <v/>
      </c>
      <c r="L21" s="90" t="inlineStr">
        <is>
          <t>ASSUMPTION ~100 CNY per car (4 ppl: may need XL car). Metro ~1 h is the cheap alternative</t>
        </is>
      </c>
    </row>
    <row r="22" ht="15" customHeight="1" s="56">
      <c r="A22" s="94" t="inlineStr">
        <is>
          <t>PAID PERSONALLY (university won't cover)</t>
        </is>
      </c>
      <c r="B22" s="95" t="n"/>
      <c r="C22" s="95" t="n"/>
      <c r="D22" s="95" t="n"/>
      <c r="E22" s="95" t="n"/>
      <c r="F22" s="95" t="n"/>
      <c r="G22" s="95" t="n"/>
      <c r="H22" s="95" t="n"/>
      <c r="I22" s="95" t="n"/>
      <c r="J22" s="95" t="n"/>
      <c r="K22" s="95" t="n"/>
      <c r="L22" s="95" t="n"/>
    </row>
    <row r="23" ht="15" customHeight="1" s="56">
      <c r="A23" s="79" t="inlineStr">
        <is>
          <t>Contest fee</t>
        </is>
      </c>
      <c r="B23" s="80" t="n"/>
      <c r="C23" s="80" t="n"/>
      <c r="D23" s="80" t="n"/>
      <c r="E23" s="80" t="n"/>
      <c r="F23" s="80" t="n"/>
      <c r="G23" s="80" t="n"/>
      <c r="H23" s="80" t="n"/>
      <c r="I23" s="80" t="n"/>
      <c r="J23" s="80" t="n"/>
      <c r="K23" s="80" t="n"/>
      <c r="L23" s="80" t="n"/>
    </row>
    <row r="24" ht="15" customHeight="1" s="56">
      <c r="A24" s="81" t="n"/>
      <c r="B24" s="82" t="inlineStr">
        <is>
          <t>EC Final registration fee (per team)</t>
        </is>
      </c>
      <c r="C24" s="83" t="inlineStr">
        <is>
          <t>TBC</t>
        </is>
      </c>
      <c r="D24" s="81" t="n"/>
      <c r="E24" s="92" t="n">
        <v>1500</v>
      </c>
      <c r="F24" s="86" t="inlineStr">
        <is>
          <t>CNY</t>
        </is>
      </c>
      <c r="G24" s="91" t="n">
        <v>1</v>
      </c>
      <c r="H24" s="88">
        <f>E24*G24*IF(F24="USD",Compare!$B$8,IF(F24="CNY",Compare!$B$9,IF(F24="HKD",Compare!$B$10,1)))</f>
        <v/>
      </c>
      <c r="I24" s="93">
        <f>E24</f>
        <v/>
      </c>
      <c r="J24" s="91" t="n">
        <v>1</v>
      </c>
      <c r="K24" s="88">
        <f>I24*J24*IF(F24="USD",Compare!$B$8,IF(F24="CNY",Compare!$B$9,IF(F24="HKD",Compare!$B$10,1)))</f>
        <v/>
      </c>
      <c r="L24" s="90" t="inlineStr">
        <is>
          <t>ASSUMPTION: no public figure found; 1,500 CNY/team like regionals</t>
        </is>
      </c>
    </row>
    <row r="25" ht="15" customHeight="1" s="56">
      <c r="A25" s="79" t="inlineStr">
        <is>
          <t>Other</t>
        </is>
      </c>
      <c r="B25" s="80" t="n"/>
      <c r="C25" s="80" t="n"/>
      <c r="D25" s="80" t="n"/>
      <c r="E25" s="80" t="n"/>
      <c r="F25" s="80" t="n"/>
      <c r="G25" s="80" t="n"/>
      <c r="H25" s="80" t="n"/>
      <c r="I25" s="80" t="n"/>
      <c r="J25" s="80" t="n"/>
      <c r="K25" s="80" t="n"/>
      <c r="L25" s="80" t="n"/>
    </row>
    <row r="26" ht="15" customHeight="1" s="56">
      <c r="A26" s="81" t="n"/>
      <c r="B26" s="82" t="inlineStr">
        <is>
          <t>Taxi to/from Chinggis Khaan airport (UB), per trip</t>
        </is>
      </c>
      <c r="C26" s="83" t="inlineStr">
        <is>
          <t>out &amp; back</t>
        </is>
      </c>
      <c r="D26" s="84" t="n">
        <v>0.04166666666666666</v>
      </c>
      <c r="E26" s="92" t="n">
        <v>100000</v>
      </c>
      <c r="F26" s="86" t="inlineStr">
        <is>
          <t>MNT</t>
        </is>
      </c>
      <c r="G26" s="91" t="n">
        <v>2</v>
      </c>
      <c r="H26" s="88">
        <f>E26*G26*IF(F26="USD",Compare!$B$8,IF(F26="CNY",Compare!$B$9,IF(F26="HKD",Compare!$B$10,1)))</f>
        <v/>
      </c>
      <c r="I26" s="93">
        <f>E26</f>
        <v/>
      </c>
      <c r="J26" s="91" t="n">
        <v>2</v>
      </c>
      <c r="K26" s="88">
        <f>I26*J26*IF(F26="USD",Compare!$B$8,IF(F26="CNY",Compare!$B$9,IF(F26="HKD",Compare!$B$10,1)))</f>
        <v/>
      </c>
      <c r="L26" s="90" t="inlineStr">
        <is>
          <t>ASSUMPTION 100k MNT per trip for the group</t>
        </is>
      </c>
    </row>
    <row r="27" ht="15" customHeight="1" s="56">
      <c r="A27" s="81" t="n"/>
      <c r="B27" s="82" t="inlineStr">
        <is>
          <t>Travel medical insurance</t>
        </is>
      </c>
      <c r="C27" s="83" t="n"/>
      <c r="D27" s="81" t="n"/>
      <c r="E27" s="92" t="n">
        <v>30000</v>
      </c>
      <c r="F27" s="86" t="inlineStr">
        <is>
          <t>MNT</t>
        </is>
      </c>
      <c r="G27" s="87">
        <f>Compare!$B$6</f>
        <v/>
      </c>
      <c r="H27" s="88">
        <f>E27*G27*IF(F27="USD",Compare!$B$8,IF(F27="CNY",Compare!$B$9,IF(F27="HKD",Compare!$B$10,1)))</f>
        <v/>
      </c>
      <c r="I27" s="93">
        <f>E27</f>
        <v/>
      </c>
      <c r="J27" s="87">
        <f>Compare!$B$7</f>
        <v/>
      </c>
      <c r="K27" s="88">
        <f>I27*J27*IF(F27="USD",Compare!$B$8,IF(F27="CNY",Compare!$B$9,IF(F27="HKD",Compare!$B$10,1)))</f>
        <v/>
      </c>
      <c r="L27" s="90" t="inlineStr">
        <is>
          <t>ASSUMPTION ~30k MNT per person, Mongolian insurer</t>
        </is>
      </c>
    </row>
    <row r="28" ht="15" customHeight="1" s="56">
      <c r="A28" s="81" t="n"/>
      <c r="B28" s="82" t="inlineStr">
        <is>
          <t>Mobile data eSIM</t>
        </is>
      </c>
      <c r="C28" s="83" t="n"/>
      <c r="D28" s="81" t="n"/>
      <c r="E28" s="92" t="n">
        <v>10</v>
      </c>
      <c r="F28" s="86" t="inlineStr">
        <is>
          <t>USD</t>
        </is>
      </c>
      <c r="G28" s="87">
        <f>Compare!$B$6</f>
        <v/>
      </c>
      <c r="H28" s="88">
        <f>E28*G28*IF(F28="USD",Compare!$B$8,IF(F28="CNY",Compare!$B$9,IF(F28="HKD",Compare!$B$10,1)))</f>
        <v/>
      </c>
      <c r="I28" s="93">
        <f>E28</f>
        <v/>
      </c>
      <c r="J28" s="87">
        <f>Compare!$B$7</f>
        <v/>
      </c>
      <c r="K28" s="88">
        <f>I28*J28*IF(F28="USD",Compare!$B$8,IF(F28="CNY",Compare!$B$9,IF(F28="HKD",Compare!$B$10,1)))</f>
        <v/>
      </c>
      <c r="L28" s="90" t="inlineStr">
        <is>
          <t>ASSUMPTION ~$10 pp</t>
        </is>
      </c>
    </row>
    <row r="29" ht="22.35" customHeight="1" s="56">
      <c r="A29" s="81" t="n"/>
      <c r="B29" s="82" t="inlineStr">
        <is>
          <t>Visa</t>
        </is>
      </c>
      <c r="C29" s="83" t="n"/>
      <c r="D29" s="81" t="n"/>
      <c r="E29" s="85" t="n">
        <v>0</v>
      </c>
      <c r="F29" s="86" t="inlineStr">
        <is>
          <t>MNT</t>
        </is>
      </c>
      <c r="G29" s="87">
        <f>Compare!$B$6</f>
        <v/>
      </c>
      <c r="H29" s="88">
        <f>E29*G29*IF(F29="USD",Compare!$B$8,IF(F29="CNY",Compare!$B$9,IF(F29="HKD",Compare!$B$10,1)))</f>
        <v/>
      </c>
      <c r="I29" s="89">
        <f>E29</f>
        <v/>
      </c>
      <c r="J29" s="87">
        <f>Compare!$B$7</f>
        <v/>
      </c>
      <c r="K29" s="88">
        <f>I29*J29*IF(F29="USD",Compare!$B$8,IF(F29="CNY",Compare!$B$9,IF(F29="HKD",Compare!$B$10,1)))</f>
        <v/>
      </c>
      <c r="L29" s="90" t="inlineStr">
        <is>
          <t>Mongolian passports: visa-free (mainland China up to 30 days; Hong Kong up to 14 days)</t>
        </is>
      </c>
    </row>
    <row r="31" ht="15" customHeight="1" s="56">
      <c r="G31" s="60" t="n"/>
      <c r="H31" s="96" t="inlineStr">
        <is>
          <t>3 people – UNFUNDED</t>
        </is>
      </c>
      <c r="K31" s="96" t="inlineStr">
        <is>
          <t>4 people – FUNDED ₮12M</t>
        </is>
      </c>
    </row>
    <row r="32" ht="15" customHeight="1" s="56">
      <c r="G32" s="97" t="inlineStr">
        <is>
          <t>University-paid subtotal</t>
        </is>
      </c>
      <c r="H32" s="98">
        <f>SUM(H9:H21)</f>
        <v/>
      </c>
      <c r="K32" s="98">
        <f>SUM(K9:K21)</f>
        <v/>
      </c>
    </row>
    <row r="33" ht="15" customHeight="1" s="56">
      <c r="G33" s="99" t="inlineStr">
        <is>
          <t>Contingency</t>
        </is>
      </c>
      <c r="H33" s="100">
        <f>H32*Compare!$B$11</f>
        <v/>
      </c>
      <c r="K33" s="100">
        <f>K32*Compare!$B$11</f>
        <v/>
      </c>
    </row>
    <row r="34" ht="15" customHeight="1" s="56">
      <c r="G34" s="97" t="inlineStr">
        <is>
          <t>University-paid total incl. contingency</t>
        </is>
      </c>
      <c r="H34" s="98">
        <f>H32+H33</f>
        <v/>
      </c>
      <c r="K34" s="98">
        <f>K32+K33</f>
        <v/>
      </c>
    </row>
    <row r="35" ht="15" customHeight="1" s="56">
      <c r="G35" s="97" t="inlineStr">
        <is>
          <t>Funding left (negative = over)</t>
        </is>
      </c>
      <c r="H35" s="101">
        <f>Compare!$B$12-H34</f>
        <v/>
      </c>
      <c r="K35" s="101">
        <f>Compare!$B$5-K34</f>
        <v/>
      </c>
    </row>
    <row r="36" ht="15" customHeight="1" s="56">
      <c r="G36" s="97" t="inlineStr">
        <is>
          <t>Personal costs – team</t>
        </is>
      </c>
      <c r="H36" s="102">
        <f>SUM(H23:H29)</f>
        <v/>
      </c>
      <c r="K36" s="102">
        <f>SUM(K23:K29)</f>
        <v/>
      </c>
    </row>
    <row r="37" ht="15" customHeight="1" s="56">
      <c r="G37" s="97" t="inlineStr">
        <is>
          <t>Out-of-pocket per person (personal + any overrun)</t>
        </is>
      </c>
      <c r="H37" s="102">
        <f>(H36+MAX(0,-H35))/Compare!$B$6</f>
        <v/>
      </c>
      <c r="K37" s="102">
        <f>(K36+MAX(0,-K35))/Compare!$B$7</f>
        <v/>
      </c>
    </row>
    <row r="38" ht="15" customHeight="1" s="56">
      <c r="G38" s="97" t="inlineStr">
        <is>
          <t>Whole trip cost (university + personal)</t>
        </is>
      </c>
      <c r="H38" s="103">
        <f>H34+H36</f>
        <v/>
      </c>
      <c r="K38" s="103">
        <f>K34+K36</f>
        <v/>
      </c>
    </row>
    <row r="39" ht="15" customHeight="1" s="56">
      <c r="G39" s="99" t="inlineStr">
        <is>
          <t>Time in planes &amp; trains</t>
        </is>
      </c>
      <c r="H39" s="104">
        <f>SUM(D10:D11)+SUM(D13:D14)</f>
        <v/>
      </c>
      <c r="K39" s="104">
        <f>SUM(D10:D11)+SUM(D13:D14)</f>
        <v/>
      </c>
    </row>
    <row r="41" ht="15" customHeight="1" s="56">
      <c r="A41" s="72" t="inlineStr">
        <is>
          <t>Key facts</t>
        </is>
      </c>
    </row>
    <row r="42" ht="30" customHeight="1" s="56">
      <c r="A42" s="75" t="inlineStr">
        <is>
          <t>Contest</t>
        </is>
      </c>
      <c r="B42" s="74" t="inlineStr">
        <is>
          <t>ICPC Asia East Continent Final, 26–28 Jan 2027 (provisional), Hangzhou Normal University (Cangqian campus assumed). Qualification-only: the team must earn an EC Final slot at a regional first.</t>
        </is>
      </c>
    </row>
    <row r="43" ht="15" customHeight="1" s="56">
      <c r="A43" s="75" t="inlineStr">
        <is>
          <t>Why this route</t>
        </is>
      </c>
      <c r="B43" s="74" t="inlineStr">
        <is>
          <t>MIAT to Beijing + rail is by far the cheapest. Flying UB→Hangzhou is ~$1,548 pp one way via Hong Kong.</t>
        </is>
      </c>
    </row>
    <row r="44" ht="30" customHeight="1" s="56">
      <c r="A44" s="75" t="inlineStr">
        <is>
          <t>Warning</t>
        </is>
      </c>
      <c r="B44" s="74" t="inlineStr">
        <is>
          <t>Late January is the start of the Spring Festival travel rush (Spring Festival 2027 is 6 Feb). Sleepers sell out – buy D17 on 12306 at 10:00 on 11 Jan (or put in a 候补 waitlist), fall back to D11 / Z281 / an afternoon G-train, or use the Fly variant.</t>
        </is>
      </c>
    </row>
    <row r="46" ht="15" customHeight="1" s="56">
      <c r="A46" s="72" t="inlineStr">
        <is>
          <t>Day-by-day plan</t>
        </is>
      </c>
    </row>
    <row r="47" ht="15" customHeight="1" s="56">
      <c r="A47" s="96" t="inlineStr">
        <is>
          <t>Date</t>
        </is>
      </c>
      <c r="B47" s="96" t="inlineStr">
        <is>
          <t>Sleep in</t>
        </is>
      </c>
      <c r="C47" s="96" t="inlineStr">
        <is>
          <t>What happens</t>
        </is>
      </c>
    </row>
    <row r="48" ht="15" customHeight="1" s="56">
      <c r="A48" s="74" t="inlineStr">
        <is>
          <t>Mon 25 Jan</t>
        </is>
      </c>
      <c r="B48" s="74" t="inlineStr">
        <is>
          <t>Train</t>
        </is>
      </c>
      <c r="C48" s="74" t="inlineStr">
        <is>
          <t>MIAT OM223 UB 08:15 → Beijing 10:30; Airport Express + metro to Beijing station (left-luggage, lunch, rest); D17 sleeper 19:10 → Hangzhou.</t>
        </is>
      </c>
    </row>
    <row r="49" ht="15" customHeight="1" s="56">
      <c r="A49" s="74" t="inlineStr">
        <is>
          <t>Tue 26 Jan</t>
        </is>
      </c>
      <c r="B49" s="74" t="inlineStr">
        <is>
          <t>Hangzhou</t>
        </is>
      </c>
      <c r="C49" s="74" t="inlineStr">
        <is>
          <t>Arrive Hangzhou station 09:15; taxi to hotel (~45 min, leave bags). EC Final day 1: check-in, opening, warm-up (pattern of recent EC Finals).</t>
        </is>
      </c>
    </row>
    <row r="50" ht="15" customHeight="1" s="56">
      <c r="A50" s="74" t="inlineStr">
        <is>
          <t>Wed 27 Jan</t>
        </is>
      </c>
      <c r="B50" s="74" t="inlineStr">
        <is>
          <t>Hangzhou</t>
        </is>
      </c>
      <c r="C50" s="74" t="inlineStr">
        <is>
          <t>EC FINAL contest day.</t>
        </is>
      </c>
    </row>
    <row r="51" ht="15" customHeight="1" s="56">
      <c r="A51" s="74" t="inlineStr">
        <is>
          <t>Thu 28 Jan</t>
        </is>
      </c>
      <c r="B51" s="74" t="inlineStr">
        <is>
          <t>Hangzhou</t>
        </is>
      </c>
      <c r="C51" s="74" t="inlineStr">
        <is>
          <t>Forums, closing ceremony &amp; awards banquet.</t>
        </is>
      </c>
    </row>
    <row r="52" ht="15" customHeight="1" s="56">
      <c r="A52" s="74" t="inlineStr">
        <is>
          <t>Fri 29 Jan</t>
        </is>
      </c>
      <c r="B52" s="74" t="inlineStr">
        <is>
          <t>Home</t>
        </is>
      </c>
      <c r="C52" s="74" t="inlineStr">
        <is>
          <t>Air China through ticket Hangzhou 08:00 → Beijing Capital 10:20 (exit immigration) → Beijing 12:55 → UB 15:05. Home the same day.</t>
        </is>
      </c>
    </row>
    <row r="53" ht="15" customHeight="1" s="56">
      <c r="A53" s="74" t="n"/>
      <c r="B53" s="74" t="n"/>
      <c r="C53" s="74" t="n"/>
    </row>
    <row r="55" ht="15" customHeight="1" s="56">
      <c r="A55" s="72" t="inlineStr">
        <is>
          <t>Door-to-door travel times</t>
        </is>
      </c>
    </row>
    <row r="56" ht="15" customHeight="1" s="56">
      <c r="A56" s="96" t="inlineStr">
        <is>
          <t>Date</t>
        </is>
      </c>
      <c r="B56" s="96" t="inlineStr">
        <is>
          <t>Leg</t>
        </is>
      </c>
      <c r="C56" s="96" t="inlineStr">
        <is>
          <t>Mode</t>
        </is>
      </c>
      <c r="D56" s="96" t="inlineStr">
        <is>
          <t>Expected time</t>
        </is>
      </c>
      <c r="E56" s="96" t="inlineStr">
        <is>
          <t>Notes</t>
        </is>
      </c>
    </row>
    <row r="57" ht="15" customHeight="1" s="56">
      <c r="A57" s="105" t="inlineStr">
        <is>
          <t>25 Jan</t>
        </is>
      </c>
      <c r="B57" s="105" t="inlineStr">
        <is>
          <t>Home → Chinggis Khaan airport</t>
        </is>
      </c>
      <c r="C57" s="82" t="inlineStr">
        <is>
          <t>Taxi (~50 km)</t>
        </is>
      </c>
      <c r="D57" s="104" t="n">
        <v>0.04166666666666666</v>
      </c>
      <c r="E57" s="106" t="inlineStr">
        <is>
          <t>Leave ~05:15</t>
        </is>
      </c>
      <c r="F57" s="107" t="n"/>
      <c r="G57" s="107" t="n"/>
      <c r="H57" s="107" t="n"/>
      <c r="I57" s="107" t="n"/>
      <c r="J57" s="107" t="n"/>
      <c r="K57" s="107" t="n"/>
      <c r="L57" s="107" t="n"/>
    </row>
    <row r="58" ht="26.85" customHeight="1" s="56">
      <c r="A58" s="105" t="inlineStr">
        <is>
          <t>25 Jan</t>
        </is>
      </c>
      <c r="B58" s="105" t="inlineStr">
        <is>
          <t>Ulaanbaatar → Beijing (PEK)</t>
        </is>
      </c>
      <c r="C58" s="82" t="inlineStr">
        <is>
          <t>MIAT OM223 08:15–10:30</t>
        </is>
      </c>
      <c r="D58" s="84" t="n">
        <v>0.09375</v>
      </c>
      <c r="E58" s="106" t="n"/>
      <c r="F58" s="107" t="n"/>
      <c r="G58" s="107" t="n"/>
      <c r="H58" s="107" t="n"/>
      <c r="I58" s="107" t="n"/>
      <c r="J58" s="107" t="n"/>
      <c r="K58" s="107" t="n"/>
      <c r="L58" s="107" t="n"/>
    </row>
    <row r="59" ht="15" customHeight="1" s="56">
      <c r="A59" s="105" t="inlineStr">
        <is>
          <t>25 Jan</t>
        </is>
      </c>
      <c r="B59" s="105" t="inlineStr">
        <is>
          <t>PEK arrival: immigration, bags</t>
        </is>
      </c>
      <c r="C59" s="82" t="inlineStr">
        <is>
          <t>—</t>
        </is>
      </c>
      <c r="D59" s="104" t="n">
        <v>0.03125</v>
      </c>
      <c r="E59" s="106" t="inlineStr">
        <is>
          <t>Estimate</t>
        </is>
      </c>
      <c r="F59" s="107" t="n"/>
      <c r="G59" s="107" t="n"/>
      <c r="H59" s="107" t="n"/>
      <c r="I59" s="107" t="n"/>
      <c r="J59" s="107" t="n"/>
      <c r="K59" s="107" t="n"/>
      <c r="L59" s="107" t="n"/>
    </row>
    <row r="60" ht="39.55" customHeight="1" s="56">
      <c r="A60" s="105" t="inlineStr">
        <is>
          <t>25 Jan</t>
        </is>
      </c>
      <c r="B60" s="105" t="inlineStr">
        <is>
          <t>PEK → Beijing station</t>
        </is>
      </c>
      <c r="C60" s="82" t="inlineStr">
        <is>
          <t>Airport Express + metro line 2</t>
        </is>
      </c>
      <c r="D60" s="104" t="n">
        <v>0.04166666666666666</v>
      </c>
      <c r="E60" s="106" t="inlineStr">
        <is>
          <t>~8 h spare before D17 – buffer for a late MIAT</t>
        </is>
      </c>
      <c r="F60" s="107" t="n"/>
      <c r="G60" s="107" t="n"/>
      <c r="H60" s="107" t="n"/>
      <c r="I60" s="107" t="n"/>
      <c r="J60" s="107" t="n"/>
      <c r="K60" s="107" t="n"/>
      <c r="L60" s="107" t="n"/>
    </row>
    <row r="61" ht="15" customHeight="1" s="56">
      <c r="A61" s="105" t="inlineStr">
        <is>
          <t>25 Jan</t>
        </is>
      </c>
      <c r="B61" s="105" t="inlineStr">
        <is>
          <t>Beijing → Hangzhou</t>
        </is>
      </c>
      <c r="C61" s="82" t="inlineStr">
        <is>
          <t>D17 2nd-class sleeper</t>
        </is>
      </c>
      <c r="D61" s="84" t="n">
        <v>0.5868055555555556</v>
      </c>
      <c r="E61" s="106" t="inlineStr">
        <is>
          <t>19:10 → 09:15 (+1)</t>
        </is>
      </c>
      <c r="F61" s="107" t="n"/>
      <c r="G61" s="107" t="n"/>
      <c r="H61" s="107" t="n"/>
      <c r="I61" s="107" t="n"/>
      <c r="J61" s="107" t="n"/>
      <c r="K61" s="107" t="n"/>
      <c r="L61" s="107" t="n"/>
    </row>
    <row r="62" ht="15" customHeight="1" s="56">
      <c r="A62" s="105" t="inlineStr">
        <is>
          <t>26 Jan</t>
        </is>
      </c>
      <c r="B62" s="105" t="inlineStr">
        <is>
          <t>Hangzhou station → hotel (Cangqian)</t>
        </is>
      </c>
      <c r="C62" s="82" t="inlineStr">
        <is>
          <t>Taxi (~25 km)</t>
        </is>
      </c>
      <c r="D62" s="104" t="n">
        <v>0.03125</v>
      </c>
      <c r="E62" s="106" t="inlineStr">
        <is>
          <t>Metro ~1 h</t>
        </is>
      </c>
      <c r="F62" s="107" t="n"/>
      <c r="G62" s="107" t="n"/>
      <c r="H62" s="107" t="n"/>
      <c r="I62" s="107" t="n"/>
      <c r="J62" s="107" t="n"/>
      <c r="K62" s="107" t="n"/>
      <c r="L62" s="107" t="n"/>
    </row>
    <row r="63" ht="15" customHeight="1" s="56">
      <c r="A63" s="105" t="inlineStr">
        <is>
          <t>26–28 Jan</t>
        </is>
      </c>
      <c r="B63" s="105" t="inlineStr">
        <is>
          <t>Hotel ↔ HZNU Cangqian (each way)</t>
        </is>
      </c>
      <c r="C63" s="82" t="inlineStr">
        <is>
          <t>Walk</t>
        </is>
      </c>
      <c r="D63" s="108" t="inlineStr">
        <is>
          <t>daily</t>
        </is>
      </c>
      <c r="E63" s="106" t="inlineStr">
        <is>
          <t>~20 min walk (1.6 km)</t>
        </is>
      </c>
      <c r="F63" s="107" t="n"/>
      <c r="G63" s="107" t="n"/>
      <c r="H63" s="107" t="n"/>
      <c r="I63" s="107" t="n"/>
      <c r="J63" s="107" t="n"/>
      <c r="K63" s="107" t="n"/>
      <c r="L63" s="107" t="n"/>
    </row>
    <row r="64" ht="15" customHeight="1" s="56">
      <c r="A64" s="105" t="inlineStr">
        <is>
          <t>29 Jan</t>
        </is>
      </c>
      <c r="B64" s="105" t="inlineStr">
        <is>
          <t>Hotel → HGH</t>
        </is>
      </c>
      <c r="C64" s="82" t="inlineStr">
        <is>
          <t>Taxi (~55 km)</t>
        </is>
      </c>
      <c r="D64" s="104" t="n">
        <v>0.04166666666666666</v>
      </c>
      <c r="E64" s="106" t="inlineStr">
        <is>
          <t>Leave ~05:30</t>
        </is>
      </c>
      <c r="F64" s="107" t="n"/>
      <c r="G64" s="107" t="n"/>
      <c r="H64" s="107" t="n"/>
      <c r="I64" s="107" t="n"/>
      <c r="J64" s="107" t="n"/>
      <c r="K64" s="107" t="n"/>
      <c r="L64" s="107" t="n"/>
    </row>
    <row r="65" ht="15" customHeight="1" s="56">
      <c r="A65" s="105" t="inlineStr">
        <is>
          <t>29 Jan</t>
        </is>
      </c>
      <c r="B65" s="105" t="inlineStr">
        <is>
          <t>HGH check-in &amp; security</t>
        </is>
      </c>
      <c r="C65" s="82" t="inlineStr">
        <is>
          <t>—</t>
        </is>
      </c>
      <c r="D65" s="84" t="n">
        <v>0.0625</v>
      </c>
      <c r="E65" s="106" t="n"/>
      <c r="F65" s="107" t="n"/>
      <c r="G65" s="107" t="n"/>
      <c r="H65" s="107" t="n"/>
      <c r="I65" s="107" t="n"/>
      <c r="J65" s="107" t="n"/>
      <c r="K65" s="107" t="n"/>
      <c r="L65" s="107" t="n"/>
    </row>
    <row r="66" ht="15" customHeight="1" s="56">
      <c r="A66" s="105" t="inlineStr">
        <is>
          <t>29 Jan</t>
        </is>
      </c>
      <c r="B66" s="105" t="inlineStr">
        <is>
          <t>Hangzhou → Beijing Capital (PEK)</t>
        </is>
      </c>
      <c r="C66" s="82" t="inlineStr">
        <is>
          <t>Air China 08:00–10:20</t>
        </is>
      </c>
      <c r="D66" s="104" t="n">
        <v>0.09722222222222222</v>
      </c>
      <c r="E66" s="106" t="n"/>
      <c r="F66" s="107" t="n"/>
      <c r="G66" s="107" t="n"/>
      <c r="H66" s="107" t="n"/>
      <c r="I66" s="107" t="n"/>
      <c r="J66" s="107" t="n"/>
      <c r="K66" s="107" t="n"/>
      <c r="L66" s="107" t="n"/>
    </row>
    <row r="67" ht="15" customHeight="1" s="56">
      <c r="A67" s="105" t="inlineStr">
        <is>
          <t>29 Jan</t>
        </is>
      </c>
      <c r="B67" s="105" t="inlineStr">
        <is>
          <t>PEK: domestic-to-international transfer, exit immigration</t>
        </is>
      </c>
      <c r="C67" s="82" t="inlineStr">
        <is>
          <t>—</t>
        </is>
      </c>
      <c r="D67" s="104" t="n">
        <v>0.1076388888888889</v>
      </c>
      <c r="E67" s="106" t="n"/>
      <c r="F67" s="107" t="n"/>
      <c r="G67" s="107" t="n"/>
      <c r="H67" s="107" t="n"/>
      <c r="I67" s="107" t="n"/>
      <c r="J67" s="107" t="n"/>
      <c r="K67" s="107" t="n"/>
      <c r="L67" s="107" t="n"/>
    </row>
    <row r="68" ht="26.85" customHeight="1" s="56">
      <c r="A68" s="105" t="inlineStr">
        <is>
          <t>29 Jan</t>
        </is>
      </c>
      <c r="B68" s="105" t="inlineStr">
        <is>
          <t>Beijing Capital → Ulaanbaatar</t>
        </is>
      </c>
      <c r="C68" s="82" t="inlineStr">
        <is>
          <t>Air China 12:55–15:05</t>
        </is>
      </c>
      <c r="D68" s="84" t="n">
        <v>0.09027777777777778</v>
      </c>
      <c r="E68" s="106" t="n"/>
      <c r="F68" s="107" t="n"/>
      <c r="G68" s="107" t="n"/>
      <c r="H68" s="107" t="n"/>
      <c r="I68" s="107" t="n"/>
      <c r="J68" s="107" t="n"/>
      <c r="K68" s="107" t="n"/>
      <c r="L68" s="107" t="n"/>
    </row>
    <row r="69" ht="14.15" customHeight="1" s="56">
      <c r="A69" s="105" t="inlineStr">
        <is>
          <t>29 Jan</t>
        </is>
      </c>
      <c r="B69" s="105" t="inlineStr">
        <is>
          <t>Chinggis Khaan airport → home</t>
        </is>
      </c>
      <c r="C69" s="82" t="inlineStr">
        <is>
          <t>Taxi</t>
        </is>
      </c>
      <c r="D69" s="104" t="n">
        <v>0.04166666666666666</v>
      </c>
      <c r="E69" s="106" t="n"/>
      <c r="F69" s="107" t="n"/>
      <c r="G69" s="107" t="n"/>
      <c r="H69" s="107" t="n"/>
      <c r="I69" s="107" t="n"/>
      <c r="J69" s="107" t="n"/>
      <c r="K69" s="107" t="n"/>
      <c r="L69" s="107" t="n"/>
    </row>
    <row r="70" ht="15" customHeight="1" s="56">
      <c r="C70" s="59" t="inlineStr">
        <is>
          <t>Total door-to-door</t>
        </is>
      </c>
      <c r="D70" s="109">
        <f>SUM(D57:D69)</f>
        <v/>
      </c>
    </row>
  </sheetData>
  <mergeCells count="24">
    <mergeCell ref="E56:L56"/>
    <mergeCell ref="E58:L58"/>
    <mergeCell ref="C52:L52"/>
    <mergeCell ref="E68:L68"/>
    <mergeCell ref="C48:L48"/>
    <mergeCell ref="E62:L62"/>
    <mergeCell ref="E67:L67"/>
    <mergeCell ref="B43:L43"/>
    <mergeCell ref="C53:L53"/>
    <mergeCell ref="E64:L64"/>
    <mergeCell ref="C49:L49"/>
    <mergeCell ref="E63:L63"/>
    <mergeCell ref="B42:L42"/>
    <mergeCell ref="E60:L60"/>
    <mergeCell ref="E69:L69"/>
    <mergeCell ref="E65:L65"/>
    <mergeCell ref="B44:L44"/>
    <mergeCell ref="E59:L59"/>
    <mergeCell ref="C47:L47"/>
    <mergeCell ref="C50:L50"/>
    <mergeCell ref="E61:L61"/>
    <mergeCell ref="E57:L57"/>
    <mergeCell ref="E66:L66"/>
    <mergeCell ref="C51:L5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4.xml><?xml version="1.0" encoding="utf-8"?>
<worksheet xmlns="http://schemas.openxmlformats.org/spreadsheetml/2006/main">
  <sheetPr filterMode="0">
    <outlinePr summaryBelow="1" summaryRight="1"/>
    <pageSetUpPr fitToPage="0"/>
  </sheetPr>
  <dimension ref="A1:L70"/>
  <sheetViews>
    <sheetView showFormulas="0" showGridLines="1" showRowColHeaders="1" showZeros="1" rightToLeft="0" tabSelected="0" showOutlineSymbols="1" defaultGridColor="1"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baseColWidth="8" defaultColWidth="8.6796875" defaultRowHeight="15" zeroHeight="0" outlineLevelRow="0"/>
  <cols>
    <col width="26" customWidth="1" style="55" min="1" max="1"/>
    <col width="52" customWidth="1" style="55" min="2" max="2"/>
    <col width="20" customWidth="1" style="55" min="3" max="3"/>
    <col width="15" customWidth="1" style="55" min="4" max="4"/>
    <col width="13" customWidth="1" style="55" min="5" max="5"/>
    <col width="9" customWidth="1" style="55" min="6" max="7"/>
    <col width="17" customWidth="1" style="55" min="8" max="8"/>
    <col width="13" customWidth="1" style="55" min="9" max="9"/>
    <col width="9" customWidth="1" style="55" min="10" max="10"/>
    <col width="17" customWidth="1" style="55" min="11" max="11"/>
    <col width="58" customWidth="1" style="55" min="12" max="12"/>
  </cols>
  <sheetData>
    <row r="1" ht="17.35" customHeight="1" s="56">
      <c r="A1" s="57" t="inlineStr">
        <is>
          <t>EC Final Hangzhou – Fly</t>
        </is>
      </c>
    </row>
    <row r="2" ht="15" customHeight="1" s="56">
      <c r="A2" s="62" t="inlineStr">
        <is>
          <t>Out: Aero Mongolia UB → Hohhot + Xiamen Airlines Hohhot → Hangzhou (separate tickets). Back: Air China through ticket via Beijing (home 29 Jan). Hotel ~1.7 km from HZNU Cangqian.</t>
        </is>
      </c>
    </row>
    <row r="4" ht="15" customHeight="1" s="56">
      <c r="A4" s="60" t="inlineStr">
        <is>
          <t>Days in destination (meals &amp; local transport)</t>
        </is>
      </c>
      <c r="B4" s="76" t="n">
        <v>4.5</v>
      </c>
      <c r="C4" s="62" t="inlineStr">
        <is>
          <t>25 Jan → morning 29 Jan</t>
        </is>
      </c>
    </row>
    <row r="5" ht="15" customHeight="1" s="56">
      <c r="A5" s="62" t="inlineStr">
        <is>
          <t>Shared inputs are on the Compare sheet. Scroll down for the day-by-day plan and door-to-door travel times.</t>
        </is>
      </c>
    </row>
    <row r="7" ht="31.5" customHeight="1" s="56">
      <c r="A7" s="66" t="inlineStr">
        <is>
          <t>Category</t>
        </is>
      </c>
      <c r="B7" s="66" t="inlineStr">
        <is>
          <t>Item</t>
        </is>
      </c>
      <c r="C7" s="66" t="inlineStr">
        <is>
          <t>Date</t>
        </is>
      </c>
      <c r="D7" s="66" t="inlineStr">
        <is>
          <t>Travel time</t>
        </is>
      </c>
      <c r="E7" s="66" t="inlineStr">
        <is>
          <t>Unit cost (3 ppl)</t>
        </is>
      </c>
      <c r="F7" s="66" t="inlineStr">
        <is>
          <t>Currency</t>
        </is>
      </c>
      <c r="G7" s="66" t="inlineStr">
        <is>
          <t>Qty (3 ppl)</t>
        </is>
      </c>
      <c r="H7" s="66" t="inlineStr">
        <is>
          <t>Total MNT – 3 people</t>
        </is>
      </c>
      <c r="I7" s="66" t="inlineStr">
        <is>
          <t>Unit cost (4 ppl)</t>
        </is>
      </c>
      <c r="J7" s="66" t="inlineStr">
        <is>
          <t>Qty (4 ppl)</t>
        </is>
      </c>
      <c r="K7" s="66" t="inlineStr">
        <is>
          <t>Total MNT – 4 people</t>
        </is>
      </c>
      <c r="L7" s="66" t="inlineStr">
        <is>
          <t>Source / notes</t>
        </is>
      </c>
    </row>
    <row r="8" ht="15" customHeight="1" s="56">
      <c r="A8" s="77" t="inlineStr">
        <is>
          <t>PAID BY UNIVERSITY</t>
        </is>
      </c>
      <c r="B8" s="78" t="n"/>
      <c r="C8" s="78" t="n"/>
      <c r="D8" s="78" t="n"/>
      <c r="E8" s="78" t="n"/>
      <c r="F8" s="78" t="n"/>
      <c r="G8" s="78" t="n"/>
      <c r="H8" s="78" t="n"/>
      <c r="I8" s="78" t="n"/>
      <c r="J8" s="78" t="n"/>
      <c r="K8" s="78" t="n"/>
      <c r="L8" s="78" t="n"/>
    </row>
    <row r="9" ht="15" customHeight="1" s="56">
      <c r="A9" s="79" t="inlineStr">
        <is>
          <t>Flights</t>
        </is>
      </c>
      <c r="B9" s="80" t="n"/>
      <c r="C9" s="80" t="n"/>
      <c r="D9" s="80" t="n"/>
      <c r="E9" s="80" t="n"/>
      <c r="F9" s="80" t="n"/>
      <c r="G9" s="80" t="n"/>
      <c r="H9" s="80" t="n"/>
      <c r="I9" s="80" t="n"/>
      <c r="J9" s="80" t="n"/>
      <c r="K9" s="80" t="n"/>
      <c r="L9" s="80" t="n"/>
    </row>
    <row r="10" ht="26.85" customHeight="1" s="56">
      <c r="A10" s="81" t="n"/>
      <c r="B10" s="82" t="inlineStr">
        <is>
          <t>Aero Mongolia Ulaanbaatar 06:30 → Hohhot (HET) 08:00, nonstop</t>
        </is>
      </c>
      <c r="C10" s="83" t="inlineStr">
        <is>
          <t>25 Jan</t>
        </is>
      </c>
      <c r="D10" s="84" t="n">
        <v>0.0625</v>
      </c>
      <c r="E10" s="85" t="n">
        <v>892</v>
      </c>
      <c r="F10" s="86" t="inlineStr">
        <is>
          <t>CNY</t>
        </is>
      </c>
      <c r="G10" s="87">
        <f>Compare!$B$6</f>
        <v/>
      </c>
      <c r="H10" s="88">
        <f>E10*G10*IF(F10="USD",Compare!$B$8,IF(F10="CNY",Compare!$B$9,IF(F10="HKD",Compare!$B$10,1)))</f>
        <v/>
      </c>
      <c r="I10" s="89">
        <f>E10</f>
        <v/>
      </c>
      <c r="J10" s="87">
        <f>Compare!$B$7</f>
        <v/>
      </c>
      <c r="K10" s="88">
        <f>I10*J10*IF(F10="USD",Compare!$B$8,IF(F10="CNY",Compare!$B$9,IF(F10="HKD",Compare!$B$10,1)))</f>
        <v/>
      </c>
      <c r="L10" s="90" t="inlineStr">
        <is>
          <t>Trip.com 1 Oct: ¥892 pp (bag shown as included – confirm). Self-transfer at Hohhot. Together with row 11: ¥2,752 pp vs ¥3,265 for the Air China through ticket via Beijing (the backup)</t>
        </is>
      </c>
    </row>
    <row r="11" ht="43.25" customHeight="1" s="56">
      <c r="A11" s="81" t="n"/>
      <c r="B11" s="82" t="inlineStr">
        <is>
          <t>Xiamen Airlines Hohhot (HET) 11:15 → Hangzhou (HGH) 13:40, nonstop</t>
        </is>
      </c>
      <c r="C11" s="83" t="inlineStr">
        <is>
          <t>25 Jan</t>
        </is>
      </c>
      <c r="D11" s="84" t="n">
        <v>0.1006944444444444</v>
      </c>
      <c r="E11" s="85" t="n">
        <v>1860</v>
      </c>
      <c r="F11" s="86" t="inlineStr">
        <is>
          <t>CNY</t>
        </is>
      </c>
      <c r="G11" s="87">
        <f>Compare!$B$6</f>
        <v/>
      </c>
      <c r="H11" s="88">
        <f>E11*G11*IF(F11="USD",Compare!$B$8,IF(F11="CNY",Compare!$B$9,IF(F11="HKD",Compare!$B$10,1)))</f>
        <v/>
      </c>
      <c r="I11" s="89">
        <f>E11</f>
        <v/>
      </c>
      <c r="J11" s="87">
        <f>Compare!$B$7</f>
        <v/>
      </c>
      <c r="K11" s="88">
        <f>I11*J11*IF(F11="USD",Compare!$B$8,IF(F11="CNY",Compare!$B$9,IF(F11="HKD",Compare!$B$10,1)))</f>
        <v/>
      </c>
      <c r="L11" s="90" t="inlineStr">
        <is>
          <t>Trip.com 1 Oct: ¥1,860 pp. 3 h 15 min to clear immigration and re-check bags at HET. Air China 19:40 (lands 22:20) is ¥1,710</t>
        </is>
      </c>
    </row>
    <row r="12" ht="43.25" customHeight="1" s="56">
      <c r="A12" s="81" t="n"/>
      <c r="B12" s="82" t="inlineStr">
        <is>
          <t>Air China through ticket Hangzhou 08:00 → Beijing Capital (2 h 35 min transfer) → Ulaanbaatar 15:05, bags checked through</t>
        </is>
      </c>
      <c r="C12" s="83" t="inlineStr">
        <is>
          <t>29 Jan</t>
        </is>
      </c>
      <c r="D12" s="84" t="n">
        <v>0.1875</v>
      </c>
      <c r="E12" s="85" t="n">
        <v>2250</v>
      </c>
      <c r="F12" s="86" t="inlineStr">
        <is>
          <t>CNY</t>
        </is>
      </c>
      <c r="G12" s="87">
        <f>Compare!$B$6</f>
        <v/>
      </c>
      <c r="H12" s="88">
        <f>E12*G12*IF(F12="USD",Compare!$B$8,IF(F12="CNY",Compare!$B$9,IF(F12="HKD",Compare!$B$10,1)))</f>
        <v/>
      </c>
      <c r="I12" s="89">
        <f>E12</f>
        <v/>
      </c>
      <c r="J12" s="87">
        <f>Compare!$B$7</f>
        <v/>
      </c>
      <c r="K12" s="88">
        <f>I12*J12*IF(F12="USD",Compare!$B$8,IF(F12="CNY",Compare!$B$9,IF(F12="HKD",Compare!$B$10,1)))</f>
        <v/>
      </c>
      <c r="L12" s="90" t="inlineStr">
        <is>
          <t>Trip.com 1 Oct: ¥2,250 pp (same price for 07:00 and 09:00 departures). Replaces Hangzhou→Beijing ¥1,809 + a Beijing hotel night + MIAT on 30 Jan $219 (~¥3,280 pp + hotel)</t>
        </is>
      </c>
    </row>
    <row r="13" ht="26.85" customHeight="1" s="56">
      <c r="A13" s="81" t="n"/>
      <c r="B13" s="82" t="n"/>
      <c r="C13" s="83" t="n"/>
      <c r="D13" s="84" t="n"/>
      <c r="E13" s="85" t="n"/>
      <c r="F13" s="86" t="n"/>
      <c r="G13" s="87" t="n"/>
      <c r="H13" s="88" t="n"/>
      <c r="I13" s="89" t="n"/>
      <c r="J13" s="87" t="n"/>
      <c r="K13" s="88" t="n"/>
      <c r="L13" s="90" t="n"/>
    </row>
    <row r="14" ht="15" customHeight="1" s="56">
      <c r="A14" s="79" t="inlineStr">
        <is>
          <t>Accommodation</t>
        </is>
      </c>
      <c r="B14" s="80" t="n"/>
      <c r="C14" s="80" t="n"/>
      <c r="D14" s="80" t="n"/>
      <c r="E14" s="80" t="n"/>
      <c r="F14" s="80" t="n"/>
      <c r="G14" s="80" t="n"/>
      <c r="H14" s="80" t="n"/>
      <c r="I14" s="80" t="n"/>
      <c r="J14" s="80" t="n"/>
      <c r="K14" s="80" t="n"/>
      <c r="L14" s="80" t="n"/>
    </row>
    <row r="15" ht="26.85" customHeight="1" s="56">
      <c r="A15" s="81" t="n"/>
      <c r="B15" s="82" t="inlineStr">
        <is>
          <t>Mehood Theater Hotel, Future Sci-Tech City (~1.7 km to HZNU Cangqian; 3 ppl Family Room; 4 ppl 2 rooms)</t>
        </is>
      </c>
      <c r="C15" s="83" t="inlineStr">
        <is>
          <t>25–29 Jan (4 nights)</t>
        </is>
      </c>
      <c r="D15" s="81" t="n"/>
      <c r="E15" s="85" t="n">
        <v>450</v>
      </c>
      <c r="F15" s="86" t="inlineStr">
        <is>
          <t>CNY</t>
        </is>
      </c>
      <c r="G15" s="91" t="n">
        <v>4</v>
      </c>
      <c r="H15" s="88">
        <f>E15*G15*IF(F15="USD",Compare!$B$8,IF(F15="CNY",Compare!$B$9,IF(F15="HKD",Compare!$B$10,1)))</f>
        <v/>
      </c>
      <c r="I15" s="85" t="n">
        <v>712</v>
      </c>
      <c r="J15" s="91" t="n">
        <v>4</v>
      </c>
      <c r="K15" s="88">
        <f>I15*J15*IF(F15="USD",Compare!$B$8,IF(F15="CNY",Compare!$B$9,IF(F15="HKD",Compare!$B$10,1)))</f>
        <v/>
      </c>
      <c r="L15" s="90" t="inlineStr">
        <is>
          <t>Trip.com 1 Oct: ¥1,800 (3 ppl, Family Room) / ¥2,848 (4 ppl, 2 double rooms) for 4 nights; rated 9.6 (2,037 reviews). Was Atour S ¥2,141 / ¥3,379 on Booking.com</t>
        </is>
      </c>
    </row>
    <row r="16" ht="26.85" customHeight="1" s="56">
      <c r="A16" s="81" t="n"/>
      <c r="B16" s="82" t="n"/>
      <c r="C16" s="83" t="n"/>
      <c r="D16" s="81" t="n"/>
      <c r="E16" s="85" t="n"/>
      <c r="F16" s="86" t="n"/>
      <c r="G16" s="91" t="n"/>
      <c r="H16" s="88" t="n"/>
      <c r="I16" s="85" t="n"/>
      <c r="J16" s="91" t="n"/>
      <c r="K16" s="88" t="n"/>
      <c r="L16" s="90" t="n"/>
    </row>
    <row r="17" ht="15" customHeight="1" s="56">
      <c r="A17" s="79" t="inlineStr">
        <is>
          <t>Meals &amp; local transport</t>
        </is>
      </c>
      <c r="B17" s="80" t="n"/>
      <c r="C17" s="80" t="n"/>
      <c r="D17" s="80" t="n"/>
      <c r="E17" s="80" t="n"/>
      <c r="F17" s="80" t="n"/>
      <c r="G17" s="80" t="n"/>
      <c r="H17" s="80" t="n"/>
      <c r="I17" s="80" t="n"/>
      <c r="J17" s="80" t="n"/>
      <c r="K17" s="80" t="n"/>
      <c r="L17" s="80" t="n"/>
    </row>
    <row r="18" ht="15" customHeight="1" s="56">
      <c r="A18" s="81" t="n"/>
      <c r="B18" s="82" t="inlineStr">
        <is>
          <t>Meals</t>
        </is>
      </c>
      <c r="C18" s="83" t="inlineStr">
        <is>
          <t>in China</t>
        </is>
      </c>
      <c r="D18" s="81" t="n"/>
      <c r="E18" s="92" t="n">
        <v>80</v>
      </c>
      <c r="F18" s="86" t="inlineStr">
        <is>
          <t>CNY</t>
        </is>
      </c>
      <c r="G18" s="87">
        <f>Compare!$B$6*$B$4</f>
        <v/>
      </c>
      <c r="H18" s="88">
        <f>E18*G18*IF(F18="USD",Compare!$B$8,IF(F18="CNY",Compare!$B$9,IF(F18="HKD",Compare!$B$10,1)))</f>
        <v/>
      </c>
      <c r="I18" s="93">
        <f>E18</f>
        <v/>
      </c>
      <c r="J18" s="87">
        <f>Compare!$B$7*$B$4</f>
        <v/>
      </c>
      <c r="K18" s="88">
        <f>I18*J18*IF(F18="USD",Compare!$B$8,IF(F18="CNY",Compare!$B$9,IF(F18="HKD",Compare!$B$10,1)))</f>
        <v/>
      </c>
      <c r="L18" s="90" t="inlineStr">
        <is>
          <t>ASSUMPTION 80 CNY/person/day; EC Final usually includes banquets</t>
        </is>
      </c>
    </row>
    <row r="19" ht="15" customHeight="1" s="56">
      <c r="A19" s="81" t="n"/>
      <c r="B19" s="82" t="inlineStr">
        <is>
          <t>Local transport (metro, taxis)</t>
        </is>
      </c>
      <c r="C19" s="83" t="inlineStr">
        <is>
          <t>in China</t>
        </is>
      </c>
      <c r="D19" s="81" t="n"/>
      <c r="E19" s="92" t="n">
        <v>30</v>
      </c>
      <c r="F19" s="86" t="inlineStr">
        <is>
          <t>CNY</t>
        </is>
      </c>
      <c r="G19" s="87">
        <f>Compare!$B$6*$B$4</f>
        <v/>
      </c>
      <c r="H19" s="88">
        <f>E19*G19*IF(F19="USD",Compare!$B$8,IF(F19="CNY",Compare!$B$9,IF(F19="HKD",Compare!$B$10,1)))</f>
        <v/>
      </c>
      <c r="I19" s="93">
        <f>E19</f>
        <v/>
      </c>
      <c r="J19" s="87">
        <f>Compare!$B$7*$B$4</f>
        <v/>
      </c>
      <c r="K19" s="88">
        <f>I19*J19*IF(F19="USD",Compare!$B$8,IF(F19="CNY",Compare!$B$9,IF(F19="HKD",Compare!$B$10,1)))</f>
        <v/>
      </c>
      <c r="L19" s="90" t="inlineStr">
        <is>
          <t>ASSUMPTION 30 CNY/person/day</t>
        </is>
      </c>
    </row>
    <row r="20" ht="26.85" customHeight="1" s="56">
      <c r="A20" s="81" t="n"/>
      <c r="B20" s="82" t="inlineStr">
        <is>
          <t>Taxi Hangzhou airport ↔ Cangqian (~55 km), both ways</t>
        </is>
      </c>
      <c r="C20" s="83" t="inlineStr">
        <is>
          <t>25 &amp; 29 Jan</t>
        </is>
      </c>
      <c r="D20" s="81" t="n"/>
      <c r="E20" s="92" t="n">
        <v>150</v>
      </c>
      <c r="F20" s="86" t="inlineStr">
        <is>
          <t>CNY</t>
        </is>
      </c>
      <c r="G20" s="91" t="n">
        <v>2</v>
      </c>
      <c r="H20" s="88">
        <f>E20*G20*IF(F20="USD",Compare!$B$8,IF(F20="CNY",Compare!$B$9,IF(F20="HKD",Compare!$B$10,1)))</f>
        <v/>
      </c>
      <c r="I20" s="93">
        <f>E20</f>
        <v/>
      </c>
      <c r="J20" s="91" t="n">
        <v>2</v>
      </c>
      <c r="K20" s="88">
        <f>I20*J20*IF(F20="USD",Compare!$B$8,IF(F20="CNY",Compare!$B$9,IF(F20="HKD",Compare!$B$10,1)))</f>
        <v/>
      </c>
      <c r="L20" s="90" t="inlineStr">
        <is>
          <t>ASSUMPTION ~150 CNY per car per trip</t>
        </is>
      </c>
    </row>
    <row r="21" ht="15" customHeight="1" s="56">
      <c r="A21" s="94" t="inlineStr">
        <is>
          <t>PAID PERSONALLY (university won't cover)</t>
        </is>
      </c>
      <c r="B21" s="95" t="n"/>
      <c r="C21" s="95" t="n"/>
      <c r="D21" s="95" t="n"/>
      <c r="E21" s="95" t="n"/>
      <c r="F21" s="95" t="n"/>
      <c r="G21" s="95" t="n"/>
      <c r="H21" s="95" t="n"/>
      <c r="I21" s="95" t="n"/>
      <c r="J21" s="95" t="n"/>
      <c r="K21" s="95" t="n"/>
      <c r="L21" s="95" t="n"/>
    </row>
    <row r="22" ht="15" customHeight="1" s="56">
      <c r="A22" s="79" t="inlineStr">
        <is>
          <t>Contest fee</t>
        </is>
      </c>
      <c r="B22" s="80" t="n"/>
      <c r="C22" s="80" t="n"/>
      <c r="D22" s="80" t="n"/>
      <c r="E22" s="80" t="n"/>
      <c r="F22" s="80" t="n"/>
      <c r="G22" s="80" t="n"/>
      <c r="H22" s="80" t="n"/>
      <c r="I22" s="80" t="n"/>
      <c r="J22" s="80" t="n"/>
      <c r="K22" s="80" t="n"/>
      <c r="L22" s="80" t="n"/>
    </row>
    <row r="23" ht="15" customHeight="1" s="56">
      <c r="A23" s="81" t="n"/>
      <c r="B23" s="82" t="inlineStr">
        <is>
          <t>EC Final registration fee (per team)</t>
        </is>
      </c>
      <c r="C23" s="83" t="inlineStr">
        <is>
          <t>TBC</t>
        </is>
      </c>
      <c r="D23" s="81" t="n"/>
      <c r="E23" s="92" t="n">
        <v>1500</v>
      </c>
      <c r="F23" s="86" t="inlineStr">
        <is>
          <t>CNY</t>
        </is>
      </c>
      <c r="G23" s="91" t="n">
        <v>1</v>
      </c>
      <c r="H23" s="88">
        <f>E23*G23*IF(F23="USD",Compare!$B$8,IF(F23="CNY",Compare!$B$9,IF(F23="HKD",Compare!$B$10,1)))</f>
        <v/>
      </c>
      <c r="I23" s="93">
        <f>E23</f>
        <v/>
      </c>
      <c r="J23" s="91" t="n">
        <v>1</v>
      </c>
      <c r="K23" s="88">
        <f>I23*J23*IF(F23="USD",Compare!$B$8,IF(F23="CNY",Compare!$B$9,IF(F23="HKD",Compare!$B$10,1)))</f>
        <v/>
      </c>
      <c r="L23" s="90" t="inlineStr">
        <is>
          <t>ASSUMPTION: no public figure found; 1,500 CNY/team like regionals</t>
        </is>
      </c>
    </row>
    <row r="24" ht="15" customHeight="1" s="56">
      <c r="A24" s="79" t="inlineStr">
        <is>
          <t>Other</t>
        </is>
      </c>
      <c r="B24" s="80" t="n"/>
      <c r="C24" s="80" t="n"/>
      <c r="D24" s="80" t="n"/>
      <c r="E24" s="80" t="n"/>
      <c r="F24" s="80" t="n"/>
      <c r="G24" s="80" t="n"/>
      <c r="H24" s="80" t="n"/>
      <c r="I24" s="80" t="n"/>
      <c r="J24" s="80" t="n"/>
      <c r="K24" s="80" t="n"/>
      <c r="L24" s="80" t="n"/>
    </row>
    <row r="25" ht="15" customHeight="1" s="56">
      <c r="A25" s="81" t="n"/>
      <c r="B25" s="82" t="inlineStr">
        <is>
          <t>Taxi to/from Chinggis Khaan airport (UB), per trip</t>
        </is>
      </c>
      <c r="C25" s="83" t="inlineStr">
        <is>
          <t>out &amp; back</t>
        </is>
      </c>
      <c r="D25" s="84" t="n">
        <v>0.04166666666666666</v>
      </c>
      <c r="E25" s="92" t="n">
        <v>100000</v>
      </c>
      <c r="F25" s="86" t="inlineStr">
        <is>
          <t>MNT</t>
        </is>
      </c>
      <c r="G25" s="91" t="n">
        <v>2</v>
      </c>
      <c r="H25" s="88">
        <f>E25*G25*IF(F25="USD",Compare!$B$8,IF(F25="CNY",Compare!$B$9,IF(F25="HKD",Compare!$B$10,1)))</f>
        <v/>
      </c>
      <c r="I25" s="93">
        <f>E25</f>
        <v/>
      </c>
      <c r="J25" s="91" t="n">
        <v>2</v>
      </c>
      <c r="K25" s="88">
        <f>I25*J25*IF(F25="USD",Compare!$B$8,IF(F25="CNY",Compare!$B$9,IF(F25="HKD",Compare!$B$10,1)))</f>
        <v/>
      </c>
      <c r="L25" s="90" t="inlineStr">
        <is>
          <t>ASSUMPTION 100k MNT per trip for the group</t>
        </is>
      </c>
    </row>
    <row r="26" ht="15" customHeight="1" s="56">
      <c r="A26" s="81" t="n"/>
      <c r="B26" s="82" t="inlineStr">
        <is>
          <t>Travel medical insurance</t>
        </is>
      </c>
      <c r="C26" s="83" t="n"/>
      <c r="D26" s="81" t="n"/>
      <c r="E26" s="92" t="n">
        <v>30000</v>
      </c>
      <c r="F26" s="86" t="inlineStr">
        <is>
          <t>MNT</t>
        </is>
      </c>
      <c r="G26" s="87">
        <f>Compare!$B$6</f>
        <v/>
      </c>
      <c r="H26" s="88">
        <f>E26*G26*IF(F26="USD",Compare!$B$8,IF(F26="CNY",Compare!$B$9,IF(F26="HKD",Compare!$B$10,1)))</f>
        <v/>
      </c>
      <c r="I26" s="93">
        <f>E26</f>
        <v/>
      </c>
      <c r="J26" s="87">
        <f>Compare!$B$7</f>
        <v/>
      </c>
      <c r="K26" s="88">
        <f>I26*J26*IF(F26="USD",Compare!$B$8,IF(F26="CNY",Compare!$B$9,IF(F26="HKD",Compare!$B$10,1)))</f>
        <v/>
      </c>
      <c r="L26" s="90" t="inlineStr">
        <is>
          <t>ASSUMPTION ~30k MNT per person, Mongolian insurer</t>
        </is>
      </c>
    </row>
    <row r="27" ht="15" customHeight="1" s="56">
      <c r="A27" s="81" t="n"/>
      <c r="B27" s="82" t="inlineStr">
        <is>
          <t>Mobile data eSIM</t>
        </is>
      </c>
      <c r="C27" s="83" t="n"/>
      <c r="D27" s="81" t="n"/>
      <c r="E27" s="92" t="n">
        <v>10</v>
      </c>
      <c r="F27" s="86" t="inlineStr">
        <is>
          <t>USD</t>
        </is>
      </c>
      <c r="G27" s="87">
        <f>Compare!$B$6</f>
        <v/>
      </c>
      <c r="H27" s="88">
        <f>E27*G27*IF(F27="USD",Compare!$B$8,IF(F27="CNY",Compare!$B$9,IF(F27="HKD",Compare!$B$10,1)))</f>
        <v/>
      </c>
      <c r="I27" s="93">
        <f>E27</f>
        <v/>
      </c>
      <c r="J27" s="87">
        <f>Compare!$B$7</f>
        <v/>
      </c>
      <c r="K27" s="88">
        <f>I27*J27*IF(F27="USD",Compare!$B$8,IF(F27="CNY",Compare!$B$9,IF(F27="HKD",Compare!$B$10,1)))</f>
        <v/>
      </c>
      <c r="L27" s="90" t="inlineStr">
        <is>
          <t>ASSUMPTION ~$10 pp</t>
        </is>
      </c>
    </row>
    <row r="28" ht="22.35" customHeight="1" s="56">
      <c r="A28" s="81" t="n"/>
      <c r="B28" s="82" t="inlineStr">
        <is>
          <t>Visa</t>
        </is>
      </c>
      <c r="C28" s="83" t="n"/>
      <c r="D28" s="81" t="n"/>
      <c r="E28" s="85" t="n">
        <v>0</v>
      </c>
      <c r="F28" s="86" t="inlineStr">
        <is>
          <t>MNT</t>
        </is>
      </c>
      <c r="G28" s="87">
        <f>Compare!$B$6</f>
        <v/>
      </c>
      <c r="H28" s="88">
        <f>E28*G28*IF(F28="USD",Compare!$B$8,IF(F28="CNY",Compare!$B$9,IF(F28="HKD",Compare!$B$10,1)))</f>
        <v/>
      </c>
      <c r="I28" s="89">
        <f>E28</f>
        <v/>
      </c>
      <c r="J28" s="87">
        <f>Compare!$B$7</f>
        <v/>
      </c>
      <c r="K28" s="88">
        <f>I28*J28*IF(F28="USD",Compare!$B$8,IF(F28="CNY",Compare!$B$9,IF(F28="HKD",Compare!$B$10,1)))</f>
        <v/>
      </c>
      <c r="L28" s="90" t="inlineStr">
        <is>
          <t>Mongolian passports: visa-free (mainland China up to 30 days; Hong Kong up to 14 days)</t>
        </is>
      </c>
    </row>
    <row r="30" ht="15" customHeight="1" s="56">
      <c r="G30" s="60" t="n"/>
      <c r="H30" s="96" t="inlineStr">
        <is>
          <t>3 people – UNFUNDED</t>
        </is>
      </c>
      <c r="K30" s="96" t="inlineStr">
        <is>
          <t>4 people – FUNDED ₮12M</t>
        </is>
      </c>
    </row>
    <row r="31" ht="15" customHeight="1" s="56">
      <c r="G31" s="97" t="inlineStr">
        <is>
          <t>University-paid subtotal</t>
        </is>
      </c>
      <c r="H31" s="98">
        <f>SUM(H9:H20)</f>
        <v/>
      </c>
      <c r="K31" s="98">
        <f>SUM(K9:K20)</f>
        <v/>
      </c>
    </row>
    <row r="32" ht="15" customHeight="1" s="56">
      <c r="G32" s="99" t="inlineStr">
        <is>
          <t>Contingency</t>
        </is>
      </c>
      <c r="H32" s="100">
        <f>H31*Compare!$B$11</f>
        <v/>
      </c>
      <c r="K32" s="100">
        <f>K31*Compare!$B$11</f>
        <v/>
      </c>
    </row>
    <row r="33" ht="15" customHeight="1" s="56">
      <c r="G33" s="97" t="inlineStr">
        <is>
          <t>University-paid total incl. contingency</t>
        </is>
      </c>
      <c r="H33" s="98">
        <f>H31+H32</f>
        <v/>
      </c>
      <c r="K33" s="98">
        <f>K31+K32</f>
        <v/>
      </c>
    </row>
    <row r="34" ht="15" customHeight="1" s="56">
      <c r="G34" s="97" t="inlineStr">
        <is>
          <t>Funding left (negative = over)</t>
        </is>
      </c>
      <c r="H34" s="101">
        <f>Compare!$B$12-H33</f>
        <v/>
      </c>
      <c r="K34" s="101">
        <f>Compare!$B$5-K33</f>
        <v/>
      </c>
    </row>
    <row r="35" ht="15" customHeight="1" s="56">
      <c r="G35" s="97" t="inlineStr">
        <is>
          <t>Personal costs – team</t>
        </is>
      </c>
      <c r="H35" s="102">
        <f>SUM(H22:H28)</f>
        <v/>
      </c>
      <c r="K35" s="102">
        <f>SUM(K22:K28)</f>
        <v/>
      </c>
    </row>
    <row r="36" ht="15" customHeight="1" s="56">
      <c r="G36" s="97" t="inlineStr">
        <is>
          <t>Out-of-pocket per person (personal + any overrun)</t>
        </is>
      </c>
      <c r="H36" s="102">
        <f>(H35+MAX(0,-H34))/Compare!$B$6</f>
        <v/>
      </c>
      <c r="K36" s="102">
        <f>(K35+MAX(0,-K34))/Compare!$B$7</f>
        <v/>
      </c>
    </row>
    <row r="37" ht="15" customHeight="1" s="56">
      <c r="G37" s="97" t="inlineStr">
        <is>
          <t>Whole trip cost (university + personal)</t>
        </is>
      </c>
      <c r="H37" s="103">
        <f>H33+H35</f>
        <v/>
      </c>
      <c r="K37" s="103">
        <f>K33+K35</f>
        <v/>
      </c>
    </row>
    <row r="38" ht="15" customHeight="1" s="56">
      <c r="G38" s="99" t="inlineStr">
        <is>
          <t>Time in planes &amp; trains</t>
        </is>
      </c>
      <c r="H38" s="104">
        <f>SUM(D10:D13)</f>
        <v/>
      </c>
      <c r="K38" s="104">
        <f>SUM(D10:D13)</f>
        <v/>
      </c>
    </row>
    <row r="40" ht="15" customHeight="1" s="56">
      <c r="A40" s="72" t="inlineStr">
        <is>
          <t>Key facts</t>
        </is>
      </c>
    </row>
    <row r="41" ht="30" customHeight="1" s="56">
      <c r="A41" s="75" t="inlineStr">
        <is>
          <t>Contest</t>
        </is>
      </c>
      <c r="B41" s="74" t="inlineStr">
        <is>
          <t>ICPC Asia East Continent Final, 26–28 Jan 2027 (provisional), Hangzhou Normal University (Cangqian campus assumed). Qualification-only.</t>
        </is>
      </c>
    </row>
    <row r="42" ht="30" customHeight="1" s="56">
      <c r="A42" s="75" t="inlineStr">
        <is>
          <t>Why this plan</t>
        </is>
      </c>
      <c r="B42" s="74" t="inlineStr">
        <is>
          <t>Out via Hohhot: Aero Mongolia's early flight + a nonstop Xiamen Airlines flight land in Hangzhou at 13:40 for ¥2,752 pp, ¥513 less than the Air China through ticket via Beijing (lands 18:45). Back: Air China through ticket, home on 29 Jan.</t>
        </is>
      </c>
    </row>
    <row r="43" ht="30" customHeight="1" s="56">
      <c r="A43" s="75" t="inlineStr">
        <is>
          <t>Buying tickets</t>
        </is>
      </c>
      <c r="B43" s="74" t="inlineStr">
        <is>
          <t>Book on Trip.com as soon as the EC Final slot is confirmed. The outbound is two separate tickets: if Aero Mongolia is late the domestic ticket is not protected (fallback: Air China 19:40 HET → HGH). Late January is the Spring Festival rush; re-check fares about 40 days ahead.</t>
        </is>
      </c>
    </row>
    <row r="45" ht="15" customHeight="1" s="56">
      <c r="A45" s="72" t="inlineStr">
        <is>
          <t>Day-by-day plan</t>
        </is>
      </c>
    </row>
    <row r="46" ht="15" customHeight="1" s="56">
      <c r="A46" s="96" t="inlineStr">
        <is>
          <t>Date</t>
        </is>
      </c>
      <c r="B46" s="96" t="inlineStr">
        <is>
          <t>Sleep in</t>
        </is>
      </c>
      <c r="C46" s="96" t="inlineStr">
        <is>
          <t>What happens</t>
        </is>
      </c>
    </row>
    <row r="47" ht="30" customHeight="1" s="56">
      <c r="A47" s="74" t="inlineStr">
        <is>
          <t>Mon 25 Jan</t>
        </is>
      </c>
      <c r="B47" s="74" t="inlineStr">
        <is>
          <t>Hangzhou</t>
        </is>
      </c>
      <c r="C47" s="74" t="inlineStr">
        <is>
          <t>Aero Mongolia UB 06:30 → Hohhot 08:00 (immigration, collect bags, re-check) → Xiamen Airlines 11:15 → Hangzhou 13:40. Taxi to hotel.</t>
        </is>
      </c>
    </row>
    <row r="48" ht="15" customHeight="1" s="56">
      <c r="A48" s="74" t="inlineStr">
        <is>
          <t>Tue 26 Jan</t>
        </is>
      </c>
      <c r="B48" s="74" t="inlineStr">
        <is>
          <t>Hangzhou</t>
        </is>
      </c>
      <c r="C48" s="74" t="inlineStr">
        <is>
          <t>EC Final day 1: check-in, opening, warm-up.</t>
        </is>
      </c>
    </row>
    <row r="49" ht="15" customHeight="1" s="56">
      <c r="A49" s="74" t="inlineStr">
        <is>
          <t>Wed 27 Jan</t>
        </is>
      </c>
      <c r="B49" s="74" t="inlineStr">
        <is>
          <t>Hangzhou</t>
        </is>
      </c>
      <c r="C49" s="74" t="inlineStr">
        <is>
          <t>EC FINAL contest day.</t>
        </is>
      </c>
    </row>
    <row r="50" ht="15" customHeight="1" s="56">
      <c r="A50" s="74" t="inlineStr">
        <is>
          <t>Thu 28 Jan</t>
        </is>
      </c>
      <c r="B50" s="74" t="inlineStr">
        <is>
          <t>Hangzhou</t>
        </is>
      </c>
      <c r="C50" s="74" t="inlineStr">
        <is>
          <t>Forums, closing ceremony &amp; awards banquet.</t>
        </is>
      </c>
    </row>
    <row r="51" ht="15" customHeight="1" s="56">
      <c r="A51" s="74" t="inlineStr">
        <is>
          <t>Fri 29 Jan</t>
        </is>
      </c>
      <c r="B51" s="74" t="inlineStr">
        <is>
          <t>Home</t>
        </is>
      </c>
      <c r="C51" s="74" t="inlineStr">
        <is>
          <t>Air China through ticket Hangzhou 08:00 → Beijing Capital 10:20 (exit immigration) → Beijing 12:55 → UB 15:05. Home the same day.</t>
        </is>
      </c>
    </row>
    <row r="52" ht="15" customHeight="1" s="56">
      <c r="A52" s="74" t="n"/>
      <c r="B52" s="74" t="n"/>
      <c r="C52" s="74" t="n"/>
    </row>
    <row r="54" ht="15" customHeight="1" s="56">
      <c r="A54" s="72" t="inlineStr">
        <is>
          <t>Door-to-door travel times</t>
        </is>
      </c>
    </row>
    <row r="55" ht="15" customHeight="1" s="56">
      <c r="A55" s="96" t="inlineStr">
        <is>
          <t>Date</t>
        </is>
      </c>
      <c r="B55" s="96" t="inlineStr">
        <is>
          <t>Leg</t>
        </is>
      </c>
      <c r="C55" s="96" t="inlineStr">
        <is>
          <t>Mode</t>
        </is>
      </c>
      <c r="D55" s="96" t="inlineStr">
        <is>
          <t>Expected time</t>
        </is>
      </c>
      <c r="E55" s="96" t="inlineStr">
        <is>
          <t>Notes</t>
        </is>
      </c>
    </row>
    <row r="56" ht="15" customHeight="1" s="56">
      <c r="A56" s="105" t="inlineStr">
        <is>
          <t>25 Jan</t>
        </is>
      </c>
      <c r="B56" s="105" t="inlineStr">
        <is>
          <t>Home → Chinggis Khaan airport</t>
        </is>
      </c>
      <c r="C56" s="82" t="inlineStr">
        <is>
          <t>Taxi (~50 km)</t>
        </is>
      </c>
      <c r="D56" s="104" t="n">
        <v>0.04166666666666666</v>
      </c>
      <c r="E56" s="106" t="inlineStr">
        <is>
          <t>Leave ~03:30 for the 06:30 flight</t>
        </is>
      </c>
      <c r="F56" s="107" t="n"/>
      <c r="G56" s="107" t="n"/>
      <c r="H56" s="107" t="n"/>
      <c r="I56" s="107" t="n"/>
      <c r="J56" s="107" t="n"/>
      <c r="K56" s="107" t="n"/>
      <c r="L56" s="107" t="n"/>
    </row>
    <row r="57" ht="26.85" customHeight="1" s="56">
      <c r="A57" s="105" t="inlineStr">
        <is>
          <t>25 Jan</t>
        </is>
      </c>
      <c r="B57" s="105" t="inlineStr">
        <is>
          <t>Ulaanbaatar → Hohhot (HET)</t>
        </is>
      </c>
      <c r="C57" s="82" t="inlineStr">
        <is>
          <t>Aero Mongolia 06:30–08:00</t>
        </is>
      </c>
      <c r="D57" s="84" t="n">
        <v>0.0625</v>
      </c>
      <c r="E57" s="106" t="n"/>
      <c r="F57" s="107" t="n"/>
      <c r="G57" s="107" t="n"/>
      <c r="H57" s="107" t="n"/>
      <c r="I57" s="107" t="n"/>
      <c r="J57" s="107" t="n"/>
      <c r="K57" s="107" t="n"/>
      <c r="L57" s="107" t="n"/>
    </row>
    <row r="58" ht="15" customHeight="1" s="56">
      <c r="A58" s="105" t="inlineStr">
        <is>
          <t>25 Jan</t>
        </is>
      </c>
      <c r="B58" s="105" t="inlineStr">
        <is>
          <t>HET: immigration, collect bags, check in for the domestic flight</t>
        </is>
      </c>
      <c r="C58" s="82" t="inlineStr">
        <is>
          <t>—</t>
        </is>
      </c>
      <c r="D58" s="104" t="n">
        <v>0.1354166666666667</v>
      </c>
      <c r="E58" s="106" t="inlineStr">
        <is>
          <t>Self-transfer on separate tickets</t>
        </is>
      </c>
      <c r="F58" s="107" t="n"/>
      <c r="G58" s="107" t="n"/>
      <c r="H58" s="107" t="n"/>
      <c r="I58" s="107" t="n"/>
      <c r="J58" s="107" t="n"/>
      <c r="K58" s="107" t="n"/>
      <c r="L58" s="107" t="n"/>
    </row>
    <row r="59" ht="15" customHeight="1" s="56">
      <c r="A59" s="105" t="inlineStr">
        <is>
          <t>25 Jan</t>
        </is>
      </c>
      <c r="B59" s="105" t="inlineStr">
        <is>
          <t>Hohhot → Hangzhou (HGH)</t>
        </is>
      </c>
      <c r="C59" s="82" t="inlineStr">
        <is>
          <t>Xiamen Airlines 11:15–13:40</t>
        </is>
      </c>
      <c r="D59" s="104" t="n">
        <v>0.1006944444444444</v>
      </c>
      <c r="E59" s="106" t="n"/>
      <c r="F59" s="107" t="n"/>
      <c r="G59" s="107" t="n"/>
      <c r="H59" s="107" t="n"/>
      <c r="I59" s="107" t="n"/>
      <c r="J59" s="107" t="n"/>
      <c r="K59" s="107" t="n"/>
      <c r="L59" s="107" t="n"/>
    </row>
    <row r="60" ht="39.55" customHeight="1" s="56">
      <c r="A60" s="105" t="inlineStr">
        <is>
          <t>25 Jan</t>
        </is>
      </c>
      <c r="B60" s="105" t="inlineStr">
        <is>
          <t>HGH → hotel (Cangqian)</t>
        </is>
      </c>
      <c r="C60" s="82" t="inlineStr">
        <is>
          <t>Taxi (~55 km)</t>
        </is>
      </c>
      <c r="D60" s="104" t="n">
        <v>0.04166666666666666</v>
      </c>
      <c r="E60" s="106" t="inlineStr">
        <is>
          <t>Estimate</t>
        </is>
      </c>
      <c r="F60" s="107" t="n"/>
      <c r="G60" s="107" t="n"/>
      <c r="H60" s="107" t="n"/>
      <c r="I60" s="107" t="n"/>
      <c r="J60" s="107" t="n"/>
      <c r="K60" s="107" t="n"/>
      <c r="L60" s="107" t="n"/>
    </row>
    <row r="61" ht="15" customHeight="1" s="56">
      <c r="A61" s="105" t="inlineStr">
        <is>
          <t>26–28 Jan</t>
        </is>
      </c>
      <c r="B61" s="105" t="inlineStr">
        <is>
          <t>Hotel ↔ HZNU Cangqian (each way)</t>
        </is>
      </c>
      <c r="C61" s="82" t="inlineStr">
        <is>
          <t>Walk</t>
        </is>
      </c>
      <c r="D61" s="104" t="inlineStr">
        <is>
          <t>daily</t>
        </is>
      </c>
      <c r="E61" s="106" t="inlineStr">
        <is>
          <t>~20 min walk (1.7 km)</t>
        </is>
      </c>
      <c r="F61" s="107" t="n"/>
      <c r="G61" s="107" t="n"/>
      <c r="H61" s="107" t="n"/>
      <c r="I61" s="107" t="n"/>
      <c r="J61" s="107" t="n"/>
      <c r="K61" s="107" t="n"/>
      <c r="L61" s="107" t="n"/>
    </row>
    <row r="62" ht="15" customHeight="1" s="56">
      <c r="A62" s="105" t="inlineStr">
        <is>
          <t>29 Jan</t>
        </is>
      </c>
      <c r="B62" s="105" t="inlineStr">
        <is>
          <t>Hotel → HGH</t>
        </is>
      </c>
      <c r="C62" s="82" t="inlineStr">
        <is>
          <t>Taxi</t>
        </is>
      </c>
      <c r="D62" s="110" t="n">
        <v>0.04166666666666666</v>
      </c>
      <c r="E62" s="106" t="inlineStr">
        <is>
          <t>Leave ~05:30</t>
        </is>
      </c>
      <c r="F62" s="107" t="n"/>
      <c r="G62" s="107" t="n"/>
      <c r="H62" s="107" t="n"/>
      <c r="I62" s="107" t="n"/>
      <c r="J62" s="107" t="n"/>
      <c r="K62" s="107" t="n"/>
      <c r="L62" s="107" t="n"/>
    </row>
    <row r="63" ht="15" customHeight="1" s="56">
      <c r="A63" s="105" t="inlineStr">
        <is>
          <t>29 Jan</t>
        </is>
      </c>
      <c r="B63" s="105" t="inlineStr">
        <is>
          <t>HGH check-in &amp; security</t>
        </is>
      </c>
      <c r="C63" s="82" t="inlineStr">
        <is>
          <t>—</t>
        </is>
      </c>
      <c r="D63" s="104" t="n">
        <v>0.0625</v>
      </c>
      <c r="E63" s="106" t="n"/>
      <c r="F63" s="107" t="n"/>
      <c r="G63" s="107" t="n"/>
      <c r="H63" s="107" t="n"/>
      <c r="I63" s="107" t="n"/>
      <c r="J63" s="107" t="n"/>
      <c r="K63" s="107" t="n"/>
      <c r="L63" s="107" t="n"/>
    </row>
    <row r="64" ht="15" customHeight="1" s="56">
      <c r="A64" s="105" t="inlineStr">
        <is>
          <t>29 Jan</t>
        </is>
      </c>
      <c r="B64" s="105" t="inlineStr">
        <is>
          <t>Hangzhou → Beijing Capital (PEK)</t>
        </is>
      </c>
      <c r="C64" s="82" t="inlineStr">
        <is>
          <t>Air China 08:00–10:20</t>
        </is>
      </c>
      <c r="D64" s="104" t="n">
        <v>0.09722222222222222</v>
      </c>
      <c r="E64" s="106" t="n"/>
      <c r="F64" s="107" t="n"/>
      <c r="G64" s="107" t="n"/>
      <c r="H64" s="107" t="n"/>
      <c r="I64" s="107" t="n"/>
      <c r="J64" s="107" t="n"/>
      <c r="K64" s="107" t="n"/>
      <c r="L64" s="107" t="n"/>
    </row>
    <row r="65" ht="39.55" customHeight="1" s="56">
      <c r="A65" s="105" t="inlineStr">
        <is>
          <t>29 Jan</t>
        </is>
      </c>
      <c r="B65" s="105" t="inlineStr">
        <is>
          <t>PEK: domestic-to-international transfer, exit immigration</t>
        </is>
      </c>
      <c r="C65" s="82" t="inlineStr">
        <is>
          <t>—</t>
        </is>
      </c>
      <c r="D65" s="104" t="n">
        <v>0.1076388888888889</v>
      </c>
      <c r="E65" s="106" t="n"/>
      <c r="F65" s="107" t="n"/>
      <c r="G65" s="107" t="n"/>
      <c r="H65" s="107" t="n"/>
      <c r="I65" s="107" t="n"/>
      <c r="J65" s="107" t="n"/>
      <c r="K65" s="107" t="n"/>
      <c r="L65" s="107" t="n"/>
    </row>
    <row r="66" ht="15" customHeight="1" s="56">
      <c r="A66" s="105" t="inlineStr">
        <is>
          <t>29 Jan</t>
        </is>
      </c>
      <c r="B66" s="105" t="inlineStr">
        <is>
          <t>Beijing Capital → Ulaanbaatar</t>
        </is>
      </c>
      <c r="C66" s="82" t="inlineStr">
        <is>
          <t>Air China 12:55–15:05</t>
        </is>
      </c>
      <c r="D66" s="104" t="n">
        <v>0.09027777777777778</v>
      </c>
      <c r="E66" s="106" t="n"/>
      <c r="F66" s="107" t="n"/>
      <c r="G66" s="107" t="n"/>
      <c r="H66" s="107" t="n"/>
      <c r="I66" s="107" t="n"/>
      <c r="J66" s="107" t="n"/>
      <c r="K66" s="107" t="n"/>
      <c r="L66" s="107" t="n"/>
    </row>
    <row r="67" ht="15" customHeight="1" s="56">
      <c r="A67" s="105" t="inlineStr">
        <is>
          <t>29 Jan</t>
        </is>
      </c>
      <c r="B67" s="105" t="inlineStr">
        <is>
          <t>Chinggis Khaan airport → home</t>
        </is>
      </c>
      <c r="C67" s="82" t="inlineStr">
        <is>
          <t>Taxi</t>
        </is>
      </c>
      <c r="D67" s="104" t="n">
        <v>0.04166666666666666</v>
      </c>
      <c r="E67" s="106" t="n"/>
      <c r="F67" s="107" t="n"/>
      <c r="G67" s="107" t="n"/>
      <c r="H67" s="107" t="n"/>
      <c r="I67" s="107" t="n"/>
      <c r="J67" s="107" t="n"/>
      <c r="K67" s="107" t="n"/>
      <c r="L67" s="107" t="n"/>
    </row>
    <row r="68" ht="26.85" customHeight="1" s="56">
      <c r="A68" s="105" t="n"/>
      <c r="B68" s="105" t="n"/>
      <c r="C68" s="82" t="n"/>
      <c r="D68" s="84" t="n"/>
      <c r="E68" s="106" t="n"/>
      <c r="F68" s="107" t="n"/>
      <c r="G68" s="107" t="n"/>
      <c r="H68" s="107" t="n"/>
      <c r="I68" s="107" t="n"/>
      <c r="J68" s="107" t="n"/>
      <c r="K68" s="107" t="n"/>
      <c r="L68" s="107" t="n"/>
    </row>
    <row r="69" ht="14.15" customHeight="1" s="56">
      <c r="A69" s="105" t="n"/>
      <c r="B69" s="105" t="n"/>
      <c r="C69" s="82" t="n"/>
      <c r="D69" s="104" t="n"/>
      <c r="E69" s="106" t="n"/>
      <c r="F69" s="107" t="n"/>
      <c r="G69" s="107" t="n"/>
      <c r="H69" s="107" t="n"/>
      <c r="I69" s="107" t="n"/>
      <c r="J69" s="107" t="n"/>
      <c r="K69" s="107" t="n"/>
      <c r="L69" s="107" t="n"/>
    </row>
    <row r="70" ht="15" customHeight="1" s="56">
      <c r="C70" s="59" t="inlineStr">
        <is>
          <t>Total door-to-door</t>
        </is>
      </c>
      <c r="D70" s="109">
        <f>SUM(D56:D69)</f>
        <v/>
      </c>
    </row>
  </sheetData>
  <mergeCells count="25">
    <mergeCell ref="E56:L56"/>
    <mergeCell ref="E58:L58"/>
    <mergeCell ref="C52:L52"/>
    <mergeCell ref="E68:L68"/>
    <mergeCell ref="C48:L48"/>
    <mergeCell ref="E55:L55"/>
    <mergeCell ref="E62:L62"/>
    <mergeCell ref="E67:L67"/>
    <mergeCell ref="B43:L43"/>
    <mergeCell ref="E64:L64"/>
    <mergeCell ref="C49:L49"/>
    <mergeCell ref="E63:L63"/>
    <mergeCell ref="B42:L42"/>
    <mergeCell ref="E60:L60"/>
    <mergeCell ref="E69:L69"/>
    <mergeCell ref="E65:L65"/>
    <mergeCell ref="E59:L59"/>
    <mergeCell ref="C47:L47"/>
    <mergeCell ref="C50:L50"/>
    <mergeCell ref="E61:L61"/>
    <mergeCell ref="E57:L57"/>
    <mergeCell ref="E66:L66"/>
    <mergeCell ref="C51:L51"/>
    <mergeCell ref="C46:L46"/>
    <mergeCell ref="B41:L4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2026-09-30T14:38:02Z</dcterms:created>
  <dcterms:modified xsi:type="dcterms:W3CDTF">2026-10-27T03:34:49Z</dcterms:modified>
  <cp:revision>0</cp:revision>
</cp:coreProperties>
</file>