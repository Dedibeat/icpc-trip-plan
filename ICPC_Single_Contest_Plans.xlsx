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mpare" sheetId="1" state="visible" r:id="rId1"/>
    <sheet xmlns:r="http://schemas.openxmlformats.org/officeDocument/2006/relationships" name="Sleep check" sheetId="2" state="visible" r:id="rId2"/>
    <sheet xmlns:r="http://schemas.openxmlformats.org/officeDocument/2006/relationships" name="Shenyang – Budget" sheetId="3" state="visible" r:id="rId3"/>
    <sheet xmlns:r="http://schemas.openxmlformats.org/officeDocument/2006/relationships" name="Shenyang – Comfort" sheetId="4" state="visible" r:id="rId4"/>
    <sheet xmlns:r="http://schemas.openxmlformats.org/officeDocument/2006/relationships" name="Shenyang – Budget (G-train)" sheetId="5" state="visible" r:id="rId5"/>
    <sheet xmlns:r="http://schemas.openxmlformats.org/officeDocument/2006/relationships" name="Shenyang – Comfort (G-train)" sheetId="6" state="visible" r:id="rId6"/>
    <sheet xmlns:r="http://schemas.openxmlformats.org/officeDocument/2006/relationships" name="Shanghai – Sleeper" sheetId="7" state="visible" r:id="rId7"/>
    <sheet xmlns:r="http://schemas.openxmlformats.org/officeDocument/2006/relationships" name="Shanghai – Spring nonstop" sheetId="8" state="visible" r:id="rId8"/>
    <sheet xmlns:r="http://schemas.openxmlformats.org/officeDocument/2006/relationships" name="Shanghai – Nonstop cheap rooms" sheetId="9" state="visible" r:id="rId9"/>
    <sheet xmlns:r="http://schemas.openxmlformats.org/officeDocument/2006/relationships" name="Shanghai – Fly out, train home" sheetId="10" state="visible" r:id="rId10"/>
    <sheet xmlns:r="http://schemas.openxmlformats.org/officeDocument/2006/relationships" name="Shanghai – Train (no sleeper)" sheetId="11" state="visible" r:id="rId11"/>
    <sheet xmlns:r="http://schemas.openxmlformats.org/officeDocument/2006/relationships" name="Nanchang – Sleeper" sheetId="12" state="visible" r:id="rId12"/>
    <sheet xmlns:r="http://schemas.openxmlformats.org/officeDocument/2006/relationships" name="Nanchang – Comfort" sheetId="13" state="visible" r:id="rId13"/>
    <sheet xmlns:r="http://schemas.openxmlformats.org/officeDocument/2006/relationships" name="Nanchang – Fly in (Air China)" sheetId="14" state="visible" r:id="rId14"/>
    <sheet xmlns:r="http://schemas.openxmlformats.org/officeDocument/2006/relationships" name="Hong Kong – Budget" sheetId="15" state="visible" r:id="rId15"/>
    <sheet xmlns:r="http://schemas.openxmlformats.org/officeDocument/2006/relationships" name="Hong Kong – Comfort" sheetId="16" state="visible" r:id="rId16"/>
    <sheet xmlns:r="http://schemas.openxmlformats.org/officeDocument/2006/relationships" name="Hong Kong – Value" sheetId="17" state="visible" r:id="rId17"/>
    <sheet xmlns:r="http://schemas.openxmlformats.org/officeDocument/2006/relationships" name="Hong Kong – Sleep first" sheetId="18" state="visible" r:id="rId18"/>
    <sheet xmlns:r="http://schemas.openxmlformats.org/officeDocument/2006/relationships" name="Hong Kong – Funded 12M" sheetId="19" state="visible" r:id="rId19"/>
    <sheet xmlns:r="http://schemas.openxmlformats.org/officeDocument/2006/relationships" name="Hong Kong – Sleep priority" sheetId="20" state="visible" r:id="rId20"/>
    <sheet xmlns:r="http://schemas.openxmlformats.org/officeDocument/2006/relationships" name="EC Final Hangzhou – Train" sheetId="21" state="visible" r:id="rId21"/>
    <sheet xmlns:r="http://schemas.openxmlformats.org/officeDocument/2006/relationships" name="EC Final Hangzhou – Fly" sheetId="22" state="visible" r:id="rId22"/>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0&quot; ₮&quot;;\(#,##0&quot; ₮)&quot;;\-"/>
    <numFmt numFmtId="165" formatCode="[h]&quot; h &quot;mm&quot; min&quot;"/>
    <numFmt numFmtId="166" formatCode="#,##0.00;\(#,##0.00\);\-"/>
    <numFmt numFmtId="167" formatCode="0.#"/>
    <numFmt numFmtId="168" formatCode="[hh]:mm:ss"/>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95959"/>
      <sz val="11"/>
    </font>
    <font>
      <name val="Arial"/>
      <charset val="1"/>
      <family val="0"/>
      <b val="1"/>
      <sz val="11"/>
    </font>
    <font>
      <name val="Arial"/>
      <charset val="1"/>
      <family val="0"/>
      <sz val="11"/>
    </font>
    <font>
      <name val="Arial"/>
      <charset val="1"/>
      <family val="0"/>
      <color rgb="FF0000FF"/>
      <sz val="11"/>
    </font>
    <font>
      <name val="Arial"/>
      <charset val="1"/>
      <family val="0"/>
      <b val="1"/>
      <color rgb="FFFFFFFF"/>
      <sz val="11"/>
    </font>
    <font>
      <name val="Arial"/>
      <charset val="1"/>
      <family val="0"/>
      <color rgb="FF008000"/>
      <sz val="11"/>
    </font>
    <font>
      <name val="Arial"/>
      <charset val="1"/>
      <family val="0"/>
      <b val="1"/>
      <sz val="12"/>
    </font>
    <font>
      <name val="Arial"/>
      <charset val="1"/>
      <family val="0"/>
      <color rgb="FF595959"/>
      <sz val="9"/>
    </font>
    <font>
      <b val="1"/>
      <sz val="13"/>
    </font>
    <font>
      <b val="1"/>
      <color rgb="00FFFFFF"/>
    </font>
    <font>
      <b val="1"/>
    </font>
  </fonts>
  <fills count="13">
    <fill>
      <patternFill/>
    </fill>
    <fill>
      <patternFill patternType="gray125"/>
    </fill>
    <fill>
      <patternFill patternType="solid">
        <fgColor rgb="FFFFFF00"/>
        <bgColor rgb="FFFFFF00"/>
      </patternFill>
    </fill>
    <fill>
      <patternFill patternType="solid">
        <fgColor rgb="FF1F3864"/>
        <bgColor rgb="FF333333"/>
      </patternFill>
    </fill>
    <fill>
      <patternFill patternType="solid">
        <fgColor rgb="FFDDEBF7"/>
        <bgColor rgb="FFD9E1F2"/>
      </patternFill>
    </fill>
    <fill>
      <patternFill patternType="solid">
        <fgColor rgb="FFFCE4D6"/>
        <bgColor rgb="FFE2EFDA"/>
      </patternFill>
    </fill>
    <fill>
      <patternFill patternType="solid">
        <fgColor rgb="FFE2EFDA"/>
        <bgColor rgb="FFDDEBF7"/>
      </patternFill>
    </fill>
    <fill>
      <patternFill patternType="solid">
        <fgColor rgb="FFD9E1F2"/>
        <bgColor rgb="FFDDEBF7"/>
      </patternFill>
    </fill>
    <fill>
      <patternFill patternType="solid">
        <fgColor rgb="FFFFFF00"/>
      </patternFill>
    </fill>
    <fill>
      <patternFill patternType="solid">
        <fgColor rgb="001F3864"/>
      </patternFill>
    </fill>
    <fill>
      <patternFill patternType="solid">
        <fgColor rgb="00E2EFDA"/>
      </patternFill>
    </fill>
    <fill>
      <patternFill patternType="solid">
        <fgColor rgb="00FCE4D6"/>
      </patternFill>
    </fill>
    <fill>
      <patternFill patternType="solid">
        <fgColor rgb="00FFF2CC"/>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0" fillId="0" borderId="4" pivotButton="0" quotePrefix="0" xfId="0"/>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168" fontId="5" fillId="0" borderId="1" applyAlignment="1" pivotButton="0" quotePrefix="0" xfId="0">
      <alignment horizontal="general" vertical="bottom"/>
    </xf>
    <xf numFmtId="0" fontId="7" fillId="0" borderId="1" applyAlignment="1" pivotButton="0" quotePrefix="0" xfId="0">
      <alignment vertical="top" wrapText="1"/>
    </xf>
    <xf numFmtId="0" fontId="12" fillId="0" borderId="1" applyAlignment="1" pivotButton="0" quotePrefix="0" xfId="0">
      <alignment vertical="top" wrapText="1"/>
    </xf>
    <xf numFmtId="166" fontId="8" fillId="8" borderId="1" applyAlignment="1" pivotButton="0" quotePrefix="0" xfId="0">
      <alignment horizontal="general" vertical="bottom"/>
    </xf>
    <xf numFmtId="166" fontId="7" fillId="8" borderId="1" applyAlignment="1" pivotButton="0" quotePrefix="0" xfId="0">
      <alignment horizontal="general" vertical="bottom"/>
    </xf>
    <xf numFmtId="0" fontId="13" fillId="0" borderId="0" pivotButton="0" quotePrefix="0" xfId="0"/>
    <xf numFmtId="0" fontId="0" fillId="0" borderId="0" applyAlignment="1" pivotButton="0" quotePrefix="0" xfId="0">
      <alignment vertical="top" wrapText="1"/>
    </xf>
    <xf numFmtId="0" fontId="14" fillId="9" borderId="0" applyAlignment="1" pivotButton="0" quotePrefix="0" xfId="0">
      <alignment vertical="top" wrapText="1"/>
    </xf>
    <xf numFmtId="0" fontId="15" fillId="0" borderId="0" applyAlignment="1" pivotButton="0" quotePrefix="0" xfId="0">
      <alignment vertical="top" wrapText="1"/>
    </xf>
    <xf numFmtId="0" fontId="15" fillId="10" borderId="0" applyAlignment="1" pivotButton="0" quotePrefix="0" xfId="0">
      <alignment vertical="top" wrapText="1"/>
    </xf>
    <xf numFmtId="0" fontId="15" fillId="11" borderId="0" applyAlignment="1" pivotButton="0" quotePrefix="0" xfId="0">
      <alignment vertical="top" wrapText="1"/>
    </xf>
    <xf numFmtId="0" fontId="15" fillId="12" borderId="0" applyAlignment="1" pivotButton="0" quotePrefix="0" xfId="0">
      <alignment vertical="top" wrapText="1"/>
    </xf>
    <xf numFmtId="0" fontId="15" fillId="0" borderId="0" pivotButton="0" quotePrefix="0" xfId="0"/>
    <xf numFmtId="0" fontId="1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5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55" min="1" max="1"/>
    <col width="17" customWidth="1" style="55" min="2" max="11"/>
    <col width="22" customWidth="1" style="56" min="12" max="12"/>
    <col width="24" customWidth="1" style="56" min="13" max="13"/>
  </cols>
  <sheetData>
    <row r="1" ht="17.35" customHeight="1" s="56">
      <c r="A1" s="57" t="inlineStr">
        <is>
          <t>ICPC single-contest trip plans — Shenyang, Shanghai, Nanchang, Hong Kong, EC Final Hangzhou</t>
        </is>
      </c>
    </row>
    <row r="2" ht="42" customHeight="1" s="56">
      <c r="A2" s="58" t="inlineStr">
        <is>
          <t>Each trip planned as if it is the only contest attended. Two to three variants per contest. Two scenarios: the UNFUNDED regional (3 contestants pay everything) and the FUNDED regional (₮12M from the university, coach travels: 4 people). University funding covers flights, trains, hotels, meals &amp; local transport; contest fees and 'Other' are personal. Prices: Trip.com / 12306 / ChinaTicketOnline / SlickTrip / Booking.com checked 30 Sep – 10 Oct 2026. Blue = inputs; yellow = key assumptions; green = links.</t>
        </is>
      </c>
    </row>
    <row r="3"/>
    <row r="4" ht="15" customHeight="1" s="56">
      <c r="A4" s="59" t="inlineStr">
        <is>
          <t>Shared inputs</t>
        </is>
      </c>
    </row>
    <row r="5" ht="15" customHeight="1" s="56">
      <c r="A5" s="60" t="inlineStr">
        <is>
          <t>University funding – funded regional (MNT)</t>
        </is>
      </c>
      <c r="B5" s="61" t="n">
        <v>12000000</v>
      </c>
      <c r="C5" s="62" t="inlineStr">
        <is>
          <t>One regional is funded with ₮12M and the coach travels (4 people: 3 contestants + coach); used in every "4 ppl" column</t>
        </is>
      </c>
    </row>
    <row r="6" ht="15" customHeight="1" s="56">
      <c r="A6" s="60" t="inlineStr">
        <is>
          <t>Travelers – unfunded regional</t>
        </is>
      </c>
      <c r="B6" s="63" t="n">
        <v>3</v>
      </c>
      <c r="C6" s="62" t="inlineStr">
        <is>
          <t>3 contestants, one room, everyone pays</t>
        </is>
      </c>
    </row>
    <row r="7" ht="15" customHeight="1" s="56">
      <c r="A7" s="60" t="inlineStr">
        <is>
          <t>Travelers – funded regional (with coach)</t>
        </is>
      </c>
      <c r="B7" s="63" t="n">
        <v>4</v>
      </c>
      <c r="C7" s="62" t="inlineStr">
        <is>
          <t>3 contestants + coach, two rooms (or one family room for 4)</t>
        </is>
      </c>
    </row>
    <row r="8" ht="15" customHeight="1" s="56">
      <c r="A8" s="60" t="inlineStr">
        <is>
          <t>USD → MNT</t>
        </is>
      </c>
      <c r="B8" s="64" t="n">
        <v>3598</v>
      </c>
      <c r="C8" s="62" t="inlineStr">
        <is>
          <t>Mid-market, Xe/Investing.com, 29–30 Sep 2026</t>
        </is>
      </c>
    </row>
    <row r="9" ht="15" customHeight="1" s="56">
      <c r="A9" s="60" t="inlineStr">
        <is>
          <t>CNY → MNT</t>
        </is>
      </c>
      <c r="B9" s="64" t="n">
        <v>536</v>
      </c>
      <c r="C9" s="62" t="inlineStr">
        <is>
          <t>Mid-market, Xe/currency.wiki, late Sep 2026</t>
        </is>
      </c>
    </row>
    <row r="10" ht="15" customHeight="1" s="56">
      <c r="A10" s="60" t="inlineStr">
        <is>
          <t>HKD → MNT</t>
        </is>
      </c>
      <c r="B10" s="64" t="n">
        <v>461</v>
      </c>
      <c r="C10" s="62" t="inlineStr">
        <is>
          <t>Derived from USD rate and the HKD peg (~7.8 HKD per USD)</t>
        </is>
      </c>
    </row>
    <row r="11" ht="15" customHeight="1" s="56">
      <c r="A11" s="60" t="inlineStr">
        <is>
          <t>Contingency % (on university-paid part)</t>
        </is>
      </c>
      <c r="B11" s="65" t="n">
        <v>0.1</v>
      </c>
      <c r="C11" s="62" t="inlineStr">
        <is>
          <t>Buffer for fare changes, FX spread, extras</t>
        </is>
      </c>
    </row>
    <row r="12">
      <c r="A12" s="60" t="inlineStr">
        <is>
          <t>University funding – unfunded regional (MNT)</t>
        </is>
      </c>
      <c r="B12" s="61" t="n">
        <v>0</v>
      </c>
      <c r="C12" s="62" t="inlineStr">
        <is>
          <t>The other regional is unfunded: the 3 contestants pay everything themselves; used in every "3 ppl" column</t>
        </is>
      </c>
    </row>
    <row r="13" ht="15" customHeight="1" s="56">
      <c r="A13" s="59" t="inlineStr">
        <is>
          <t>Side-by-side (all figures incl. 10% contingency on the travel + stay part). 3 ppl = the UNFUNDED regional, 4 ppl = the FUNDED regional (₮12M, coach travels)</t>
        </is>
      </c>
    </row>
    <row r="14" ht="45" customHeight="1" s="56">
      <c r="A14" s="66" t="inlineStr">
        <is>
          <t>Plan</t>
        </is>
      </c>
      <c r="B14" s="66" t="inlineStr">
        <is>
          <t>Travel + stay total – 3 ppl (unfunded: paid by the contestants)</t>
        </is>
      </c>
      <c r="C14" s="66" t="inlineStr">
        <is>
          <t>Funding left – 3 ppl (funding ₮0)</t>
        </is>
      </c>
      <c r="D14" s="66" t="inlineStr">
        <is>
          <t>Cost per person – 3 ppl (everything incl. fee)</t>
        </is>
      </c>
      <c r="E14" s="66" t="inlineStr">
        <is>
          <t>Travel + stay total – 4 ppl (funded)</t>
        </is>
      </c>
      <c r="F14" s="66" t="inlineStr">
        <is>
          <t>Left of the ₮12M – 4 ppl (negative = over)</t>
        </is>
      </c>
      <c r="G14" s="66" t="inlineStr">
        <is>
          <t>Out-of-pocket per person – 4 ppl (fee, UB taxi, insurance, eSIM)</t>
        </is>
      </c>
      <c r="H14" s="66" t="inlineStr">
        <is>
          <t>Whole trip – 3 ppl</t>
        </is>
      </c>
      <c r="I14" s="66" t="inlineStr">
        <is>
          <t>Whole trip – 4 ppl</t>
        </is>
      </c>
      <c r="J14" s="66" t="inlineStr">
        <is>
          <t>Planes &amp; trains</t>
        </is>
      </c>
      <c r="K14" s="66" t="inlineStr">
        <is>
          <t>Door-to-door</t>
        </is>
      </c>
      <c r="L14" s="66" t="inlineStr">
        <is>
          <t>Fits ₮12M incl. 10% contingency?</t>
        </is>
      </c>
      <c r="M14" s="66" t="inlineStr">
        <is>
          <t>Left of ₮12M before contingency (4 ppl)</t>
        </is>
      </c>
    </row>
    <row r="15" ht="15" customHeight="1" s="56">
      <c r="A15" s="67" t="inlineStr">
        <is>
          <t>Shenyang – Budget</t>
        </is>
      </c>
      <c r="B15" s="68">
        <f>'Shenyang – Budget'!H34</f>
        <v/>
      </c>
      <c r="C15" s="68">
        <f>'Shenyang – Budget'!H35</f>
        <v/>
      </c>
      <c r="D15" s="69">
        <f>'Shenyang – Budget'!H37</f>
        <v/>
      </c>
      <c r="E15" s="68">
        <f>'Shenyang – Budget'!K34</f>
        <v/>
      </c>
      <c r="F15" s="68">
        <f>'Shenyang – Budget'!K35</f>
        <v/>
      </c>
      <c r="G15" s="69">
        <f>'Shenyang – Budget'!K37</f>
        <v/>
      </c>
      <c r="H15" s="70">
        <f>'Shenyang – Budget'!H38</f>
        <v/>
      </c>
      <c r="I15" s="70">
        <f>'Shenyang – Budget'!K38</f>
        <v/>
      </c>
      <c r="J15" s="71">
        <f>'Shenyang – Budget'!H39</f>
        <v/>
      </c>
      <c r="K15" s="71">
        <f>'Shenyang – Budget'!D69</f>
        <v/>
      </c>
      <c r="L15" s="123">
        <f>IF(F15&gt;=0,"yes","over by "&amp;TEXT(-F15,"#,##0")&amp;" ₮")</f>
        <v/>
      </c>
      <c r="M15" s="68">
        <f>Compare!$B$5-E15/(1+Compare!$B$11)</f>
        <v/>
      </c>
    </row>
    <row r="16" ht="15" customHeight="1" s="56">
      <c r="A16" s="67" t="inlineStr">
        <is>
          <t>Shenyang – Comfort</t>
        </is>
      </c>
      <c r="B16" s="68">
        <f>'Shenyang – Comfort'!H33</f>
        <v/>
      </c>
      <c r="C16" s="68">
        <f>'Shenyang – Comfort'!H34</f>
        <v/>
      </c>
      <c r="D16" s="69">
        <f>'Shenyang – Comfort'!H36</f>
        <v/>
      </c>
      <c r="E16" s="68">
        <f>'Shenyang – Comfort'!K33</f>
        <v/>
      </c>
      <c r="F16" s="68">
        <f>'Shenyang – Comfort'!K34</f>
        <v/>
      </c>
      <c r="G16" s="69">
        <f>'Shenyang – Comfort'!K36</f>
        <v/>
      </c>
      <c r="H16" s="70">
        <f>'Shenyang – Comfort'!H37</f>
        <v/>
      </c>
      <c r="I16" s="70">
        <f>'Shenyang – Comfort'!K37</f>
        <v/>
      </c>
      <c r="J16" s="71">
        <f>'Shenyang – Comfort'!H38</f>
        <v/>
      </c>
      <c r="K16" s="71">
        <f>'Shenyang – Comfort'!D68</f>
        <v/>
      </c>
      <c r="L16" s="123">
        <f>IF(F16&gt;=0,"yes","over by "&amp;TEXT(-F16,"#,##0")&amp;" ₮")</f>
        <v/>
      </c>
      <c r="M16" s="68">
        <f>Compare!$B$5-E16/(1+Compare!$B$11)</f>
        <v/>
      </c>
    </row>
    <row r="17" ht="15" customHeight="1" s="56">
      <c r="A17" s="67" t="inlineStr">
        <is>
          <t>Shenyang – Budget (G-train)</t>
        </is>
      </c>
      <c r="B17" s="68">
        <f>'Shenyang – Budget (G-train)'!H35</f>
        <v/>
      </c>
      <c r="C17" s="68">
        <f>'Shenyang – Budget (G-train)'!H36</f>
        <v/>
      </c>
      <c r="D17" s="69">
        <f>'Shenyang – Budget (G-train)'!H38</f>
        <v/>
      </c>
      <c r="E17" s="68">
        <f>'Shenyang – Budget (G-train)'!K35</f>
        <v/>
      </c>
      <c r="F17" s="68">
        <f>'Shenyang – Budget (G-train)'!K36</f>
        <v/>
      </c>
      <c r="G17" s="69">
        <f>'Shenyang – Budget (G-train)'!K38</f>
        <v/>
      </c>
      <c r="H17" s="70">
        <f>'Shenyang – Budget (G-train)'!H39</f>
        <v/>
      </c>
      <c r="I17" s="70">
        <f>'Shenyang – Budget (G-train)'!K39</f>
        <v/>
      </c>
      <c r="J17" s="71">
        <f>'Shenyang – Budget (G-train)'!H40</f>
        <v/>
      </c>
      <c r="K17" s="71">
        <f>'Shenyang – Budget (G-train)'!D70</f>
        <v/>
      </c>
      <c r="L17" s="123">
        <f>IF(F17&gt;=0,"yes","over by "&amp;TEXT(-F17,"#,##0")&amp;" ₮")</f>
        <v/>
      </c>
      <c r="M17" s="68">
        <f>Compare!$B$5-E17/(1+Compare!$B$11)</f>
        <v/>
      </c>
    </row>
    <row r="18" ht="15" customHeight="1" s="56">
      <c r="A18" s="67" t="inlineStr">
        <is>
          <t>Shenyang – Comfort (G-train)</t>
        </is>
      </c>
      <c r="B18" s="68">
        <f>'Shenyang – Comfort (G-train)'!H35</f>
        <v/>
      </c>
      <c r="C18" s="68">
        <f>'Shenyang – Comfort (G-train)'!H36</f>
        <v/>
      </c>
      <c r="D18" s="69">
        <f>'Shenyang – Comfort (G-train)'!H38</f>
        <v/>
      </c>
      <c r="E18" s="68">
        <f>'Shenyang – Comfort (G-train)'!K35</f>
        <v/>
      </c>
      <c r="F18" s="68">
        <f>'Shenyang – Comfort (G-train)'!K36</f>
        <v/>
      </c>
      <c r="G18" s="69">
        <f>'Shenyang – Comfort (G-train)'!K38</f>
        <v/>
      </c>
      <c r="H18" s="70">
        <f>'Shenyang – Comfort (G-train)'!H39</f>
        <v/>
      </c>
      <c r="I18" s="70">
        <f>'Shenyang – Comfort (G-train)'!K39</f>
        <v/>
      </c>
      <c r="J18" s="71">
        <f>'Shenyang – Comfort (G-train)'!H40</f>
        <v/>
      </c>
      <c r="K18" s="71">
        <f>'Shenyang – Comfort (G-train)'!D71</f>
        <v/>
      </c>
      <c r="L18" s="123">
        <f>IF(F18&gt;=0,"yes","over by "&amp;TEXT(-F18,"#,##0")&amp;" ₮")</f>
        <v/>
      </c>
      <c r="M18" s="68">
        <f>Compare!$B$5-E18/(1+Compare!$B$11)</f>
        <v/>
      </c>
    </row>
    <row r="19" ht="15" customHeight="1" s="56">
      <c r="A19" s="67" t="inlineStr">
        <is>
          <t>Shanghai – Sleeper</t>
        </is>
      </c>
      <c r="B19" s="68">
        <f>'Shanghai – Sleeper'!H35</f>
        <v/>
      </c>
      <c r="C19" s="68">
        <f>'Shanghai – Sleeper'!H36</f>
        <v/>
      </c>
      <c r="D19" s="69">
        <f>'Shanghai – Sleeper'!H38</f>
        <v/>
      </c>
      <c r="E19" s="68">
        <f>'Shanghai – Sleeper'!K35</f>
        <v/>
      </c>
      <c r="F19" s="68">
        <f>'Shanghai – Sleeper'!K36</f>
        <v/>
      </c>
      <c r="G19" s="69">
        <f>'Shanghai – Sleeper'!K38</f>
        <v/>
      </c>
      <c r="H19" s="70">
        <f>'Shanghai – Sleeper'!H39</f>
        <v/>
      </c>
      <c r="I19" s="70">
        <f>'Shanghai – Sleeper'!K39</f>
        <v/>
      </c>
      <c r="J19" s="71">
        <f>'Shanghai – Sleeper'!H40</f>
        <v/>
      </c>
      <c r="K19" s="71">
        <f>'Shanghai – Sleeper'!D71</f>
        <v/>
      </c>
      <c r="L19" s="123">
        <f>IF(F19&gt;=0,"yes","over by "&amp;TEXT(-F19,"#,##0")&amp;" ₮")</f>
        <v/>
      </c>
      <c r="M19" s="68">
        <f>Compare!$B$5-E19/(1+Compare!$B$11)</f>
        <v/>
      </c>
    </row>
    <row r="20" ht="15" customHeight="1" s="56">
      <c r="A20" s="67" t="inlineStr">
        <is>
          <t>Shanghai – Spring nonstop</t>
        </is>
      </c>
      <c r="B20" s="68">
        <f>'Shanghai – Spring nonstop'!H31</f>
        <v/>
      </c>
      <c r="C20" s="68">
        <f>'Shanghai – Spring nonstop'!H32</f>
        <v/>
      </c>
      <c r="D20" s="69">
        <f>'Shanghai – Spring nonstop'!H34</f>
        <v/>
      </c>
      <c r="E20" s="68">
        <f>'Shanghai – Spring nonstop'!K31</f>
        <v/>
      </c>
      <c r="F20" s="68">
        <f>'Shanghai – Spring nonstop'!K32</f>
        <v/>
      </c>
      <c r="G20" s="69">
        <f>'Shanghai – Spring nonstop'!K34</f>
        <v/>
      </c>
      <c r="H20" s="70">
        <f>'Shanghai – Spring nonstop'!H35</f>
        <v/>
      </c>
      <c r="I20" s="70">
        <f>'Shanghai – Spring nonstop'!K35</f>
        <v/>
      </c>
      <c r="J20" s="71">
        <f>'Shanghai – Spring nonstop'!H36</f>
        <v/>
      </c>
      <c r="K20" s="71">
        <f>'Shanghai – Spring nonstop'!D65</f>
        <v/>
      </c>
      <c r="L20" s="123">
        <f>IF(F20&gt;=0,"yes","over by "&amp;TEXT(-F20,"#,##0")&amp;" ₮")</f>
        <v/>
      </c>
      <c r="M20" s="68">
        <f>Compare!$B$5-E20/(1+Compare!$B$11)</f>
        <v/>
      </c>
    </row>
    <row r="21" ht="15" customHeight="1" s="56">
      <c r="A21" s="67" t="inlineStr">
        <is>
          <t>Shanghai – Nonstop cheap rooms</t>
        </is>
      </c>
      <c r="B21" s="68">
        <f>'Shanghai – Nonstop cheap rooms'!H31</f>
        <v/>
      </c>
      <c r="C21" s="68">
        <f>'Shanghai – Nonstop cheap rooms'!H32</f>
        <v/>
      </c>
      <c r="D21" s="69">
        <f>'Shanghai – Nonstop cheap rooms'!H34</f>
        <v/>
      </c>
      <c r="E21" s="68">
        <f>'Shanghai – Nonstop cheap rooms'!K31</f>
        <v/>
      </c>
      <c r="F21" s="68">
        <f>'Shanghai – Nonstop cheap rooms'!K32</f>
        <v/>
      </c>
      <c r="G21" s="69">
        <f>'Shanghai – Nonstop cheap rooms'!K34</f>
        <v/>
      </c>
      <c r="H21" s="70">
        <f>'Shanghai – Nonstop cheap rooms'!H35</f>
        <v/>
      </c>
      <c r="I21" s="70">
        <f>'Shanghai – Nonstop cheap rooms'!K35</f>
        <v/>
      </c>
      <c r="J21" s="71">
        <f>'Shanghai – Nonstop cheap rooms'!H36</f>
        <v/>
      </c>
      <c r="K21" s="71">
        <f>'Shanghai – Nonstop cheap rooms'!D65</f>
        <v/>
      </c>
      <c r="L21" s="123">
        <f>IF(F21&gt;=0,"yes","over by "&amp;TEXT(-F21,"#,##0")&amp;" ₮")</f>
        <v/>
      </c>
      <c r="M21" s="68">
        <f>Compare!$B$5-E21/(1+Compare!$B$11)</f>
        <v/>
      </c>
    </row>
    <row r="22" ht="15" customHeight="1" s="56">
      <c r="A22" s="67" t="inlineStr">
        <is>
          <t>Shanghai – Fly out, train home</t>
        </is>
      </c>
      <c r="B22" s="68">
        <f>'Shanghai – Fly out, train home'!H35</f>
        <v/>
      </c>
      <c r="C22" s="68">
        <f>'Shanghai – Fly out, train home'!H36</f>
        <v/>
      </c>
      <c r="D22" s="69">
        <f>'Shanghai – Fly out, train home'!H38</f>
        <v/>
      </c>
      <c r="E22" s="68">
        <f>'Shanghai – Fly out, train home'!K35</f>
        <v/>
      </c>
      <c r="F22" s="68">
        <f>'Shanghai – Fly out, train home'!K36</f>
        <v/>
      </c>
      <c r="G22" s="69">
        <f>'Shanghai – Fly out, train home'!K38</f>
        <v/>
      </c>
      <c r="H22" s="70">
        <f>'Shanghai – Fly out, train home'!H39</f>
        <v/>
      </c>
      <c r="I22" s="70">
        <f>'Shanghai – Fly out, train home'!K39</f>
        <v/>
      </c>
      <c r="J22" s="71">
        <f>'Shanghai – Fly out, train home'!H40</f>
        <v/>
      </c>
      <c r="K22" s="71">
        <f>'Shanghai – Fly out, train home'!D71</f>
        <v/>
      </c>
      <c r="L22" s="123">
        <f>IF(F22&gt;=0,"yes","over by "&amp;TEXT(-F22,"#,##0")&amp;" ₮")</f>
        <v/>
      </c>
      <c r="M22" s="68">
        <f>Compare!$B$5-E22/(1+Compare!$B$11)</f>
        <v/>
      </c>
    </row>
    <row r="23" s="56">
      <c r="A23" s="67" t="inlineStr">
        <is>
          <t>Shanghai – Train (no sleeper)</t>
        </is>
      </c>
      <c r="B23" s="68">
        <f>'Shanghai – Train (no sleeper)'!H37</f>
        <v/>
      </c>
      <c r="C23" s="68">
        <f>'Shanghai – Train (no sleeper)'!H38</f>
        <v/>
      </c>
      <c r="D23" s="69">
        <f>'Shanghai – Train (no sleeper)'!H40</f>
        <v/>
      </c>
      <c r="E23" s="68">
        <f>'Shanghai – Train (no sleeper)'!K37</f>
        <v/>
      </c>
      <c r="F23" s="68">
        <f>'Shanghai – Train (no sleeper)'!K38</f>
        <v/>
      </c>
      <c r="G23" s="69">
        <f>'Shanghai – Train (no sleeper)'!K40</f>
        <v/>
      </c>
      <c r="H23" s="70">
        <f>'Shanghai – Train (no sleeper)'!H41</f>
        <v/>
      </c>
      <c r="I23" s="70">
        <f>'Shanghai – Train (no sleeper)'!K41</f>
        <v/>
      </c>
      <c r="J23" s="71">
        <f>'Shanghai – Train (no sleeper)'!H42</f>
        <v/>
      </c>
      <c r="K23" s="71">
        <f>'Shanghai – Train (no sleeper)'!D74</f>
        <v/>
      </c>
      <c r="L23" s="123">
        <f>IF(F23&gt;=0,"yes","over by "&amp;TEXT(-F23,"#,##0")&amp;" ₮")</f>
        <v/>
      </c>
      <c r="M23" s="68">
        <f>Compare!$B$5-E23/(1+Compare!$B$11)</f>
        <v/>
      </c>
    </row>
    <row r="24" ht="15" customHeight="1" s="56">
      <c r="A24" s="67" t="inlineStr">
        <is>
          <t>Nanchang – Sleeper</t>
        </is>
      </c>
      <c r="B24" s="68">
        <f>'Nanchang – Sleeper'!H34</f>
        <v/>
      </c>
      <c r="C24" s="68">
        <f>'Nanchang – Sleeper'!H35</f>
        <v/>
      </c>
      <c r="D24" s="69">
        <f>'Nanchang – Sleeper'!H37</f>
        <v/>
      </c>
      <c r="E24" s="68">
        <f>'Nanchang – Sleeper'!K34</f>
        <v/>
      </c>
      <c r="F24" s="68">
        <f>'Nanchang – Sleeper'!K35</f>
        <v/>
      </c>
      <c r="G24" s="69">
        <f>'Nanchang – Sleeper'!K37</f>
        <v/>
      </c>
      <c r="H24" s="70">
        <f>'Nanchang – Sleeper'!H38</f>
        <v/>
      </c>
      <c r="I24" s="70">
        <f>'Nanchang – Sleeper'!K38</f>
        <v/>
      </c>
      <c r="J24" s="71">
        <f>'Nanchang – Sleeper'!H39</f>
        <v/>
      </c>
      <c r="K24" s="71">
        <f>'Nanchang – Sleeper'!D70</f>
        <v/>
      </c>
      <c r="L24" s="123">
        <f>IF(F24&gt;=0,"yes","over by "&amp;TEXT(-F24,"#,##0")&amp;" ₮")</f>
        <v/>
      </c>
      <c r="M24" s="68">
        <f>Compare!$B$5-E24/(1+Compare!$B$11)</f>
        <v/>
      </c>
    </row>
    <row r="25" ht="30" customHeight="1" s="56">
      <c r="A25" s="67" t="inlineStr">
        <is>
          <t>Nanchang – Comfort</t>
        </is>
      </c>
      <c r="B25" s="68">
        <f>'Nanchang – Comfort'!H36</f>
        <v/>
      </c>
      <c r="C25" s="68">
        <f>'Nanchang – Comfort'!H37</f>
        <v/>
      </c>
      <c r="D25" s="69">
        <f>'Nanchang – Comfort'!H39</f>
        <v/>
      </c>
      <c r="E25" s="68">
        <f>'Nanchang – Comfort'!K36</f>
        <v/>
      </c>
      <c r="F25" s="68">
        <f>'Nanchang – Comfort'!K37</f>
        <v/>
      </c>
      <c r="G25" s="69">
        <f>'Nanchang – Comfort'!K39</f>
        <v/>
      </c>
      <c r="H25" s="70">
        <f>'Nanchang – Comfort'!H40</f>
        <v/>
      </c>
      <c r="I25" s="70">
        <f>'Nanchang – Comfort'!K40</f>
        <v/>
      </c>
      <c r="J25" s="71">
        <f>'Nanchang – Comfort'!H41</f>
        <v/>
      </c>
      <c r="K25" s="71">
        <f>'Nanchang – Comfort'!D72</f>
        <v/>
      </c>
      <c r="L25" s="123">
        <f>IF(F25&gt;=0,"yes","over by "&amp;TEXT(-F25,"#,##0")&amp;" ₮")</f>
        <v/>
      </c>
      <c r="M25" s="68">
        <f>Compare!$B$5-E25/(1+Compare!$B$11)</f>
        <v/>
      </c>
    </row>
    <row r="26" ht="30" customHeight="1" s="56">
      <c r="A26" s="67" t="inlineStr">
        <is>
          <t>Nanchang – Fly in (Air China)</t>
        </is>
      </c>
      <c r="B26" s="68">
        <f>'Nanchang – Fly in (Air China)'!H34</f>
        <v/>
      </c>
      <c r="C26" s="68">
        <f>'Nanchang – Fly in (Air China)'!H35</f>
        <v/>
      </c>
      <c r="D26" s="69">
        <f>'Nanchang – Fly in (Air China)'!H37</f>
        <v/>
      </c>
      <c r="E26" s="68">
        <f>'Nanchang – Fly in (Air China)'!K34</f>
        <v/>
      </c>
      <c r="F26" s="68">
        <f>'Nanchang – Fly in (Air China)'!K35</f>
        <v/>
      </c>
      <c r="G26" s="69">
        <f>'Nanchang – Fly in (Air China)'!K37</f>
        <v/>
      </c>
      <c r="H26" s="70">
        <f>'Nanchang – Fly in (Air China)'!H38</f>
        <v/>
      </c>
      <c r="I26" s="70">
        <f>'Nanchang – Fly in (Air China)'!K38</f>
        <v/>
      </c>
      <c r="J26" s="71">
        <f>'Nanchang – Fly in (Air China)'!H39</f>
        <v/>
      </c>
      <c r="K26" s="71">
        <f>'Nanchang – Fly in (Air China)'!D68</f>
        <v/>
      </c>
      <c r="L26" s="123">
        <f>IF(F26&gt;=0,"yes","over by "&amp;TEXT(-F26,"#,##0")&amp;" ₮")</f>
        <v/>
      </c>
      <c r="M26" s="68">
        <f>Compare!$B$5-E26/(1+Compare!$B$11)</f>
        <v/>
      </c>
    </row>
    <row r="27" ht="30" customHeight="1" s="56">
      <c r="A27" s="67" t="inlineStr">
        <is>
          <t>Hong Kong – Budget</t>
        </is>
      </c>
      <c r="B27" s="68">
        <f>'Hong Kong – Budget'!H30</f>
        <v/>
      </c>
      <c r="C27" s="68">
        <f>'Hong Kong – Budget'!H31</f>
        <v/>
      </c>
      <c r="D27" s="69">
        <f>'Hong Kong – Budget'!H33</f>
        <v/>
      </c>
      <c r="E27" s="68">
        <f>'Hong Kong – Budget'!K30</f>
        <v/>
      </c>
      <c r="F27" s="68">
        <f>'Hong Kong – Budget'!K31</f>
        <v/>
      </c>
      <c r="G27" s="69">
        <f>'Hong Kong – Budget'!K33</f>
        <v/>
      </c>
      <c r="H27" s="70">
        <f>'Hong Kong – Budget'!H34</f>
        <v/>
      </c>
      <c r="I27" s="70">
        <f>'Hong Kong – Budget'!K34</f>
        <v/>
      </c>
      <c r="J27" s="71">
        <f>'Hong Kong – Budget'!H35</f>
        <v/>
      </c>
      <c r="K27" s="71">
        <f>'Hong Kong – Budget'!D60</f>
        <v/>
      </c>
      <c r="L27" s="123">
        <f>IF(F27&gt;=0,"yes","over by "&amp;TEXT(-F27,"#,##0")&amp;" ₮")</f>
        <v/>
      </c>
      <c r="M27" s="68">
        <f>Compare!$B$5-E27/(1+Compare!$B$11)</f>
        <v/>
      </c>
    </row>
    <row r="28" s="56">
      <c r="A28" s="67" t="inlineStr">
        <is>
          <t>Hong Kong – Comfort</t>
        </is>
      </c>
      <c r="B28" s="68">
        <f>'Hong Kong – Comfort'!H30</f>
        <v/>
      </c>
      <c r="C28" s="68">
        <f>'Hong Kong – Comfort'!H31</f>
        <v/>
      </c>
      <c r="D28" s="69">
        <f>'Hong Kong – Comfort'!H33</f>
        <v/>
      </c>
      <c r="E28" s="68">
        <f>'Hong Kong – Comfort'!K30</f>
        <v/>
      </c>
      <c r="F28" s="68">
        <f>'Hong Kong – Comfort'!K31</f>
        <v/>
      </c>
      <c r="G28" s="69">
        <f>'Hong Kong – Comfort'!K33</f>
        <v/>
      </c>
      <c r="H28" s="70">
        <f>'Hong Kong – Comfort'!H34</f>
        <v/>
      </c>
      <c r="I28" s="70">
        <f>'Hong Kong – Comfort'!K34</f>
        <v/>
      </c>
      <c r="J28" s="71">
        <f>'Hong Kong – Comfort'!H35</f>
        <v/>
      </c>
      <c r="K28" s="71">
        <f>'Hong Kong – Comfort'!D60</f>
        <v/>
      </c>
      <c r="L28" s="123">
        <f>IF(F28&gt;=0,"yes","over by "&amp;TEXT(-F28,"#,##0")&amp;" ₮")</f>
        <v/>
      </c>
      <c r="M28" s="68">
        <f>Compare!$B$5-E28/(1+Compare!$B$11)</f>
        <v/>
      </c>
    </row>
    <row r="29" ht="30" customHeight="1" s="56">
      <c r="A29" s="67" t="inlineStr">
        <is>
          <t>Hong Kong – Value</t>
        </is>
      </c>
      <c r="B29" s="68">
        <f>'Hong Kong – Value'!H30</f>
        <v/>
      </c>
      <c r="C29" s="68">
        <f>'Hong Kong – Value'!H31</f>
        <v/>
      </c>
      <c r="D29" s="69">
        <f>'Hong Kong – Value'!H33</f>
        <v/>
      </c>
      <c r="E29" s="68">
        <f>'Hong Kong – Value'!K30</f>
        <v/>
      </c>
      <c r="F29" s="68">
        <f>'Hong Kong – Value'!K31</f>
        <v/>
      </c>
      <c r="G29" s="69">
        <f>'Hong Kong – Value'!K33</f>
        <v/>
      </c>
      <c r="H29" s="70">
        <f>'Hong Kong – Value'!H34</f>
        <v/>
      </c>
      <c r="I29" s="70">
        <f>'Hong Kong – Value'!K34</f>
        <v/>
      </c>
      <c r="J29" s="71">
        <f>'Hong Kong – Value'!H35</f>
        <v/>
      </c>
      <c r="K29" s="71">
        <f>'Hong Kong – Value'!D60</f>
        <v/>
      </c>
      <c r="L29" s="123">
        <f>IF(F29&gt;=0,"yes","over by "&amp;TEXT(-F29,"#,##0")&amp;" ₮")</f>
        <v/>
      </c>
      <c r="M29" s="68">
        <f>Compare!$B$5-E29/(1+Compare!$B$11)</f>
        <v/>
      </c>
    </row>
    <row r="30" s="56">
      <c r="A30" s="67" t="inlineStr">
        <is>
          <t>Hong Kong – Sleep first</t>
        </is>
      </c>
      <c r="B30" s="68">
        <f>'Hong Kong – Sleep first'!H30</f>
        <v/>
      </c>
      <c r="C30" s="68">
        <f>'Hong Kong – Sleep first'!H31</f>
        <v/>
      </c>
      <c r="D30" s="69">
        <f>'Hong Kong – Sleep first'!H33</f>
        <v/>
      </c>
      <c r="E30" s="68">
        <f>'Hong Kong – Sleep first'!K30</f>
        <v/>
      </c>
      <c r="F30" s="68">
        <f>'Hong Kong – Sleep first'!K31</f>
        <v/>
      </c>
      <c r="G30" s="69">
        <f>'Hong Kong – Sleep first'!K33</f>
        <v/>
      </c>
      <c r="H30" s="70">
        <f>'Hong Kong – Sleep first'!H34</f>
        <v/>
      </c>
      <c r="I30" s="70">
        <f>'Hong Kong – Sleep first'!K34</f>
        <v/>
      </c>
      <c r="J30" s="71">
        <f>'Hong Kong – Sleep first'!H35</f>
        <v/>
      </c>
      <c r="K30" s="71">
        <f>'Hong Kong – Sleep first'!D60</f>
        <v/>
      </c>
      <c r="L30" s="123">
        <f>IF(F30&gt;=0,"yes","over by "&amp;TEXT(-F30,"#,##0")&amp;" ₮")</f>
        <v/>
      </c>
      <c r="M30" s="68">
        <f>Compare!$B$5-E30/(1+Compare!$B$11)</f>
        <v/>
      </c>
    </row>
    <row r="31" s="56">
      <c r="A31" s="67" t="inlineStr">
        <is>
          <t>Hong Kong – Funded 12M</t>
        </is>
      </c>
      <c r="B31" s="68">
        <f>'Hong Kong – Funded 12M'!H30</f>
        <v/>
      </c>
      <c r="C31" s="68">
        <f>'Hong Kong – Funded 12M'!H31</f>
        <v/>
      </c>
      <c r="D31" s="69">
        <f>'Hong Kong – Funded 12M'!H33</f>
        <v/>
      </c>
      <c r="E31" s="68">
        <f>'Hong Kong – Funded 12M'!K30</f>
        <v/>
      </c>
      <c r="F31" s="68">
        <f>'Hong Kong – Funded 12M'!K31</f>
        <v/>
      </c>
      <c r="G31" s="69">
        <f>'Hong Kong – Funded 12M'!K33</f>
        <v/>
      </c>
      <c r="H31" s="70">
        <f>'Hong Kong – Funded 12M'!H34</f>
        <v/>
      </c>
      <c r="I31" s="70">
        <f>'Hong Kong – Funded 12M'!K34</f>
        <v/>
      </c>
      <c r="J31" s="71">
        <f>'Hong Kong – Funded 12M'!H35</f>
        <v/>
      </c>
      <c r="K31" s="71">
        <f>'Hong Kong – Funded 12M'!D60</f>
        <v/>
      </c>
      <c r="L31" s="123">
        <f>IF(F31&gt;=0,"yes","over by "&amp;TEXT(-F31,"#,##0")&amp;" ₮")</f>
        <v/>
      </c>
      <c r="M31" s="68">
        <f>Compare!$B$5-E31/(1+Compare!$B$11)</f>
        <v/>
      </c>
    </row>
    <row r="32" s="56">
      <c r="A32" s="67" t="inlineStr">
        <is>
          <t>Hong Kong – Sleep priority</t>
        </is>
      </c>
      <c r="B32" s="68">
        <f>'Hong Kong – Sleep priority'!H30</f>
        <v/>
      </c>
      <c r="C32" s="68">
        <f>'Hong Kong – Sleep priority'!H31</f>
        <v/>
      </c>
      <c r="D32" s="69">
        <f>'Hong Kong – Sleep priority'!H33</f>
        <v/>
      </c>
      <c r="E32" s="68">
        <f>'Hong Kong – Sleep priority'!K30</f>
        <v/>
      </c>
      <c r="F32" s="68">
        <f>'Hong Kong – Sleep priority'!K31</f>
        <v/>
      </c>
      <c r="G32" s="69">
        <f>'Hong Kong – Sleep priority'!K33</f>
        <v/>
      </c>
      <c r="H32" s="70">
        <f>'Hong Kong – Sleep priority'!H34</f>
        <v/>
      </c>
      <c r="I32" s="70">
        <f>'Hong Kong – Sleep priority'!K34</f>
        <v/>
      </c>
      <c r="J32" s="71">
        <f>'Hong Kong – Sleep priority'!H35</f>
        <v/>
      </c>
      <c r="K32" s="71">
        <f>'Hong Kong – Sleep priority'!D60</f>
        <v/>
      </c>
      <c r="L32" s="123">
        <f>IF(F32&gt;=0,"yes","over by "&amp;TEXT(-F32,"#,##0")&amp;" ₮")</f>
        <v/>
      </c>
      <c r="M32" s="68">
        <f>Compare!$B$5-E32/(1+Compare!$B$11)</f>
        <v/>
      </c>
    </row>
    <row r="33" ht="30" customHeight="1" s="56">
      <c r="A33" s="67" t="inlineStr">
        <is>
          <t>EC Final Hangzhou – Train</t>
        </is>
      </c>
      <c r="B33" s="68">
        <f>'EC Final Hangzhou – Train'!H34</f>
        <v/>
      </c>
      <c r="C33" s="68">
        <f>'EC Final Hangzhou – Train'!H35</f>
        <v/>
      </c>
      <c r="D33" s="69">
        <f>'EC Final Hangzhou – Train'!H37</f>
        <v/>
      </c>
      <c r="E33" s="68">
        <f>'EC Final Hangzhou – Train'!K34</f>
        <v/>
      </c>
      <c r="F33" s="68">
        <f>'EC Final Hangzhou – Train'!K35</f>
        <v/>
      </c>
      <c r="G33" s="69">
        <f>'EC Final Hangzhou – Train'!K37</f>
        <v/>
      </c>
      <c r="H33" s="70">
        <f>'EC Final Hangzhou – Train'!H38</f>
        <v/>
      </c>
      <c r="I33" s="70">
        <f>'EC Final Hangzhou – Train'!K38</f>
        <v/>
      </c>
      <c r="J33" s="71">
        <f>'EC Final Hangzhou – Train'!H39</f>
        <v/>
      </c>
      <c r="K33" s="71">
        <f>'EC Final Hangzhou – Train'!D70</f>
        <v/>
      </c>
      <c r="L33" s="123">
        <f>IF(F33&gt;=0,"yes","over by "&amp;TEXT(-F33,"#,##0")&amp;" ₮")</f>
        <v/>
      </c>
      <c r="M33" s="68">
        <f>Compare!$B$5-E33/(1+Compare!$B$11)</f>
        <v/>
      </c>
    </row>
    <row r="34" ht="30" customHeight="1" s="56">
      <c r="A34" s="67" t="inlineStr">
        <is>
          <t>EC Final Hangzhou – Fly</t>
        </is>
      </c>
      <c r="B34" s="68">
        <f>'EC Final Hangzhou – Fly'!H33</f>
        <v/>
      </c>
      <c r="C34" s="68">
        <f>'EC Final Hangzhou – Fly'!H34</f>
        <v/>
      </c>
      <c r="D34" s="69">
        <f>'EC Final Hangzhou – Fly'!H36</f>
        <v/>
      </c>
      <c r="E34" s="68">
        <f>'EC Final Hangzhou – Fly'!K33</f>
        <v/>
      </c>
      <c r="F34" s="68">
        <f>'EC Final Hangzhou – Fly'!K34</f>
        <v/>
      </c>
      <c r="G34" s="69">
        <f>'EC Final Hangzhou – Fly'!K36</f>
        <v/>
      </c>
      <c r="H34" s="70">
        <f>'EC Final Hangzhou – Fly'!H37</f>
        <v/>
      </c>
      <c r="I34" s="70">
        <f>'EC Final Hangzhou – Fly'!K37</f>
        <v/>
      </c>
      <c r="J34" s="71">
        <f>'EC Final Hangzhou – Fly'!H38</f>
        <v/>
      </c>
      <c r="K34" s="71">
        <f>'EC Final Hangzhou – Fly'!D70</f>
        <v/>
      </c>
      <c r="L34" s="123">
        <f>IF(F34&gt;=0,"yes","over by "&amp;TEXT(-F34,"#,##0")&amp;" ₮")</f>
        <v/>
      </c>
      <c r="M34" s="68">
        <f>Compare!$B$5-E34/(1+Compare!$B$11)</f>
        <v/>
      </c>
    </row>
    <row r="35" ht="30" customHeight="1" s="56">
      <c r="A35" s="75" t="n"/>
      <c r="B35" s="74" t="n"/>
    </row>
    <row r="36" ht="15" customHeight="1" s="56">
      <c r="A36" s="72" t="inlineStr">
        <is>
          <t>Recommended picks (not the expensive ones)</t>
        </is>
      </c>
    </row>
    <row r="37" ht="62" customHeight="1" s="56">
      <c r="A37" s="73" t="inlineStr">
        <is>
          <t>Likely pairing (your answer)</t>
        </is>
      </c>
      <c r="B37" s="74" t="inlineStr">
        <is>
          <t>Funded = Hong Kong (₮12M, coach): lead with 'Hong Kong – Sleep priority' – MIAT nonstop, 2 rooms with 4 separate twin beds and private bathrooms at Good Fortune Inn (8.6, 715 reviews, ~35–40 min MTR to HKU), airport bus: ₮11.33M before the 10% contingency (₮0.67M spare), ₮12.47M with it. Walking alternative: 'Funded 12M' (Best Western Plus, ~540 m to HKU) ₮11.70M before contingency (₮0.30M spare). Unfunded = Shenyang: Budget ₮2.14M per person (≈ $594; flights are 58% of it), Comfort ₮2.46M per person. The HK 2026 host may not be HKU (2025 was HKUST), which favours sleeping well and staying on the MTR over a hotel next to one campus.</t>
        </is>
      </c>
    </row>
    <row r="38" ht="62" customHeight="1" s="56">
      <c r="A38" s="73" t="inlineStr">
        <is>
          <t>Unfunded regional (3 ppl pay)</t>
        </is>
      </c>
      <c r="B38" s="74" t="inlineStr">
        <is>
          <t>Cheapest sleep-safe plans per person incl. fee, taxi, insurance, eSIM and 10% contingency: Shenyang – Budget ₮2.14M per person (soft sleeper before day 1); Shenyang – Comfort ₮2.46M per person; Nanchang – Sleeper ₮2.50M per person; Shanghai – Sleeper ₮2.78M per person (Shanghai nonstop with cheap rooms ₮2.90M); Hong Kong – Budget ₮3.43M per person; EC Final – Train ₮3.14M per person. Shenyang and Nanchang are the cheap ones to pay yourselves.</t>
        </is>
      </c>
    </row>
    <row r="39" ht="62" customHeight="1" s="56">
      <c r="A39" s="73" t="inlineStr">
        <is>
          <t>Funded regional (₮12M, coach)</t>
        </is>
      </c>
      <c r="B39" s="74" t="inlineStr">
        <is>
          <t>Fits ₮12M incl. contingency: Shenyang – Comfort ₮8.04M (fits, ₮3.96M left); Shanghai – Sleeper ₮9.23M (fits, ₮2.77M left; the nonstop with cheap rooms ₮9.48M and 'Fly out, train home' ₮9.28M also fit); Nanchang – Sleeper ₮8.19M (fits, ₮3.81M left); EC Final – Train ₮11.12M (fits, ₮0.88M left). Hong Kong only fits before the 10% contingency (the flights are ₮8.4M of it): Budget ₮11.02M, Value ₮11.26M, Sleep priority ₮11.33M, Funded 12M ₮11.70M, Comfort ₮11.96M; Sleep first ₮13.14M and EC Final – Fly do not fit at all. Use the funded trip for the dearest contest you must attend and pay the cheap one yourselves.</t>
        </is>
      </c>
    </row>
    <row r="40" ht="47" customHeight="1" s="56">
      <c r="A40" s="73" t="inlineStr">
        <is>
          <t>Regional – Shenyang (14–15 Nov)</t>
        </is>
      </c>
      <c r="B40" s="74" t="inlineStr">
        <is>
          <t>Comfort: rest day, RiCH family room 1.3 km from NEU, hard sleeper home after the contest. No sleepers at all: G-train Comfort ₮6.72M / ₮8.84M, G-train Budget ₮6.05M / ₮8.27M (3 / 4 ppl). Fly home on Air China 12:55 ($171).</t>
        </is>
      </c>
    </row>
    <row r="41" ht="47" customHeight="1" s="56">
      <c r="A41" s="73" t="inlineStr">
        <is>
          <t>Regional – Shanghai (5–6 Dec)</t>
        </is>
      </c>
      <c r="B41" s="74" t="inlineStr">
        <is>
          <t>Sleeper: MIAT $151 + G17 out on 3 Dec, 2 cheap rooms 3 nights at Hi Inn (1.8 km, 8.9), D8 overnight seat back, Air China 12:55 $172 on 7 Dec: ₮7.15M / ₮9.23M. Spring nonstop with the same cheap rooms (Tue 1 → Tue 8 Dec, 7 nights) ₮7.50M / ₮9.48M (was ₮8.21M / ₮10.73M with the apartment); 'Fly out, train home' (Spring out, D10 seat ¥294 after the awards, Air China 7 Dec, no hotel nights after the contest) ₮7.27M / ₮9.28M. Wildcard: email shu_icpc@163.com now.</t>
        </is>
      </c>
    </row>
    <row r="42" ht="47" customHeight="1" s="56">
      <c r="A42" s="73" t="inlineStr">
        <is>
          <t>Regional – Nanchang (19–20 Dec)</t>
        </is>
      </c>
      <c r="B42" s="74" t="inlineStr">
        <is>
          <t>Sleeper: Air China $157 + Z111 hard sleeper (arrive 11:52 on 18 Dec), Orange Hotel 2 nights, D136 seat back, Air China 12:55 $172. Comfort (daytime G-train, 3 hotel nights) ₮7.96M / ₮10.32M; Fly in (Air China through ticket $356) ₮8.41M / ₮10.95M.</t>
        </is>
      </c>
    </row>
    <row r="43" ht="62" customHeight="1" s="56">
      <c r="A43" s="73" t="inlineStr">
        <is>
          <t>Regional – Hong Kong (9–10 Jan)</t>
        </is>
      </c>
      <c r="B43" s="74" t="inlineStr">
        <is>
          <t>MIAT nonstop ($586 return on Trip.com, low against the usual $708–900) is the cheapest way in; flights are ₮8.4M of the 4-person cost. With sleep prioritised over distance: Sleep priority (Good Fortune Inn, 4 twin beds, ~35–40 min MTR) ₮9.14M / ₮12.47M, Funded 12M (BW Plus, 2 rooms, walk to HKU) ₮9.35M / ₮12.87M, Budget guesthouse ₮9.08M / ₮12.12M, Value (Kusa Inn 9.6) ₮9.08M / ₮12.38M, Sleep first (2 rooms in Sheung Wan) ₮11.63M / ₮14.45M (3 / 4 ppl). No route or date is cheaper (checked 10 Oct).</t>
        </is>
      </c>
    </row>
    <row r="44" ht="47" customHeight="1" s="56">
      <c r="A44" s="73" t="inlineStr">
        <is>
          <t>EC Final (only if qualified)</t>
        </is>
      </c>
      <c r="B44" s="74" t="inlineStr">
        <is>
          <t>Train: MIAT to Beijing, D17 overnight sleeper Beijing 19:10 → Hangzhou 09:15 (¥491), Air China through ticket Hangzhou → UB on 29 Jan: ₮11.12M (fits, ₮0.88M left) for 4 ppl, ₮3.14M per person for 3. Fly (Aero Mongolia + Xiamen via Hohhot) is ₮14.82M (over by ₮2.82M) – does not fit ₮12M. Buy D17 on 12306 at 10:00 on 11 Jan.</t>
        </is>
      </c>
    </row>
    <row r="45" ht="32" customHeight="1" s="56"/>
    <row r="46" ht="32" customHeight="1" s="56">
      <c r="A46" s="75" t="inlineStr">
        <is>
          <t>Note</t>
        </is>
      </c>
      <c r="B46" s="74" t="inlineStr">
        <is>
          <t>Dates are provisional (ICPC Beijing HQ summary, 5 Aug 2026). Hong Kong host (HKU) and EC Final venue (HZNU Cangqian) are from secondary sources; Shanghai (Shanghai University Baoshan) follows the 2025 invitation and Nanchang (Jiangxi Normal University Yaohu campus) the 2019 handbook – confirm each invitation.</t>
        </is>
      </c>
    </row>
    <row r="47" ht="18" customHeight="1" s="56">
      <c r="A47" s="75" t="inlineStr">
        <is>
          <t>Note</t>
        </is>
      </c>
      <c r="B47" s="74" t="inlineStr">
        <is>
          <t>EC Final is qualification-only: plan it only once the team has earned a slot at a regional.</t>
        </is>
      </c>
    </row>
    <row r="48" ht="32" customHeight="1" s="56">
      <c r="A48" s="75" t="inlineStr">
        <is>
          <t>Note</t>
        </is>
      </c>
      <c r="B48" s="74" t="inlineStr">
        <is>
          <t>4-person plans use whatever split is cheapest on Trip.com/Booking.com: one family room for 4 (Shenyang RiCH, Nanchang Orange Hotel), or two rooms. Taxi costs assume one car; with luggage 4 people may need an XL car.</t>
        </is>
      </c>
    </row>
    <row r="49" ht="47" customHeight="1" s="56">
      <c r="A49" s="75" t="inlineStr">
        <is>
          <t>Note</t>
        </is>
      </c>
      <c r="B49" s="74" t="inlineStr">
        <is>
          <t>Sleep rule (see the 'Sleep check' sheet): the two nights before each contest day are in a quiet bed near the venue; sleepers, early flights and red-eyes are only used before day 1 (soft sleeper) or after the contest (anything goes). Sleeper trains replace hotel nights in the Shenyang, Shanghai (D8 seat), Nanchang (Z111 / D136 seat) and EC Final (D17) plans; the 'G-train' / 'no sleeper' variants cost more per trip. Chinese train tickets go on sale 14 days ahead – dates are in the '12306 &amp; ChinaTicketOnline' and '10 Oct' sheets of the fares workbook.</t>
        </is>
      </c>
    </row>
    <row r="50" ht="32" customHeight="1" s="56">
      <c r="A50" s="75" t="inlineStr">
        <is>
          <t>Note</t>
        </is>
      </c>
      <c r="B50" s="74" t="inlineStr">
        <is>
          <t>Sources (10 Oct): Trip.com (flights and hotels, built-in browser), 12306 (official train fares), ChinaTicketOnline (timetable and sale-date check; 30–70% dearer than 12306, not used for booking), SlickTrip (MIAT / Spring fares; Air China is unpriced there).</t>
        </is>
      </c>
    </row>
  </sheetData>
  <mergeCells count="14">
    <mergeCell ref="B46:K46"/>
    <mergeCell ref="B41:K41"/>
    <mergeCell ref="B49:K49"/>
    <mergeCell ref="B50:K50"/>
    <mergeCell ref="B40:K40"/>
    <mergeCell ref="B44:K44"/>
    <mergeCell ref="A2:K2"/>
    <mergeCell ref="B43:K43"/>
    <mergeCell ref="B39:K39"/>
    <mergeCell ref="B47:K47"/>
    <mergeCell ref="B48:K48"/>
    <mergeCell ref="B38:K38"/>
    <mergeCell ref="B42:K42"/>
    <mergeCell ref="B37:K3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H3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0" customWidth="1" style="56" min="1" max="1"/>
    <col width="22" customWidth="1" style="56" min="2" max="2"/>
    <col width="32" customWidth="1" style="56" min="3" max="3"/>
    <col width="34" customWidth="1" style="56" min="4" max="4"/>
    <col width="30" customWidth="1" style="56" min="5" max="5"/>
    <col width="22" customWidth="1" style="56" min="6" max="6"/>
    <col width="10" customWidth="1" style="56" min="7" max="7"/>
    <col width="70" customWidth="1" style="56" min="8" max="8"/>
  </cols>
  <sheetData>
    <row r="1">
      <c r="A1" s="115" t="inlineStr">
        <is>
          <t>Sleep check – protect the nights before the contest, spend nothing on comfort after it</t>
        </is>
      </c>
    </row>
    <row r="2" ht="78" customHeight="1" s="56">
      <c r="A2" s="116" t="inlineStr">
        <is>
          <t>Rules used: (1) the two nights before the contest day are in a real bed, quiet, ≤30 min from the venue, ≥7.5 h in bed and no wake-up before ~06:00 on contest morning; (2) no overnight train or flight on the contest eve; a sleeper before day 1 only if it is a soft sleeper that arrives by midday and there is a bed night in between; (3) flights before 08:00 only ≥2 nights before the contest; (4) after the contest anything goes – hard sleepers, seats, red-eye trains, 04:30 airport runs – so the cheapest option is used. No time-zone effect: Mongolia, China and Hong Kong are all UTC+8.</t>
        </is>
      </c>
    </row>
    <row r="3"/>
    <row r="4">
      <c r="A4" s="117" t="inlineStr">
        <is>
          <t>Plan</t>
        </is>
      </c>
      <c r="B4" s="117" t="inlineStr">
        <is>
          <t>Contest day / day 1</t>
        </is>
      </c>
      <c r="C4" s="117" t="inlineStr">
        <is>
          <t>Night −3</t>
        </is>
      </c>
      <c r="D4" s="117" t="inlineStr">
        <is>
          <t>Night −2 (before day 1)</t>
        </is>
      </c>
      <c r="E4" s="117" t="inlineStr">
        <is>
          <t>Night −1 (contest eve)</t>
        </is>
      </c>
      <c r="F4" s="117" t="inlineStr">
        <is>
          <t>Contest morning</t>
        </is>
      </c>
      <c r="G4" s="117" t="inlineStr">
        <is>
          <t>Verdict</t>
        </is>
      </c>
      <c r="H4" s="117" t="inlineStr">
        <is>
          <t>Sleep fix / what changed</t>
        </is>
      </c>
    </row>
    <row r="5" ht="66" customHeight="1" s="56">
      <c r="A5" s="118" t="inlineStr">
        <is>
          <t>Shenyang – Comfort</t>
        </is>
      </c>
      <c r="B5" s="116" t="inlineStr">
        <is>
          <t>Sun 15 Nov / Sat 14 Nov</t>
        </is>
      </c>
      <c r="C5" s="116" t="inlineStr">
        <is>
          <t>12 Nov RiCH hotel (after a 04:30 start for MIAT 07:30; nap in the afternoon)</t>
        </is>
      </c>
      <c r="D5" s="116" t="inlineStr">
        <is>
          <t>13 Nov RiCH, free rest day</t>
        </is>
      </c>
      <c r="E5" s="116" t="inlineStr">
        <is>
          <t>14 Nov RiCH, family room, quiet</t>
        </is>
      </c>
      <c r="F5" s="116" t="inlineStr">
        <is>
          <t>Walk 18 min, wake ~07:00</t>
        </is>
      </c>
      <c r="G5" s="119" t="inlineStr">
        <is>
          <t>BEST</t>
        </is>
      </c>
      <c r="H5" s="116" t="inlineStr">
        <is>
          <t>Sleeper K54 is after the contest, so it is now a hard sleeper (soft was ¥263): saves ~₮0.16M (₮6.2M total).</t>
        </is>
      </c>
    </row>
    <row r="6" ht="66" customHeight="1" s="56">
      <c r="A6" s="118" t="inlineStr">
        <is>
          <t>Shenyang – Budget</t>
        </is>
      </c>
      <c r="B6" s="116" t="inlineStr">
        <is>
          <t>Sun 15 Nov / Sat 14 Nov</t>
        </is>
      </c>
      <c r="C6" s="116" t="inlineStr">
        <is>
          <t>12 Nov at home</t>
        </is>
      </c>
      <c r="D6" s="116" t="inlineStr">
        <is>
          <t>13 Nov K53 soft sleeper 22:35–07:00 (was hard): ~5–6 h, then day-1 registration</t>
        </is>
      </c>
      <c r="E6" s="116" t="inlineStr">
        <is>
          <t>14 Nov Bestay hotel (8.2, budget chain)</t>
        </is>
      </c>
      <c r="F6" s="116" t="inlineStr">
        <is>
          <t>Metro 25 min, wake ~06:30</t>
        </is>
      </c>
      <c r="G6" s="120" t="inlineStr">
        <is>
          <t>WATCH</t>
        </is>
      </c>
      <c r="H6" s="116" t="inlineStr">
        <is>
          <t>K53 is the night before day 1, so it is now a soft sleeper (+¥92 pp, +₮0.16M; ₮5.2M total). Nap on arrival; the contest eve is in a bed. Safer: Comfort or either G-train variant.</t>
        </is>
      </c>
    </row>
    <row r="7" ht="66" customHeight="1" s="56">
      <c r="A7" s="118" t="inlineStr">
        <is>
          <t>Shenyang – Comfort (G-train)</t>
        </is>
      </c>
      <c r="B7" s="116" t="inlineStr">
        <is>
          <t>Sun 15 Nov / Sat 14 Nov</t>
        </is>
      </c>
      <c r="C7" s="116" t="inlineStr">
        <is>
          <t>12 Nov RiCH hotel</t>
        </is>
      </c>
      <c r="D7" s="116" t="inlineStr">
        <is>
          <t>13 Nov RiCH</t>
        </is>
      </c>
      <c r="E7" s="116" t="inlineStr">
        <is>
          <t>14 Nov RiCH</t>
        </is>
      </c>
      <c r="F7" s="116" t="inlineStr">
        <is>
          <t>Walk 18 min, wake ~07:00</t>
        </is>
      </c>
      <c r="G7" s="119" t="inlineStr">
        <is>
          <t>BEST</t>
        </is>
      </c>
      <c r="H7" s="116" t="inlineStr">
        <is>
          <t>All beds before the contest; the Beijing hotel night (Dequan) is after it. +0.5M vs the sleeper plan.</t>
        </is>
      </c>
    </row>
    <row r="8" ht="66" customHeight="1" s="56">
      <c r="A8" s="118" t="inlineStr">
        <is>
          <t>Shenyang – Budget (G-train)</t>
        </is>
      </c>
      <c r="B8" s="116" t="inlineStr">
        <is>
          <t>Sun 15 Nov / Sat 14 Nov</t>
        </is>
      </c>
      <c r="C8" s="116" t="inlineStr">
        <is>
          <t>12 Nov at home</t>
        </is>
      </c>
      <c r="D8" s="116" t="inlineStr">
        <is>
          <t>13 Nov Dequan hotel Beijing, wake 05:45 for G101 08:00 (~6.5 h)</t>
        </is>
      </c>
      <c r="E8" s="116" t="inlineStr">
        <is>
          <t>14 Nov Bestay hotel</t>
        </is>
      </c>
      <c r="F8" s="116" t="inlineStr">
        <is>
          <t>Metro 25 min, wake ~06:30</t>
        </is>
      </c>
      <c r="G8" s="121" t="inlineStr">
        <is>
          <t>OK</t>
        </is>
      </c>
      <c r="H8" s="116" t="inlineStr">
        <is>
          <t>Two nights in beds; one early wake two nights before the contest. Cheapest plan with no sleeper before the contest.</t>
        </is>
      </c>
    </row>
    <row r="9" ht="66" customHeight="1" s="56">
      <c r="A9" s="118" t="inlineStr">
        <is>
          <t>Shanghai – Sleeper</t>
        </is>
      </c>
      <c r="B9" s="116" t="inlineStr">
        <is>
          <t>Sun 6 Dec / Sat 5 Dec</t>
        </is>
      </c>
      <c r="C9" s="116" t="inlineStr">
        <is>
          <t>3 Dec Hi Inn (2 rooms) (after a 04:30 start for MIAT 07:30; arrive 17:35)</t>
        </is>
      </c>
      <c r="D9" s="116" t="inlineStr">
        <is>
          <t>4 Dec Hi Inn, free day</t>
        </is>
      </c>
      <c r="E9" s="116" t="inlineStr">
        <is>
          <t>5 Dec Hi Inn, 1.8 km</t>
        </is>
      </c>
      <c r="F9" s="116" t="inlineStr">
        <is>
          <t>Walk ~25 min or a ¥15 taxi, wake ~07:00</t>
        </is>
      </c>
      <c r="G9" s="119" t="inlineStr">
        <is>
          <t>BEST</t>
        </is>
      </c>
      <c r="H9" s="116" t="inlineStr">
        <is>
          <t>D8 is after the contest: now a 2nd-class seat (¥361, sleeper was ¥440). Two cheap rooms (Hi Inn) replace the apartment: total ₮7.15M.</t>
        </is>
      </c>
    </row>
    <row r="10" ht="66" customHeight="1" s="56">
      <c r="A10" s="118" t="inlineStr">
        <is>
          <t>Shanghai – Spring nonstop</t>
        </is>
      </c>
      <c r="B10" s="116" t="inlineStr">
        <is>
          <t>Sun 6 Dec / Sat 5 Dec</t>
        </is>
      </c>
      <c r="C10" s="116" t="inlineStr">
        <is>
          <t>2–3 Dec Jenny's</t>
        </is>
      </c>
      <c r="D10" s="116" t="inlineStr">
        <is>
          <t>4 Dec Jenny's</t>
        </is>
      </c>
      <c r="E10" s="116" t="inlineStr">
        <is>
          <t>5 Dec Jenny's</t>
        </is>
      </c>
      <c r="F10" s="116" t="inlineStr">
        <is>
          <t>Walk ~15 min</t>
        </is>
      </c>
      <c r="G10" s="119" t="inlineStr">
        <is>
          <t>BEST</t>
        </is>
      </c>
      <c r="H10" s="116" t="inlineStr">
        <is>
          <t>Five bed nights before the contest (more than needed). The 08:00 flight on 8 Dec is after the contest, so the 05:00 start does not matter.</t>
        </is>
      </c>
    </row>
    <row r="11" ht="70" customHeight="1" s="56">
      <c r="A11" s="118" t="inlineStr">
        <is>
          <t>Shanghai – Nonstop cheap rooms</t>
        </is>
      </c>
      <c r="B11" s="116" t="inlineStr">
        <is>
          <t>Sun 6 Dec / Sat 5 Dec</t>
        </is>
      </c>
      <c r="C11" s="116" t="inlineStr">
        <is>
          <t>1 Dec Hi Inn (arrive 17:00, bed ~22:00)</t>
        </is>
      </c>
      <c r="D11" s="116" t="inlineStr">
        <is>
          <t>2–4 Dec Hi Inn, free days</t>
        </is>
      </c>
      <c r="E11" s="116" t="inlineStr">
        <is>
          <t>5 Dec Hi Inn, 2 rooms, 1.8 km</t>
        </is>
      </c>
      <c r="F11" s="116" t="inlineStr">
        <is>
          <t>Walk ~25 min or a ¥15 taxi, wake ~06:45</t>
        </is>
      </c>
      <c r="G11" s="119" t="inlineStr">
        <is>
          <t>BEST</t>
        </is>
      </c>
      <c r="H11" s="116" t="inlineStr">
        <is>
          <t>Same five bed nights before the contest as 'Spring nonstop' for much less: two rooms with beds for everyone (8.9 from 423 reviews) instead of one apartment room for three. The 08:00 flight on 8 Dec is after the contest.</t>
        </is>
      </c>
    </row>
    <row r="12" ht="70" customHeight="1" s="56">
      <c r="A12" s="118" t="inlineStr">
        <is>
          <t>Shanghai – Fly out, train home</t>
        </is>
      </c>
      <c r="B12" s="116" t="inlineStr">
        <is>
          <t>Sun 6 Dec / Sat 5 Dec</t>
        </is>
      </c>
      <c r="C12" s="116" t="inlineStr">
        <is>
          <t>1 Dec Hi Inn (arrive 17:00)</t>
        </is>
      </c>
      <c r="D12" s="116" t="inlineStr">
        <is>
          <t>2–4 Dec Hi Inn</t>
        </is>
      </c>
      <c r="E12" s="116" t="inlineStr">
        <is>
          <t>5 Dec Hi Inn, 2 rooms, 1.8 km</t>
        </is>
      </c>
      <c r="F12" s="116" t="inlineStr">
        <is>
          <t>Walk ~25 min or a ¥15 taxi, wake ~06:45</t>
        </is>
      </c>
      <c r="G12" s="119" t="inlineStr">
        <is>
          <t>BEST</t>
        </is>
      </c>
      <c r="H12" s="116" t="inlineStr">
        <is>
          <t>Everything before the contest is identical to the cheap-rooms plan. The D10 seat (21:05) and the Beijing flight are after the awards, so only comfort is lost (~12 h seated, ~75 min to PEK at 09:24).</t>
        </is>
      </c>
    </row>
    <row r="13" ht="66" customHeight="1" s="56">
      <c r="A13" s="118" t="inlineStr">
        <is>
          <t>Shanghai – Train (no sleeper)</t>
        </is>
      </c>
      <c r="B13" s="116" t="inlineStr">
        <is>
          <t>Sun 6 Dec / Sat 5 Dec</t>
        </is>
      </c>
      <c r="C13" s="116" t="inlineStr">
        <is>
          <t>3 Dec Hi Inn</t>
        </is>
      </c>
      <c r="D13" s="116" t="inlineStr">
        <is>
          <t>4 Dec Hi Inn</t>
        </is>
      </c>
      <c r="E13" s="116" t="inlineStr">
        <is>
          <t>5 Dec Hi Inn</t>
        </is>
      </c>
      <c r="F13" s="116" t="inlineStr">
        <is>
          <t>Walk ~25 min or a ¥15 taxi</t>
        </is>
      </c>
      <c r="G13" s="119" t="inlineStr">
        <is>
          <t>BEST</t>
        </is>
      </c>
      <c r="H13" s="116" t="inlineStr">
        <is>
          <t>Identical before the contest; the Beijing hotel night after it costs +0.6M more for nothing – use the sleeper plan.</t>
        </is>
      </c>
    </row>
    <row r="14" ht="66" customHeight="1" s="56">
      <c r="A14" s="118" t="inlineStr">
        <is>
          <t>Nanchang – Sleeper</t>
        </is>
      </c>
      <c r="B14" s="116" t="inlineStr">
        <is>
          <t>Sun 20 Dec / Sat 19 Dec</t>
        </is>
      </c>
      <c r="C14" s="116" t="inlineStr">
        <is>
          <t>17 Dec Z111 hard sleeper 23:06–11:52 (~5–6 h, broken)</t>
        </is>
      </c>
      <c r="D14" s="116" t="inlineStr">
        <is>
          <t>18 Dec Orange Hotel, arrive 11:52 → nap</t>
        </is>
      </c>
      <c r="E14" s="116" t="inlineStr">
        <is>
          <t>19 Dec Orange Hotel, 0.7 km</t>
        </is>
      </c>
      <c r="F14" s="116" t="inlineStr">
        <is>
          <t>Walk ~10–15 min, wake ~07:00</t>
        </is>
      </c>
      <c r="G14" s="121" t="inlineStr">
        <is>
          <t>OK</t>
        </is>
      </c>
      <c r="H14" s="116" t="inlineStr">
        <is>
          <t>Two hotel nights sit between the sleeper and the contest. D136 home is after the contest: now a 2nd-class seat (¥271, sleeper was ¥382). Soft sleeper on Z111 (+¥168 pp, ~₮0.3M) is the upgrade. Total ₮6.3M.</t>
        </is>
      </c>
    </row>
    <row r="15" ht="66" customHeight="1" s="56">
      <c r="A15" s="118" t="inlineStr">
        <is>
          <t>Nanchang – Comfort</t>
        </is>
      </c>
      <c r="B15" s="116" t="inlineStr">
        <is>
          <t>Sun 20 Dec / Sat 19 Dec</t>
        </is>
      </c>
      <c r="C15" s="116" t="inlineStr">
        <is>
          <t>17 Dec Orange Hotel (after a 04:30 start; arrive 17:52)</t>
        </is>
      </c>
      <c r="D15" s="116" t="inlineStr">
        <is>
          <t>18 Dec Orange Hotel</t>
        </is>
      </c>
      <c r="E15" s="116" t="inlineStr">
        <is>
          <t>19 Dec Orange Hotel</t>
        </is>
      </c>
      <c r="F15" s="116" t="inlineStr">
        <is>
          <t>Walk ~10–15 min</t>
        </is>
      </c>
      <c r="G15" s="119" t="inlineStr">
        <is>
          <t>BEST</t>
        </is>
      </c>
      <c r="H15" s="116" t="inlineStr">
        <is>
          <t>Three bed nights; +1.6M vs the sleeper plan.</t>
        </is>
      </c>
    </row>
    <row r="16" ht="66" customHeight="1" s="56">
      <c r="A16" s="118" t="inlineStr">
        <is>
          <t>Nanchang – Fly in (Air China)</t>
        </is>
      </c>
      <c r="B16" s="116" t="inlineStr">
        <is>
          <t>Sun 20 Dec / Sat 19 Dec</t>
        </is>
      </c>
      <c r="C16" s="116" t="inlineStr">
        <is>
          <t>17 Dec Orange Hotel (lands 21:40, bed ~23:00)</t>
        </is>
      </c>
      <c r="D16" s="116" t="inlineStr">
        <is>
          <t>18 Dec Orange Hotel</t>
        </is>
      </c>
      <c r="E16" s="116" t="inlineStr">
        <is>
          <t>19 Dec Orange Hotel</t>
        </is>
      </c>
      <c r="F16" s="116" t="inlineStr">
        <is>
          <t>Walk ~10–15 min</t>
        </is>
      </c>
      <c r="G16" s="119" t="inlineStr">
        <is>
          <t>BEST</t>
        </is>
      </c>
      <c r="H16" s="116" t="inlineStr">
        <is>
          <t>No early start at all; +2.1M vs the sleeper plan.</t>
        </is>
      </c>
    </row>
    <row r="17" ht="66" customHeight="1" s="56">
      <c r="A17" s="118" t="inlineStr">
        <is>
          <t>Hong Kong – Budget</t>
        </is>
      </c>
      <c r="B17" s="116" t="inlineStr">
        <is>
          <t>Sun 10 Jan / Sat 9 Jan</t>
        </is>
      </c>
      <c r="C17" s="116" t="inlineStr">
        <is>
          <t>7 Jan at home (wake ~04:00 on 8 Jan for MIAT 07:15)</t>
        </is>
      </c>
      <c r="D17" s="116" t="inlineStr">
        <is>
          <t>8 Jan Chungking Mansion guesthouse, 3 in one small room</t>
        </is>
      </c>
      <c r="E17" s="116" t="inlineStr">
        <is>
          <t>9 Jan same room</t>
        </is>
      </c>
      <c r="F17" s="116" t="inlineStr">
        <is>
          <t>MTR ~35 min, wake ~06:15</t>
        </is>
      </c>
      <c r="G17" s="120" t="inlineStr">
        <is>
          <t>WATCH</t>
        </is>
      </c>
      <c r="H17" s="116" t="inlineStr">
        <is>
          <t>Cheapest, but small noisy rooms, three people in one room and a long commute are the worst pre-contest sleep of any plan. Use Value or Sleep first for the nights of 8 and 9 Jan.</t>
        </is>
      </c>
    </row>
    <row r="18" ht="66" customHeight="1" s="56">
      <c r="A18" s="118" t="inlineStr">
        <is>
          <t>Hong Kong – Comfort</t>
        </is>
      </c>
      <c r="B18" s="116" t="inlineStr">
        <is>
          <t>Sun 10 Jan / Sat 9 Jan</t>
        </is>
      </c>
      <c r="C18" s="116" t="inlineStr">
        <is>
          <t>7 Jan at home (04:00 start on 8 Jan)</t>
        </is>
      </c>
      <c r="D18" s="116" t="inlineStr">
        <is>
          <t>8 Jan Best Western Plus, Sai Ying Pun</t>
        </is>
      </c>
      <c r="E18" s="116" t="inlineStr">
        <is>
          <t>9 Jan same</t>
        </is>
      </c>
      <c r="F18" s="116" t="inlineStr">
        <is>
          <t>Walk / 1 MTR stop ~10–15 min</t>
        </is>
      </c>
      <c r="G18" s="121" t="inlineStr">
        <is>
          <t>OK</t>
        </is>
      </c>
      <c r="H18" s="116" t="inlineStr">
        <is>
          <t>Close to HKU but rated only 7.4 (4,583 reviews) – read the noise reviews before booking.</t>
        </is>
      </c>
    </row>
    <row r="19" ht="66" customHeight="1" s="56">
      <c r="A19" s="118" t="inlineStr">
        <is>
          <t>Hong Kong – Value</t>
        </is>
      </c>
      <c r="B19" s="116" t="inlineStr">
        <is>
          <t>Sun 10 Jan / Sat 9 Jan</t>
        </is>
      </c>
      <c r="C19" s="116" t="inlineStr">
        <is>
          <t>7 Jan at home (04:00 start)</t>
        </is>
      </c>
      <c r="D19" s="116" t="inlineStr">
        <is>
          <t>8 Jan Kusa Inn (9.6, 15 reviews), Kowloon</t>
        </is>
      </c>
      <c r="E19" s="116" t="inlineStr">
        <is>
          <t>9 Jan same</t>
        </is>
      </c>
      <c r="F19" s="116" t="inlineStr">
        <is>
          <t>MTR ~35 min, wake ~06:15</t>
        </is>
      </c>
      <c r="G19" s="121" t="inlineStr">
        <is>
          <t>OK</t>
        </is>
      </c>
      <c r="H19" s="116" t="inlineStr">
        <is>
          <t>Better-rated room for the same money, but few reviews and the same 35-min commute.</t>
        </is>
      </c>
    </row>
    <row r="20" ht="66" customHeight="1" s="56">
      <c r="A20" s="118" t="inlineStr">
        <is>
          <t>Hong Kong – Sleep first</t>
        </is>
      </c>
      <c r="B20" s="116" t="inlineStr">
        <is>
          <t>Sun 10 Jan / Sat 9 Jan</t>
        </is>
      </c>
      <c r="C20" s="116" t="inlineStr">
        <is>
          <t>7 Jan at home (04:00 start; arrive 11:50 and nap)</t>
        </is>
      </c>
      <c r="D20" s="116" t="inlineStr">
        <is>
          <t>8 Jan iclub AMTD Sheung Wan, 2 rooms</t>
        </is>
      </c>
      <c r="E20" s="116" t="inlineStr">
        <is>
          <t>9 Jan same, 2 MTR stops to HKU</t>
        </is>
      </c>
      <c r="F20" s="116" t="inlineStr">
        <is>
          <t>MTR ~10–15 min, wake ~07:00</t>
        </is>
      </c>
      <c r="G20" s="119" t="inlineStr">
        <is>
          <t>BEST</t>
        </is>
      </c>
      <c r="H20" s="116" t="inlineStr">
        <is>
          <t>Two rooms in an 8.6-rated hotel: ₮2.55M (3 ppl) / ₮2.33M (4 ppl) vs Budget (₮11.63M / ₮14.45M total). Over the ₮12M with the coach.</t>
        </is>
      </c>
    </row>
    <row r="21" ht="66" customHeight="1" s="56">
      <c r="A21" s="118" t="inlineStr">
        <is>
          <t>Hong Kong – Funded 12M (funded regional)</t>
        </is>
      </c>
      <c r="B21" s="116" t="inlineStr">
        <is>
          <t>Sun 10 Jan / Sat 9 Jan</t>
        </is>
      </c>
      <c r="C21" s="116" t="inlineStr">
        <is>
          <t>7 Jan at home (04:00 start; arrive 11:50, nap)</t>
        </is>
      </c>
      <c r="D21" s="116" t="inlineStr">
        <is>
          <t>8 Jan Best Western Plus, Sai Ying Pun, 2 rooms (2 beds each)</t>
        </is>
      </c>
      <c r="E21" s="116" t="inlineStr">
        <is>
          <t>9 Jan same, ~540 m to HKU</t>
        </is>
      </c>
      <c r="F21" s="116" t="inlineStr">
        <is>
          <t>Walk ~10 min, wake ~07:00</t>
        </is>
      </c>
      <c r="G21" s="121" t="inlineStr">
        <is>
          <t>OK</t>
        </is>
      </c>
      <c r="H21" s="116" t="inlineStr">
        <is>
          <t>Fits ₮12M only before the 10% contingency (~₮11.7M). Separate beds and no commute; the hotel is rated 7.4–8.2, so read noise reviews. Cheaper alternative with separate beds: Good Fortune Inn (8.6, 4 twin beds) but ~35 min MTR.</t>
        </is>
      </c>
    </row>
    <row r="22" ht="78" customHeight="1" s="56">
      <c r="A22" s="118" t="inlineStr">
        <is>
          <t>Hong Kong – Sleep priority (funded regional)</t>
        </is>
      </c>
      <c r="B22" s="116" t="inlineStr">
        <is>
          <t>Sun 10 Jan / Sat 9 Jan</t>
        </is>
      </c>
      <c r="C22" s="116" t="inlineStr">
        <is>
          <t>7 Jan at home (04:00 start; arrive 11:50, nap)</t>
        </is>
      </c>
      <c r="D22" s="116" t="inlineStr">
        <is>
          <t>8 Jan Good Fortune Inn: 2 rooms, 4 twin beds, private bathrooms</t>
        </is>
      </c>
      <c r="E22" s="116" t="inlineStr">
        <is>
          <t>9 Jan same</t>
        </is>
      </c>
      <c r="F22" s="116" t="inlineStr">
        <is>
          <t>MTR ~35–40 min, wake ~06:15 (lights out 22:30 = 7.75 h)</t>
        </is>
      </c>
      <c r="G22" s="121" t="inlineStr">
        <is>
          <t>OK</t>
        </is>
      </c>
      <c r="H22" s="116" t="inlineStr">
        <is>
          <t>Best bed arrangement under the ₮12M cap (everyone has their own bed and bathroom, 8.6 from 715 reviews) at ~₮11.3M before contingency; costs ~35 min of sleep a day in commute versus the BW Plus walk. Better still if the host campus turns out to be near Kowloon.</t>
        </is>
      </c>
    </row>
    <row r="23" ht="66" customHeight="1" s="56">
      <c r="A23" s="118" t="inlineStr">
        <is>
          <t>EC Final – Train</t>
        </is>
      </c>
      <c r="B23" s="116" t="inlineStr">
        <is>
          <t>Wed 27 Jan / Tue 26 Jan</t>
        </is>
      </c>
      <c r="C23" s="116" t="inlineStr">
        <is>
          <t>24 Jan at home</t>
        </is>
      </c>
      <c r="D23" s="116" t="inlineStr">
        <is>
          <t>25 Jan D17 2nd-class sleeper 19:10–09:15 (4-berth cabin, ~6 h) → arrive on day 1</t>
        </is>
      </c>
      <c r="E23" s="116" t="inlineStr">
        <is>
          <t>26 Jan HanTing, 1.6 km</t>
        </is>
      </c>
      <c r="F23" s="116" t="inlineStr">
        <is>
          <t>Walk ~20 min, wake ~07:00</t>
        </is>
      </c>
      <c r="G23" s="120" t="inlineStr">
        <is>
          <t>WATCH</t>
        </is>
      </c>
      <c r="H23" s="116" t="inlineStr">
        <is>
          <t>The sleeper is the night before the check-in / warm-up day (not the contest day), with a hotel night in between. Safer: leave Beijing 24 Jan (one more hotel night, ~₮0.35M) or take the afternoon G-train + hotel (old plan, ~+₮0.44M).</t>
        </is>
      </c>
    </row>
    <row r="24" ht="66" customHeight="1" s="56">
      <c r="A24" s="118" t="inlineStr">
        <is>
          <t>EC Final – Fly</t>
        </is>
      </c>
      <c r="B24" s="116" t="inlineStr">
        <is>
          <t>Wed 27 Jan / Tue 26 Jan</t>
        </is>
      </c>
      <c r="C24" s="116" t="inlineStr">
        <is>
          <t>24 Jan at home (wake ~03:30 on 25 Jan for Aero Mongolia 06:30)</t>
        </is>
      </c>
      <c r="D24" s="116" t="inlineStr">
        <is>
          <t>25 Jan Mehood Theater Hotel (arrive ~13:40; nap)</t>
        </is>
      </c>
      <c r="E24" s="116" t="inlineStr">
        <is>
          <t>26 Jan same, 1.7 km</t>
        </is>
      </c>
      <c r="F24" s="116" t="inlineStr">
        <is>
          <t>Walk ~20 min</t>
        </is>
      </c>
      <c r="G24" s="121" t="inlineStr">
        <is>
          <t>OK</t>
        </is>
      </c>
      <c r="H24" s="116" t="inlineStr">
        <is>
          <t>Early start two nights before; arrives early afternoon, then two hotel nights.</t>
        </is>
      </c>
    </row>
    <row r="25" ht="66" customHeight="1" s="56">
      <c r="A25" s="118" t="inlineStr">
        <is>
          <t>Nanjing + Shenyang (older workbook A / B)</t>
        </is>
      </c>
      <c r="B25" s="116" t="inlineStr">
        <is>
          <t>Nanjing Sun 8 Nov; Shenyang Sun 15 Nov</t>
        </is>
      </c>
      <c r="C25" s="116" t="inlineStr">
        <is>
          <t>6 Nov Beijing hotel after MIAT lands 19:30, wake ~06:00 for the G-train</t>
        </is>
      </c>
      <c r="D25" s="116" t="inlineStr">
        <is>
          <t>7 Nov Nanjing hotel (A 1 km, B 15 min metro)</t>
        </is>
      </c>
      <c r="E25" s="116" t="inlineStr">
        <is>
          <t>Shenyang: Z366 sleeper 12 Nov → hotels 13 and 14 Nov</t>
        </is>
      </c>
      <c r="F25" s="116" t="inlineStr">
        <is>
          <t>Nanjing walk / Shenyang walk</t>
        </is>
      </c>
      <c r="G25" s="121" t="inlineStr">
        <is>
          <t>OK</t>
        </is>
      </c>
      <c r="H25" s="116" t="inlineStr">
        <is>
          <t>K54 home after the Shenyang contest is now a hard sleeper (soft was ¥263). Plan C (home between) uses K53 soft sleeper on 13 Nov = night before day 1 (WATCH).</t>
        </is>
      </c>
    </row>
    <row r="26" s="56">
      <c r="A26" s="55" t="inlineStr">
        <is>
          <t>One regional is funded with ₮12M (coach travels, 4 people); the other is unfunded (3 contestants pay). The funded trip has little headroom (Hong Kong does not fit), and the unfunded trip pays for every hotel night, so protect sleep with timing and location first: arrive a day early only where it is cheap (Shenyang, Nanchang), pick the hotel closest to the venue, and take the cheap-but-bad options only after the contest.</t>
        </is>
      </c>
    </row>
    <row r="27" s="56">
      <c r="A27" s="122" t="inlineStr">
        <is>
          <t>Where the money goes (use the headroom on sleep)</t>
        </is>
      </c>
    </row>
    <row r="28" ht="36" customHeight="1" s="56">
      <c r="A28" s="116" t="inlineStr">
        <is>
          <t>One regional is funded with ₮12M (coach travels, 4 people); the other is unfunded (3 contestants pay). The funded trip has little headroom (Hong Kong does not fit), and the unfunded trip pays for every hotel night, so protect sleep with timing and location first: arrive a day early only where it is cheap (Shenyang, Nanchang), pick the hotel closest to the venue, and take the cheap-but-bad options only after the contest.</t>
        </is>
      </c>
    </row>
    <row r="29" ht="36" customHeight="1" s="56">
      <c r="A29" s="116" t="inlineStr">
        <is>
          <t>Pre-contest upgrades applied: Shenyang Budget K53 hard → soft; Hong Kong Sleep first (2 rooms near HKU). Post-contest downgrades applied: Shenyang K54 soft → hard, Shanghai D8 sleeper → seat, Nanchang D136 sleeper → seat.</t>
        </is>
      </c>
    </row>
    <row r="30" ht="36" customHeight="1" s="56">
      <c r="A30" s="116" t="inlineStr">
        <is>
          <t>Cheapest post-contest options if you want to go further: Nanchang Z182 20:01 → 08:46 hard seat (¥173.5 vs ¥271); Shanghai G808 17:25 is too early after the awards, so the D8 seat stays.</t>
        </is>
      </c>
    </row>
    <row r="31" ht="36" customHeight="1" s="56">
      <c r="A31" s="116" t="inlineStr">
        <is>
          <t>Contest-day wake-up rule of thumb: bed by 22:30–23:00, up by 06:00–06:30 for a 09:00 start; avoid alcohol and late team dinners; no phone-based all-nighters on day 1.</t>
        </is>
      </c>
    </row>
  </sheetData>
  <mergeCells count="5">
    <mergeCell ref="A30:H30"/>
    <mergeCell ref="A29:H29"/>
    <mergeCell ref="A2:H2"/>
    <mergeCell ref="A28:H28"/>
    <mergeCell ref="A31:H31"/>
  </mergeCells>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L69"/>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Budget</t>
        </is>
      </c>
    </row>
    <row r="2" ht="15" customHeight="1" s="56">
      <c r="A2" s="62" t="inlineStr">
        <is>
          <t>Overnight sleeper trains Beijing ⇄ Shenyang (no Beijing hotel nights), budget room, one night in Shenyang.</t>
        </is>
      </c>
    </row>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17:15–19:30 $150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train K53 Beijing 22:35 → Shenyang North 07:00, soft sleeper (4-berth cabin; night before day 1)</t>
        </is>
      </c>
      <c r="C13" s="83" t="inlineStr">
        <is>
          <t>13 Nov (night)</t>
        </is>
      </c>
      <c r="D13" s="84" t="n">
        <v>0.3506944444444444</v>
      </c>
      <c r="E13" s="85" t="n">
        <v>263</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Ctrip 1 Oct / 12306 3 Oct: K53 soft sleeper ¥263 (hard ¥171). Soft on purpose: it is the night before the day-1 warm-up, so sleep matters. Replaces the Beijing night + morning G-train (¥339). MIAT lands 19:30, so ~1 h 20 min spare; if MIAT is late, use the one free change to a 14 Nov G-train. Sales open 30 Oct 10:00.</t>
        </is>
      </c>
    </row>
    <row r="14" ht="26.85" customHeight="1" s="56">
      <c r="A14" s="81" t="n"/>
      <c r="B14" s="82" t="inlineStr">
        <is>
          <t>Overnight train K54 Shenyang North 22:00 → Beijing 06:58, hard sleeper</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K54 hard sleeper ¥171, soft sleeper ¥263 (4-berth cabin). Leaves 22:00, so a late closing ceremony is fine; replaces the evening G-train (¥339) + a Beijing hotel night. Air China through ticket SHE 09:00 → UB 15:05 ($286) is the fallback. 12306 3 Oct: same official fares; sales open 1 Nov 09:00 (Shenyang North).</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n"/>
      <c r="C16" s="83" t="n"/>
      <c r="D16" s="81" t="n"/>
      <c r="E16" s="85" t="n"/>
      <c r="F16" s="86" t="n"/>
      <c r="G16" s="91" t="n"/>
      <c r="H16" s="88" t="n"/>
      <c r="I16" s="85" t="n"/>
      <c r="J16" s="91" t="n"/>
      <c r="K16" s="88" t="n"/>
      <c r="L16" s="90" t="n"/>
    </row>
    <row r="17" ht="26.85" customHeight="1" s="56">
      <c r="A17" s="81" t="n"/>
      <c r="B17" s="82"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90" t="inlineStr">
        <is>
          <t>Booking.com: 86/night (3 ppl, 1 room); 134 CNY for 2 rooms on 14 Nov.. Trip.com 1 Oct: rated 8.2 from 1,062 reviews (¥284 for 2 rooms × 2 nights) – the low price is real. Arrive 07:00 off the sleeper: leave bags until check-in</t>
        </is>
      </c>
    </row>
    <row r="18" ht="15" customHeight="1" s="56">
      <c r="A18" s="81" t="n"/>
      <c r="B18" s="82" t="n"/>
      <c r="C18" s="83" t="n"/>
      <c r="D18" s="81" t="n"/>
      <c r="E18" s="85" t="n"/>
      <c r="F18" s="86" t="n"/>
      <c r="G18" s="91" t="n"/>
      <c r="H18" s="88" t="n"/>
      <c r="I18" s="85" t="n"/>
      <c r="J18" s="91" t="n"/>
      <c r="K18" s="88" t="n"/>
      <c r="L18" s="90" t="n"/>
    </row>
    <row r="19" ht="15" customHeight="1" s="56">
      <c r="A19" s="79" t="inlineStr">
        <is>
          <t>Meals &amp; local transport</t>
        </is>
      </c>
      <c r="B19" s="80" t="n"/>
      <c r="C19" s="80" t="n"/>
      <c r="D19" s="80" t="n"/>
      <c r="E19" s="80" t="n"/>
      <c r="F19" s="80" t="n"/>
      <c r="G19" s="80" t="n"/>
      <c r="H19" s="80" t="n"/>
      <c r="I19" s="80" t="n"/>
      <c r="J19" s="80" t="n"/>
      <c r="K19" s="80" t="n"/>
      <c r="L19" s="80" t="n"/>
    </row>
    <row r="20" ht="22.35" customHeight="1" s="56">
      <c r="A20" s="81" t="n"/>
      <c r="B20" s="82" t="inlineStr">
        <is>
          <t>Meals</t>
        </is>
      </c>
      <c r="C20" s="83" t="inlineStr">
        <is>
          <t>in destination</t>
        </is>
      </c>
      <c r="D20" s="81" t="n"/>
      <c r="E20" s="92" t="n">
        <v>80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80 CNY/person/day; hosts usually provide some meals on contest days</t>
        </is>
      </c>
    </row>
    <row r="21" ht="15" customHeight="1" s="56">
      <c r="A21" s="81" t="n"/>
      <c r="B21" s="82" t="inlineStr">
        <is>
          <t>Local transport (metro, taxis)</t>
        </is>
      </c>
      <c r="C21" s="83" t="inlineStr">
        <is>
          <t>in destination</t>
        </is>
      </c>
      <c r="D21" s="81" t="n"/>
      <c r="E21" s="92" t="n">
        <v>30</v>
      </c>
      <c r="F21" s="86" t="inlineStr">
        <is>
          <t>CNY</t>
        </is>
      </c>
      <c r="G21" s="87">
        <f>Compare!$B$6*$B$4</f>
        <v/>
      </c>
      <c r="H21" s="88">
        <f>E21*G21*IF(F21="USD",Compare!$B$8,IF(F21="CNY",Compare!$B$9,IF(F21="HKD",Compare!$B$10,1)))</f>
        <v/>
      </c>
      <c r="I21" s="93">
        <f>E21</f>
        <v/>
      </c>
      <c r="J21" s="87">
        <f>Compare!$B$7*$B$4</f>
        <v/>
      </c>
      <c r="K21" s="88">
        <f>I21*J21*IF(F21="USD",Compare!$B$8,IF(F21="CNY",Compare!$B$9,IF(F21="HKD",Compare!$B$10,1)))</f>
        <v/>
      </c>
      <c r="L21" s="90" t="inlineStr">
        <is>
          <t>ASSUMPTION 30 CNY/person/day</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Shenyang regional registration fee (per team)</t>
        </is>
      </c>
      <c r="C24" s="83" t="inlineStr">
        <is>
          <t>pay by mid-Oct</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1,500 CNY/team like recent EC regionals; 2026 Shenyang invitation not yet out</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1" ht="15" customHeight="1" s="56">
      <c r="A41" s="72" t="inlineStr">
        <is>
          <t>Key facts</t>
        </is>
      </c>
    </row>
    <row r="42" ht="30" customHeight="1" s="56">
      <c r="A42" s="75" t="inlineStr">
        <is>
          <t>Contest</t>
        </is>
      </c>
      <c r="B42" s="74" t="inlineStr">
        <is>
          <t>Asia Shenyang Regional, 14–15 Nov 2026 (provisional), Northeastern University – 2025 edition was on the Nanhu campus.</t>
        </is>
      </c>
    </row>
    <row r="43" ht="30" customHeight="1" s="56">
      <c r="A43" s="75" t="inlineStr">
        <is>
          <t>Why this route</t>
        </is>
      </c>
      <c r="B43" s="74" t="inlineStr">
        <is>
          <t>Cheapest way from UB: MIAT to Beijing ($150) + overnight sleeper trains (¥171 each way, no Beijing hotel), Air China home ($171). Flying UB→Shenyang direct means an overnight in Seoul (~$514 pp one way) or a 1-stop via Beijing/Hohhot ($219–233, 8–15 h).</t>
        </is>
      </c>
    </row>
    <row r="44" ht="15" customHeight="1" s="56">
      <c r="A44" s="75" t="inlineStr">
        <is>
          <t>Trade-off</t>
        </is>
      </c>
      <c r="B44" s="74" t="inlineStr">
        <is>
          <t>Two nights on sleeper trains (6-berth hard sleeper); very basic room; ~25 min metro to the venue.</t>
        </is>
      </c>
    </row>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Fri 13 Nov</t>
        </is>
      </c>
      <c r="B48" s="74" t="inlineStr">
        <is>
          <t>Train</t>
        </is>
      </c>
      <c r="C48" s="74" t="inlineStr">
        <is>
          <t>Fly MIAT OM223 UB 17:15 → Beijing Capital 19:30. Airport Express + metro to Beijing station; K53 soft sleeper 22:35 → Shenyang North 07:00.</t>
        </is>
      </c>
    </row>
    <row r="49" ht="30" customHeight="1" s="56">
      <c r="A49" s="74" t="inlineStr">
        <is>
          <t>Sat 14 Nov</t>
        </is>
      </c>
      <c r="B49" s="74" t="inlineStr">
        <is>
          <t>Shenyang</t>
        </is>
      </c>
      <c r="C49" s="74" t="inlineStr">
        <is>
          <t>Arrive Shenyang North 07:00; leave bags at Bestay. Registration &amp; practice at Northeastern University Nanhu campus.</t>
        </is>
      </c>
    </row>
    <row r="50" ht="15" customHeight="1" s="56">
      <c r="A50" s="74" t="inlineStr">
        <is>
          <t>Sun 15 Nov</t>
        </is>
      </c>
      <c r="B50" s="74" t="inlineStr">
        <is>
          <t>Train</t>
        </is>
      </c>
      <c r="C50" s="74" t="inlineStr">
        <is>
          <t>SHENYANG REGIONAL contest day. K54 sleeper Shenyang North 22:00 → Beijing 06:58 (no rush after the closing ceremony).</t>
        </is>
      </c>
    </row>
    <row r="51" ht="15" customHeight="1" s="56">
      <c r="A51" s="74" t="inlineStr">
        <is>
          <t>Mon 16 Nov</t>
        </is>
      </c>
      <c r="B51" s="74" t="inlineStr">
        <is>
          <t>Home</t>
        </is>
      </c>
      <c r="C51" s="74" t="inlineStr">
        <is>
          <t>Beijing station → PEK by metro + Airport Express. Air China Beijing Capital 12:55 → UB 15:05 (nonstop).</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13 Nov</t>
        </is>
      </c>
      <c r="B55" s="105" t="inlineStr">
        <is>
          <t>Home → Chinggis Khaan airport</t>
        </is>
      </c>
      <c r="C55" s="82" t="inlineStr">
        <is>
          <t>Taxi (~50 km)</t>
        </is>
      </c>
      <c r="D55" s="104" t="n">
        <v>0.04166666666666666</v>
      </c>
      <c r="E55" s="106" t="inlineStr">
        <is>
          <t>Leave ~14:15</t>
        </is>
      </c>
      <c r="F55" s="107" t="n"/>
      <c r="G55" s="107" t="n"/>
      <c r="H55" s="107" t="n"/>
      <c r="I55" s="107" t="n"/>
      <c r="J55" s="107" t="n"/>
      <c r="K55" s="107" t="n"/>
      <c r="L55" s="107" t="n"/>
    </row>
    <row r="56" ht="26.85" customHeight="1" s="56">
      <c r="A56" s="105" t="inlineStr">
        <is>
          <t>13 Nov</t>
        </is>
      </c>
      <c r="B56" s="105" t="inlineStr">
        <is>
          <t>Ulaanbaatar → Beijing (PEK)</t>
        </is>
      </c>
      <c r="C56" s="82" t="inlineStr">
        <is>
          <t>MIAT OM223 17:15–19:30</t>
        </is>
      </c>
      <c r="D56" s="84" t="n">
        <v>0.09375</v>
      </c>
      <c r="E56" s="106" t="n"/>
      <c r="F56" s="107" t="n"/>
      <c r="G56" s="107" t="n"/>
      <c r="H56" s="107" t="n"/>
      <c r="I56" s="107" t="n"/>
      <c r="J56" s="107" t="n"/>
      <c r="K56" s="107" t="n"/>
      <c r="L56" s="107" t="n"/>
    </row>
    <row r="57" ht="15" customHeight="1" s="56">
      <c r="A57" s="105" t="inlineStr">
        <is>
          <t>13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26.85" customHeight="1" s="56">
      <c r="A58" s="105" t="inlineStr">
        <is>
          <t>13 Nov</t>
        </is>
      </c>
      <c r="B58" s="105" t="inlineStr">
        <is>
          <t>PEK → Beijing station</t>
        </is>
      </c>
      <c r="C58" s="82" t="inlineStr">
        <is>
          <t>Airport Express + metro line 2</t>
        </is>
      </c>
      <c r="D58" s="104" t="n">
        <v>0.04166666666666666</v>
      </c>
      <c r="E58" s="106" t="inlineStr">
        <is>
          <t>Aim to be there by ~21:30</t>
        </is>
      </c>
      <c r="F58" s="107" t="n"/>
      <c r="G58" s="107" t="n"/>
      <c r="H58" s="107" t="n"/>
      <c r="I58" s="107" t="n"/>
      <c r="J58" s="107" t="n"/>
      <c r="K58" s="107" t="n"/>
      <c r="L58" s="107" t="n"/>
    </row>
    <row r="59" ht="15" customHeight="1" s="56">
      <c r="A59" s="105" t="inlineStr">
        <is>
          <t>13–14 Nov</t>
        </is>
      </c>
      <c r="B59" s="105" t="inlineStr">
        <is>
          <t>Beijing → Shenyang North</t>
        </is>
      </c>
      <c r="C59" s="82" t="inlineStr">
        <is>
          <t>K53 soft sleeper 22:35–07:00</t>
        </is>
      </c>
      <c r="D59" s="104" t="n">
        <v>0.3506944444444444</v>
      </c>
      <c r="E59" s="106" t="inlineStr">
        <is>
          <t>Overnight</t>
        </is>
      </c>
      <c r="F59" s="107" t="n"/>
      <c r="G59" s="107" t="n"/>
      <c r="H59" s="107" t="n"/>
      <c r="I59" s="107" t="n"/>
      <c r="J59" s="107" t="n"/>
      <c r="K59" s="107" t="n"/>
      <c r="L59" s="107" t="n"/>
    </row>
    <row r="60" ht="15" customHeight="1" s="56">
      <c r="A60" s="105" t="inlineStr">
        <is>
          <t>14 Nov</t>
        </is>
      </c>
      <c r="B60" s="105" t="inlineStr">
        <is>
          <t>Shenyang North → Bestay hotel / NEU Nanhu</t>
        </is>
      </c>
      <c r="C60" s="82" t="inlineStr">
        <is>
          <t>Metro / taxi</t>
        </is>
      </c>
      <c r="D60" s="84" t="n">
        <v>0.01736111111111111</v>
      </c>
      <c r="E60" s="106" t="inlineStr">
        <is>
          <t>Estimate</t>
        </is>
      </c>
      <c r="F60" s="107" t="n"/>
      <c r="G60" s="107" t="n"/>
      <c r="H60" s="107" t="n"/>
      <c r="I60" s="107" t="n"/>
      <c r="J60" s="107" t="n"/>
      <c r="K60" s="107" t="n"/>
      <c r="L60" s="107" t="n"/>
    </row>
    <row r="61" ht="15" customHeight="1" s="56">
      <c r="A61" s="105" t="inlineStr">
        <is>
          <t>14–15 Nov</t>
        </is>
      </c>
      <c r="B61" s="105" t="inlineStr">
        <is>
          <t>Bestay hotel ↔ NEU Nanhu (each way)</t>
        </is>
      </c>
      <c r="C61" s="82" t="inlineStr">
        <is>
          <t>Metro</t>
        </is>
      </c>
      <c r="D61" s="104" t="inlineStr">
        <is>
          <t>daily</t>
        </is>
      </c>
      <c r="E61" s="106" t="inlineStr">
        <is>
          <t>~25 min</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10" t="n">
        <v>0.01736111111111111</v>
      </c>
      <c r="E62" s="106" t="inlineStr">
        <is>
          <t>Estimate</t>
        </is>
      </c>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10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8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15" customHeight="1" s="56">
      <c r="A66" s="105" t="inlineStr">
        <is>
          <t>16 Nov</t>
        </is>
      </c>
      <c r="B66" s="105" t="inlineStr">
        <is>
          <t>Chinggis Khaan airport → home</t>
        </is>
      </c>
      <c r="C66" s="82" t="inlineStr">
        <is>
          <t>Taxi</t>
        </is>
      </c>
      <c r="D66" s="104" t="n">
        <v>0.04166666666666666</v>
      </c>
      <c r="E66" s="106" t="n"/>
      <c r="F66" s="107" t="n"/>
      <c r="G66" s="107" t="n"/>
      <c r="H66" s="107" t="n"/>
      <c r="I66" s="107" t="n"/>
      <c r="J66" s="107" t="n"/>
      <c r="K66" s="107" t="n"/>
      <c r="L66" s="107" t="n"/>
    </row>
    <row r="67" ht="26.85" customHeight="1" s="56">
      <c r="A67" s="105" t="n"/>
      <c r="B67" s="105" t="n"/>
      <c r="C67" s="82" t="n"/>
      <c r="D67" s="84" t="n"/>
      <c r="E67" s="106" t="n"/>
      <c r="F67" s="107" t="n"/>
      <c r="G67" s="107" t="n"/>
      <c r="H67" s="107" t="n"/>
      <c r="I67" s="107" t="n"/>
      <c r="J67" s="107" t="n"/>
      <c r="K67" s="107" t="n"/>
      <c r="L67" s="107" t="n"/>
    </row>
    <row r="68" ht="14.15" customHeight="1" s="56">
      <c r="A68" s="105" t="n"/>
      <c r="B68" s="105" t="n"/>
      <c r="C68" s="82" t="n"/>
      <c r="D68" s="104" t="n"/>
      <c r="E68" s="106" t="n"/>
      <c r="F68" s="107" t="n"/>
      <c r="G68" s="107" t="n"/>
      <c r="H68" s="107" t="n"/>
      <c r="I68" s="107" t="n"/>
      <c r="J68" s="107" t="n"/>
      <c r="K68" s="107" t="n"/>
      <c r="L68" s="107" t="n"/>
    </row>
    <row r="69" ht="15" customHeight="1" s="56">
      <c r="C69" s="59" t="inlineStr">
        <is>
          <t>Total door-to-door</t>
        </is>
      </c>
      <c r="D69" s="109">
        <f>SUM(D55:D68)</f>
        <v/>
      </c>
    </row>
  </sheetData>
  <mergeCells count="23">
    <mergeCell ref="E56:L56"/>
    <mergeCell ref="E58:L58"/>
    <mergeCell ref="E68:L68"/>
    <mergeCell ref="C48:L48"/>
    <mergeCell ref="E55:L55"/>
    <mergeCell ref="E62:L62"/>
    <mergeCell ref="E67:L67"/>
    <mergeCell ref="B43:L43"/>
    <mergeCell ref="E64:L64"/>
    <mergeCell ref="C49:L49"/>
    <mergeCell ref="E63:L63"/>
    <mergeCell ref="B42:L42"/>
    <mergeCell ref="E60:L60"/>
    <mergeCell ref="E65:L65"/>
    <mergeCell ref="B44:L44"/>
    <mergeCell ref="E59:L59"/>
    <mergeCell ref="C47:L47"/>
    <mergeCell ref="C50:L50"/>
    <mergeCell ref="E61:L61"/>
    <mergeCell ref="E57:L57"/>
    <mergeCell ref="E54:L54"/>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8"/>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Comfort</t>
        </is>
      </c>
    </row>
    <row r="2" ht="15" customHeight="1" s="56">
      <c r="A2" s="62" t="inlineStr">
        <is>
          <t>Arrive a day early for rest, family room near the venue, MIAT + fast train out, overnight soft sleeper back to Beijing.</t>
        </is>
      </c>
    </row>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30 Sep: MIAT 07:30–09:45 $151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High-speed rail Beijing Chaoyang → Shenyang North, 2nd class</t>
        </is>
      </c>
      <c r="C13" s="83" t="inlineStr">
        <is>
          <t>12 Nov (midday)</t>
        </is>
      </c>
      <c r="D13" s="84" t="n">
        <v>0.1138888888888889</v>
      </c>
      <c r="E13" s="85" t="n">
        <v>339</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339 CNY; fastest 2 h 44 min</t>
        </is>
      </c>
    </row>
    <row r="14" ht="26.85" customHeight="1" s="56">
      <c r="A14" s="81" t="n"/>
      <c r="B14" s="82" t="inlineStr">
        <is>
          <t>Overnight train K54 Shenyang North 22:00 → Beijing 06:58, hard sleeper (after the contest)</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 12306 3 Oct: K54 hard sleeper ¥171 (soft ¥263). Hard on purpose: it is after the contest, so sleep no longer matters (saves ¥92 pp). Leaves 22:00, so a late closing ceremony is fine; replaces the evening G-train (¥339) + a Beijing hotel night. Air China through ticket SHE 09:00 → UB 15:05 ($286) is the fallback. Sales open 1 Nov 09:00.</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Shenyang RiCH Hotel, Sanhao St (~1.3 km to NEU Nanhu; Family Room sleeps 4, so one room for 3 or 4 ppl)</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90" t="inlineStr">
        <is>
          <t>Trip.com 1 Oct: Family Room ¥976 for 3 nights, same price for 3 or 4 adults; rated 9.6 (1,802 reviews). Was Atour ¥527/night (3 ppl) / Mehood Lestie ¥718 (4 ppl, 2 rooms) on Booking.com</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22.35" customHeight="1" s="56">
      <c r="A19" s="81" t="n"/>
      <c r="B19" s="82" t="inlineStr">
        <is>
          <t>Meals</t>
        </is>
      </c>
      <c r="C19" s="83" t="inlineStr">
        <is>
          <t>in destination</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hosts usually provide some meals on contest days</t>
        </is>
      </c>
    </row>
    <row r="20" ht="15" customHeight="1" s="56">
      <c r="A20" s="81" t="n"/>
      <c r="B20" s="82" t="inlineStr">
        <is>
          <t>Local transport (metro, taxis)</t>
        </is>
      </c>
      <c r="C20" s="83" t="inlineStr">
        <is>
          <t>in destination</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22.35" customHeight="1" s="56">
      <c r="A23" s="81" t="n"/>
      <c r="B23" s="82" t="inlineStr">
        <is>
          <t>Shenyang regional registration fee (per team)</t>
        </is>
      </c>
      <c r="C23" s="83" t="inlineStr">
        <is>
          <t>pay by mid-Oct</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1,500 CNY/team like recent EC regionals; 2026 Shenyang invitation not yet out</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SUM(D10:D11)+SUM(D13:D14)</f>
        <v/>
      </c>
      <c r="K38" s="104">
        <f>SUM(D10:D11)+SUM(D13:D14)</f>
        <v/>
      </c>
    </row>
    <row r="40" ht="15" customHeight="1" s="56">
      <c r="A40" s="72" t="inlineStr">
        <is>
          <t>Key facts</t>
        </is>
      </c>
    </row>
    <row r="41" ht="15" customHeight="1" s="56">
      <c r="A41" s="75" t="inlineStr">
        <is>
          <t>Contest</t>
        </is>
      </c>
      <c r="B41" s="74" t="inlineStr">
        <is>
          <t>Asia Shenyang Regional, 14–15 Nov 2026 (provisional), Northeastern University Nanhu campus (2025 venue).</t>
        </is>
      </c>
    </row>
    <row r="42" ht="15" customHeight="1" s="56">
      <c r="A42" s="75" t="inlineStr">
        <is>
          <t>Why this plan</t>
        </is>
      </c>
      <c r="B42" s="74" t="inlineStr">
        <is>
          <t>A full rest day before registration, hotel close to the venue, same cheap MIAT + rail route.</t>
        </is>
      </c>
    </row>
    <row r="43" ht="15" customHeight="1" s="56">
      <c r="A43" s="75" t="inlineStr">
        <is>
          <t>Trade-off</t>
        </is>
      </c>
      <c r="B43" s="74" t="inlineStr">
        <is>
          <t>Two extra hotel nights and meals; very early flight from UB on 12 Nov; one night on the train back.</t>
        </is>
      </c>
    </row>
    <row r="45" ht="15" customHeight="1" s="56">
      <c r="A45" s="72" t="inlineStr">
        <is>
          <t>Day-by-day plan</t>
        </is>
      </c>
    </row>
    <row r="46" ht="15" customHeight="1" s="56">
      <c r="A46" s="96" t="inlineStr">
        <is>
          <t>Date</t>
        </is>
      </c>
      <c r="B46" s="96" t="inlineStr">
        <is>
          <t>Sleep in</t>
        </is>
      </c>
      <c r="C46" s="96" t="inlineStr">
        <is>
          <t>What happens</t>
        </is>
      </c>
    </row>
    <row r="47" ht="15" customHeight="1" s="56">
      <c r="A47" s="74" t="inlineStr">
        <is>
          <t>Thu 12 Nov</t>
        </is>
      </c>
      <c r="B47" s="74" t="inlineStr">
        <is>
          <t>Shenyang</t>
        </is>
      </c>
      <c r="C47" s="74" t="inlineStr">
        <is>
          <t>MIAT OM223 UB 07:30 → Beijing 09:45; G-train Beijing Chaoyang → Shenyang North (~12:30 → ~15:15). RiCH Hotel near NEU.</t>
        </is>
      </c>
    </row>
    <row r="48" ht="15" customHeight="1" s="56">
      <c r="A48" s="74" t="inlineStr">
        <is>
          <t>Fri 13 Nov</t>
        </is>
      </c>
      <c r="B48" s="74" t="inlineStr">
        <is>
          <t>Shenyang</t>
        </is>
      </c>
      <c r="C48" s="74" t="inlineStr">
        <is>
          <t>Rest / practice day in Shenyang.</t>
        </is>
      </c>
    </row>
    <row r="49" ht="15" customHeight="1" s="56">
      <c r="A49" s="74" t="inlineStr">
        <is>
          <t>Sat 14 Nov</t>
        </is>
      </c>
      <c r="B49" s="74" t="inlineStr">
        <is>
          <t>Shenyang</t>
        </is>
      </c>
      <c r="C49" s="74" t="inlineStr">
        <is>
          <t>Registration &amp; practice at NEU Nanhu (walkable from hotel).</t>
        </is>
      </c>
    </row>
    <row r="50" ht="15" customHeight="1" s="56">
      <c r="A50" s="74" t="inlineStr">
        <is>
          <t>Sun 15 Nov</t>
        </is>
      </c>
      <c r="B50" s="74" t="inlineStr">
        <is>
          <t>Train</t>
        </is>
      </c>
      <c r="C50" s="74" t="inlineStr">
        <is>
          <t>SHENYANG REGIONAL contest day. K54 hard sleeper Shenyang North 22:00 → Beijing 06:58.</t>
        </is>
      </c>
    </row>
    <row r="51" ht="15" customHeight="1" s="56">
      <c r="A51" s="74" t="inlineStr">
        <is>
          <t>Mon 16 Nov</t>
        </is>
      </c>
      <c r="B51" s="74" t="inlineStr">
        <is>
          <t>Home</t>
        </is>
      </c>
      <c r="C51" s="74" t="inlineStr">
        <is>
          <t>Beijing station → PEK by metro + Airport Express. Air China Beijing Capital 12:55 → UB 15:05 (nonstop).</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12 Nov</t>
        </is>
      </c>
      <c r="B55" s="105" t="inlineStr">
        <is>
          <t>Home → Chinggis Khaan airport</t>
        </is>
      </c>
      <c r="C55" s="82" t="inlineStr">
        <is>
          <t>Taxi (~50 km)</t>
        </is>
      </c>
      <c r="D55" s="104" t="n">
        <v>0.04166666666666666</v>
      </c>
      <c r="E55" s="106" t="inlineStr">
        <is>
          <t>Leave ~04:30 for 07:30 flight</t>
        </is>
      </c>
      <c r="F55" s="107" t="n"/>
      <c r="G55" s="107" t="n"/>
      <c r="H55" s="107" t="n"/>
      <c r="I55" s="107" t="n"/>
      <c r="J55" s="107" t="n"/>
      <c r="K55" s="107" t="n"/>
      <c r="L55" s="107" t="n"/>
    </row>
    <row r="56" ht="26.85" customHeight="1" s="56">
      <c r="A56" s="105" t="inlineStr">
        <is>
          <t>12 Nov</t>
        </is>
      </c>
      <c r="B56" s="105" t="inlineStr">
        <is>
          <t>Ulaanbaatar → Beijing (PEK)</t>
        </is>
      </c>
      <c r="C56" s="82" t="inlineStr">
        <is>
          <t>MIAT OM223 07:30–09:45</t>
        </is>
      </c>
      <c r="D56" s="84" t="n">
        <v>0.09375</v>
      </c>
      <c r="E56" s="106" t="n"/>
      <c r="F56" s="107" t="n"/>
      <c r="G56" s="107" t="n"/>
      <c r="H56" s="107" t="n"/>
      <c r="I56" s="107" t="n"/>
      <c r="J56" s="107" t="n"/>
      <c r="K56" s="107" t="n"/>
      <c r="L56" s="107" t="n"/>
    </row>
    <row r="57" ht="15" customHeight="1" s="56">
      <c r="A57" s="105" t="inlineStr">
        <is>
          <t>12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12 Nov</t>
        </is>
      </c>
      <c r="B58" s="105" t="inlineStr">
        <is>
          <t>PEK → Beijing Chaoyang station</t>
        </is>
      </c>
      <c r="C58" s="82" t="inlineStr">
        <is>
          <t>Taxi (~20 km)</t>
        </is>
      </c>
      <c r="D58" s="104" t="n">
        <v>0.02777777777777778</v>
      </c>
      <c r="E58" s="106" t="inlineStr">
        <is>
          <t>Estimate</t>
        </is>
      </c>
      <c r="F58" s="107" t="n"/>
      <c r="G58" s="107" t="n"/>
      <c r="H58" s="107" t="n"/>
      <c r="I58" s="107" t="n"/>
      <c r="J58" s="107" t="n"/>
      <c r="K58" s="107" t="n"/>
      <c r="L58" s="107" t="n"/>
    </row>
    <row r="59" ht="15" customHeight="1" s="56">
      <c r="A59" s="105" t="inlineStr">
        <is>
          <t>12 Nov</t>
        </is>
      </c>
      <c r="B59" s="105" t="inlineStr">
        <is>
          <t>Beijing Chaoyang → Shenyang North</t>
        </is>
      </c>
      <c r="C59" s="82" t="inlineStr">
        <is>
          <t>G-train 2nd class</t>
        </is>
      </c>
      <c r="D59" s="84" t="n">
        <v>0.1138888888888889</v>
      </c>
      <c r="E59" s="106" t="n"/>
      <c r="F59" s="107" t="n"/>
      <c r="G59" s="107" t="n"/>
      <c r="H59" s="107" t="n"/>
      <c r="I59" s="107" t="n"/>
      <c r="J59" s="107" t="n"/>
      <c r="K59" s="107" t="n"/>
      <c r="L59" s="107" t="n"/>
    </row>
    <row r="60" ht="15" customHeight="1" s="56">
      <c r="A60" s="105" t="inlineStr">
        <is>
          <t>12 Nov</t>
        </is>
      </c>
      <c r="B60" s="105" t="inlineStr">
        <is>
          <t>Shenyang North → hotel near NEU</t>
        </is>
      </c>
      <c r="C60" s="82" t="inlineStr">
        <is>
          <t>Taxi</t>
        </is>
      </c>
      <c r="D60" s="104" t="n">
        <v>0.01736111111111111</v>
      </c>
      <c r="E60" s="106" t="inlineStr">
        <is>
          <t>Estimate</t>
        </is>
      </c>
      <c r="F60" s="107" t="n"/>
      <c r="G60" s="107" t="n"/>
      <c r="H60" s="107" t="n"/>
      <c r="I60" s="107" t="n"/>
      <c r="J60" s="107" t="n"/>
      <c r="K60" s="107" t="n"/>
      <c r="L60" s="107" t="n"/>
    </row>
    <row r="61" ht="15" customHeight="1" s="56">
      <c r="A61" s="105" t="inlineStr">
        <is>
          <t>13–15 Nov</t>
        </is>
      </c>
      <c r="B61" s="105" t="inlineStr">
        <is>
          <t>Hotel ↔ NEU Nanhu (each way)</t>
        </is>
      </c>
      <c r="C61" s="82" t="inlineStr">
        <is>
          <t>Walk</t>
        </is>
      </c>
      <c r="D61" s="108" t="inlineStr">
        <is>
          <t>daily</t>
        </is>
      </c>
      <c r="E61" s="106" t="inlineStr">
        <is>
          <t>~18 min walk (RiCH Hotel, 1.3 km)</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04" t="n">
        <v>0.01736111111111111</v>
      </c>
      <c r="E62" s="106" t="n"/>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8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10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26.85" customHeight="1" s="56">
      <c r="A66" s="105" t="inlineStr">
        <is>
          <t>16 Nov</t>
        </is>
      </c>
      <c r="B66" s="105" t="inlineStr">
        <is>
          <t>Chinggis Khaan airport → home</t>
        </is>
      </c>
      <c r="C66" s="82" t="inlineStr">
        <is>
          <t>Taxi</t>
        </is>
      </c>
      <c r="D66" s="84" t="n">
        <v>0.04166666666666666</v>
      </c>
      <c r="E66" s="106" t="n"/>
      <c r="F66" s="107" t="n"/>
      <c r="G66" s="107" t="n"/>
      <c r="H66" s="107" t="n"/>
      <c r="I66" s="107" t="n"/>
      <c r="J66" s="107" t="n"/>
      <c r="K66" s="107" t="n"/>
      <c r="L66" s="107" t="n"/>
    </row>
    <row r="67" ht="14.15" customHeight="1" s="56">
      <c r="A67" s="105" t="n"/>
      <c r="B67" s="105" t="n"/>
      <c r="C67" s="82" t="n"/>
      <c r="D67" s="104" t="n"/>
      <c r="E67" s="106" t="n"/>
      <c r="F67" s="107" t="n"/>
      <c r="G67" s="107" t="n"/>
      <c r="H67" s="107" t="n"/>
      <c r="I67" s="107" t="n"/>
      <c r="J67" s="107" t="n"/>
      <c r="K67" s="107" t="n"/>
      <c r="L67" s="107" t="n"/>
    </row>
    <row r="68" ht="15" customHeight="1" s="56">
      <c r="C68" s="59" t="inlineStr">
        <is>
          <t>Total door-to-door</t>
        </is>
      </c>
      <c r="D68" s="109">
        <f>SUM(D55:D67)</f>
        <v/>
      </c>
    </row>
  </sheetData>
  <mergeCells count="23">
    <mergeCell ref="E56:L56"/>
    <mergeCell ref="E58:L58"/>
    <mergeCell ref="C48:L48"/>
    <mergeCell ref="E55:L55"/>
    <mergeCell ref="E62:L62"/>
    <mergeCell ref="E67:L67"/>
    <mergeCell ref="B43:L43"/>
    <mergeCell ref="E64:L64"/>
    <mergeCell ref="C49:L49"/>
    <mergeCell ref="E63:L63"/>
    <mergeCell ref="B42:L42"/>
    <mergeCell ref="E60:L60"/>
    <mergeCell ref="E65:L65"/>
    <mergeCell ref="E59:L59"/>
    <mergeCell ref="C47:L47"/>
    <mergeCell ref="C50:L50"/>
    <mergeCell ref="E61:L61"/>
    <mergeCell ref="E57:L57"/>
    <mergeCell ref="E54:L54"/>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Budget (G-train)</t>
        </is>
      </c>
    </row>
    <row r="2" ht="15" customHeight="1" s="56">
      <c r="A2" s="62" t="inlineStr">
        <is>
          <t>No sleeper trains: MIAT in the evening, Beijing hotel night, morning G-train, cheap budget hotel, evening G-train back and another Beijing night.</t>
        </is>
      </c>
    </row>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 Oct: MIAT 17:15–19:30 $150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30" customHeight="1" s="56">
      <c r="A13" s="81" t="n"/>
      <c r="B13" s="111" t="inlineStr">
        <is>
          <t>High-speed rail Beijing Chaoyang 08:00 → Shenyang North 10:29 (G101), 2nd class</t>
        </is>
      </c>
      <c r="C13" s="83" t="inlineStr">
        <is>
          <t>14 Nov (morning)</t>
        </is>
      </c>
      <c r="D13" s="84" t="n">
        <v>0.1034722222222222</v>
      </c>
      <c r="E13" s="85" t="n">
        <v>355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G101 / G103 08:05 / G105 08:55 ¥355; slower G3503 08:25 → 11:56 ¥296</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Dequan Railway Station Hotel, Beijing (~1 km from Beijing Chaoyang station; 3 ppl 1 room; 4 ppl 2 rooms)</t>
        </is>
      </c>
      <c r="C16" s="83" t="inlineStr">
        <is>
          <t>13 &amp; 15 Nov (2 nights)</t>
        </is>
      </c>
      <c r="D16" s="81" t="n"/>
      <c r="E16" s="85" t="n">
        <v>304</v>
      </c>
      <c r="F16" s="86" t="inlineStr">
        <is>
          <t>CNY</t>
        </is>
      </c>
      <c r="G16" s="91" t="n">
        <v>2</v>
      </c>
      <c r="H16" s="88">
        <f>E16*G16*IF(F16="USD",Compare!$B$8,IF(F16="CNY",Compare!$B$9,IF(F16="HKD",Compare!$B$10,1)))</f>
        <v/>
      </c>
      <c r="I16" s="113" t="n">
        <v>608</v>
      </c>
      <c r="J16" s="91" t="n">
        <v>2</v>
      </c>
      <c r="K16" s="88">
        <f>I16*J16*IF(F16="USD",Compare!$B$8,IF(F16="CNY",Compare!$B$9,IF(F16="HKD",Compare!$B$10,1)))</f>
        <v/>
      </c>
      <c r="L16" s="112" t="inlineStr">
        <is>
          <t>Booking.com 9 Oct: ¥304 for 3 adults, 1 room per night; rated 8.7 (65 reviews). 4 ppl: ASSUMPTION 2 × ¥304 (rooms not searched)</t>
        </is>
      </c>
    </row>
    <row r="17" ht="45" customHeight="1" s="56">
      <c r="A17" s="81" t="n"/>
      <c r="B17" s="111"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112" t="inlineStr">
        <is>
          <t>Booking.com: 86/night (3 ppl, 1 room); 134 CNY for 2 rooms on 14 Nov. Trip.com 1 Oct confirms the price (rated 8.2, 1,062 reviews)</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area (Dequan hotel)</t>
        </is>
      </c>
      <c r="C21" s="83" t="inlineStr">
        <is>
          <t>13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~35 km at night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Cheapest plan without overnight trains: two nights at Dequan (¥304 each), one at Bestay (¥86), MIAT evening flight, G101 at 08:00 reaches Shenyang before the registration desk opens.</t>
        </is>
      </c>
    </row>
    <row r="45" ht="15" customHeight="1" s="56">
      <c r="A45" s="75" t="inlineStr">
        <is>
          <t>Trade-off</t>
        </is>
      </c>
      <c r="B45" s="74" t="inlineStr">
        <is>
          <t>Two Beijing night stops and a metro commute to NEU on contest day; ~25 min metro each way. About ₮0.84M more than the sleeper-train budget plan (3 ppl).</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Fri 13 Nov</t>
        </is>
      </c>
      <c r="B49" s="74" t="inlineStr">
        <is>
          <t>Beijing</t>
        </is>
      </c>
      <c r="C49" s="74" t="inlineStr">
        <is>
          <t>MIAT OM223 UB 17:15 → Beijing 19:30. Taxi to Dequan Railway Station Hotel near Beijing Chaoyang.</t>
        </is>
      </c>
    </row>
    <row r="50" ht="15" customHeight="1" s="56">
      <c r="A50" s="74" t="inlineStr">
        <is>
          <t>Sat 14 Nov</t>
        </is>
      </c>
      <c r="B50" s="74" t="inlineStr">
        <is>
          <t>Shenyang</t>
        </is>
      </c>
      <c r="C50" s="74" t="inlineStr">
        <is>
          <t>G101 Beijing Chaoyang 08:00 → Shenyang North 10:29; Bestay Hotel; registration &amp; practice at NEU Nanhu (metro).</t>
        </is>
      </c>
    </row>
    <row r="51" ht="15" customHeight="1" s="56">
      <c r="A51" s="74" t="inlineStr">
        <is>
          <t>Sun 15 Nov</t>
        </is>
      </c>
      <c r="B51" s="74" t="inlineStr">
        <is>
          <t>Beijing</t>
        </is>
      </c>
      <c r="C51" s="74" t="inlineStr">
        <is>
          <t>SHENYANG REGIONAL contest day. G142 19:51 → Beijing Chaoyang 22:30; Dequan hotel.</t>
        </is>
      </c>
    </row>
    <row r="52" ht="15" customHeight="1" s="56">
      <c r="A52" s="74" t="inlineStr">
        <is>
          <t>Mon 16 Nov</t>
        </is>
      </c>
      <c r="B52" s="74" t="inlineStr">
        <is>
          <t>Home</t>
        </is>
      </c>
      <c r="C52" s="74" t="inlineStr">
        <is>
          <t>Taxi to PEK. Air China Beijing Capital 12:55 → UB 15:05 (nonstop).</t>
        </is>
      </c>
    </row>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13 Nov</t>
        </is>
      </c>
      <c r="B56" s="105" t="inlineStr">
        <is>
          <t>Home → Chinggis Khaan airport</t>
        </is>
      </c>
      <c r="C56" s="82" t="inlineStr">
        <is>
          <t>Taxi (~50 km)</t>
        </is>
      </c>
      <c r="D56" s="104" t="n">
        <v>0.04166666666666666</v>
      </c>
      <c r="E56" s="106" t="inlineStr">
        <is>
          <t>Leave ~14:15 for 17:15 flight</t>
        </is>
      </c>
      <c r="F56" s="107" t="n"/>
      <c r="G56" s="107" t="n"/>
      <c r="H56" s="107" t="n"/>
      <c r="I56" s="107" t="n"/>
      <c r="J56" s="107" t="n"/>
      <c r="K56" s="107" t="n"/>
      <c r="L56" s="107" t="n"/>
    </row>
    <row r="57" ht="15" customHeight="1" s="56">
      <c r="A57" s="105" t="inlineStr">
        <is>
          <t>13 Nov</t>
        </is>
      </c>
      <c r="B57" s="105" t="inlineStr">
        <is>
          <t>Ulaanbaatar → Beijing (PEK)</t>
        </is>
      </c>
      <c r="C57" s="82" t="inlineStr">
        <is>
          <t>MIAT OM223 17:15–19:30</t>
        </is>
      </c>
      <c r="D57" s="104" t="n">
        <v>0.09375</v>
      </c>
      <c r="E57" s="106" t="inlineStr"/>
      <c r="F57" s="107" t="n"/>
      <c r="G57" s="107" t="n"/>
      <c r="H57" s="107" t="n"/>
      <c r="I57" s="107" t="n"/>
      <c r="J57" s="107" t="n"/>
      <c r="K57" s="107" t="n"/>
      <c r="L57" s="107" t="n"/>
    </row>
    <row r="58" ht="15" customHeight="1" s="56">
      <c r="A58" s="105" t="inlineStr">
        <is>
          <t>13 Nov</t>
        </is>
      </c>
      <c r="B58" s="105" t="inlineStr">
        <is>
          <t>PEK arrival: immigration, bags</t>
        </is>
      </c>
      <c r="C58" s="82" t="inlineStr">
        <is>
          <t>—</t>
        </is>
      </c>
      <c r="D58" s="104" t="n">
        <v>0.03125</v>
      </c>
      <c r="E58" s="106" t="inlineStr">
        <is>
          <t>Estimate</t>
        </is>
      </c>
      <c r="F58" s="107" t="n"/>
      <c r="G58" s="107" t="n"/>
      <c r="H58" s="107" t="n"/>
      <c r="I58" s="107" t="n"/>
      <c r="J58" s="107" t="n"/>
      <c r="K58" s="107" t="n"/>
      <c r="L58" s="107" t="n"/>
    </row>
    <row r="59" ht="15" customHeight="1" s="56">
      <c r="A59" s="105" t="inlineStr">
        <is>
          <t>13 Nov</t>
        </is>
      </c>
      <c r="B59" s="105" t="inlineStr">
        <is>
          <t>PEK → Dequan hotel (Chaoyang station)</t>
        </is>
      </c>
      <c r="C59" s="82" t="inlineStr">
        <is>
          <t>Taxi (~35 km)</t>
        </is>
      </c>
      <c r="D59" s="104" t="n">
        <v>0.03472222222222222</v>
      </c>
      <c r="E59" s="106" t="inlineStr">
        <is>
          <t>Estimate</t>
        </is>
      </c>
      <c r="F59" s="107" t="n"/>
      <c r="G59" s="107" t="n"/>
      <c r="H59" s="107" t="n"/>
      <c r="I59" s="107" t="n"/>
      <c r="J59" s="107" t="n"/>
      <c r="K59" s="107" t="n"/>
      <c r="L59" s="107" t="n"/>
    </row>
    <row r="60" ht="15" customHeight="1" s="56">
      <c r="A60" s="105" t="inlineStr">
        <is>
          <t>14 Nov</t>
        </is>
      </c>
      <c r="B60" s="105" t="inlineStr">
        <is>
          <t>Beijing Chaoyang → Shenyang North</t>
        </is>
      </c>
      <c r="C60" s="82" t="inlineStr">
        <is>
          <t>G101 08:00–10:29</t>
        </is>
      </c>
      <c r="D60" s="104" t="n">
        <v>0.1034722222222222</v>
      </c>
      <c r="E60" s="106" t="inlineStr"/>
      <c r="F60" s="107" t="n"/>
      <c r="G60" s="107" t="n"/>
      <c r="H60" s="107" t="n"/>
      <c r="I60" s="107" t="n"/>
      <c r="J60" s="107" t="n"/>
      <c r="K60" s="107" t="n"/>
      <c r="L60" s="107" t="n"/>
    </row>
    <row r="61" ht="15" customHeight="1" s="56">
      <c r="A61" s="105" t="inlineStr">
        <is>
          <t>14 Nov</t>
        </is>
      </c>
      <c r="B61" s="105" t="inlineStr">
        <is>
          <t>Shenyang North → Bestay hotel</t>
        </is>
      </c>
      <c r="C61" s="82" t="inlineStr">
        <is>
          <t>Metro</t>
        </is>
      </c>
      <c r="D61" s="104" t="n">
        <v>0.02083333333333333</v>
      </c>
      <c r="E61" s="106" t="inlineStr">
        <is>
          <t>Estimate</t>
        </is>
      </c>
      <c r="F61" s="107" t="n"/>
      <c r="G61" s="107" t="n"/>
      <c r="H61" s="107" t="n"/>
      <c r="I61" s="107" t="n"/>
      <c r="J61" s="107" t="n"/>
      <c r="K61" s="107" t="n"/>
      <c r="L61" s="107" t="n"/>
    </row>
    <row r="62" ht="15" customHeight="1" s="56">
      <c r="A62" s="105" t="inlineStr">
        <is>
          <t>14–15 Nov</t>
        </is>
      </c>
      <c r="B62" s="105" t="inlineStr">
        <is>
          <t>Hotel ↔ NEU Nanhu (each way)</t>
        </is>
      </c>
      <c r="C62" s="82" t="inlineStr">
        <is>
          <t>Metro</t>
        </is>
      </c>
      <c r="D62" s="104" t="inlineStr">
        <is>
          <t>daily</t>
        </is>
      </c>
      <c r="E62" s="106" t="inlineStr">
        <is>
          <t>~25 min metro</t>
        </is>
      </c>
      <c r="F62" s="107" t="n"/>
      <c r="G62" s="107" t="n"/>
      <c r="H62" s="107" t="n"/>
      <c r="I62" s="107" t="n"/>
      <c r="J62" s="107" t="n"/>
      <c r="K62" s="107" t="n"/>
      <c r="L62" s="107" t="n"/>
    </row>
    <row r="63" ht="15" customHeight="1" s="56">
      <c r="A63" s="105" t="inlineStr">
        <is>
          <t>15 Nov</t>
        </is>
      </c>
      <c r="B63" s="105" t="inlineStr">
        <is>
          <t>NEU Nanhu → Shenyang North</t>
        </is>
      </c>
      <c r="C63" s="82" t="inlineStr">
        <is>
          <t>Taxi</t>
        </is>
      </c>
      <c r="D63" s="104" t="n">
        <v>0.01736111111111111</v>
      </c>
      <c r="E63" s="106" t="inlineStr"/>
      <c r="F63" s="107" t="n"/>
      <c r="G63" s="107" t="n"/>
      <c r="H63" s="107" t="n"/>
      <c r="I63" s="107" t="n"/>
      <c r="J63" s="107" t="n"/>
      <c r="K63" s="107" t="n"/>
      <c r="L63" s="107" t="n"/>
    </row>
    <row r="64" ht="15" customHeight="1" s="56">
      <c r="A64" s="105" t="inlineStr">
        <is>
          <t>15 Nov</t>
        </is>
      </c>
      <c r="B64" s="105" t="inlineStr">
        <is>
          <t>Shenyang North → Beijing Chaoyang</t>
        </is>
      </c>
      <c r="C64" s="82" t="inlineStr">
        <is>
          <t>G142 19:51–22:30</t>
        </is>
      </c>
      <c r="D64" s="104" t="n">
        <v>0.1104166666666667</v>
      </c>
      <c r="E64" s="106" t="inlineStr"/>
      <c r="F64" s="107" t="n"/>
      <c r="G64" s="107" t="n"/>
      <c r="H64" s="107" t="n"/>
      <c r="I64" s="107" t="n"/>
      <c r="J64" s="107" t="n"/>
      <c r="K64" s="107" t="n"/>
      <c r="L64" s="107" t="n"/>
    </row>
    <row r="65" ht="15" customHeight="1" s="56">
      <c r="A65" s="105" t="inlineStr">
        <is>
          <t>15 Nov</t>
        </is>
      </c>
      <c r="B65" s="105" t="inlineStr">
        <is>
          <t>Beijing Chaoyang station → Dequan hotel</t>
        </is>
      </c>
      <c r="C65" s="82" t="inlineStr">
        <is>
          <t>Walk / taxi (~1 km)</t>
        </is>
      </c>
      <c r="D65" s="104" t="n">
        <v>0.01041666666666667</v>
      </c>
      <c r="E65" s="106" t="inlineStr">
        <is>
          <t>Estimate</t>
        </is>
      </c>
      <c r="F65" s="107" t="n"/>
      <c r="G65" s="107" t="n"/>
      <c r="H65" s="107" t="n"/>
      <c r="I65" s="107" t="n"/>
      <c r="J65" s="107" t="n"/>
      <c r="K65" s="107" t="n"/>
      <c r="L65" s="107" t="n"/>
    </row>
    <row r="66" ht="15" customHeight="1" s="56">
      <c r="A66" s="105" t="inlineStr">
        <is>
          <t>16 Nov</t>
        </is>
      </c>
      <c r="B66" s="105" t="inlineStr">
        <is>
          <t>Hotel → PEK</t>
        </is>
      </c>
      <c r="C66" s="82" t="inlineStr">
        <is>
          <t>Taxi</t>
        </is>
      </c>
      <c r="D66" s="104" t="n">
        <v>0.03472222222222222</v>
      </c>
      <c r="E66" s="106" t="inlineStr">
        <is>
          <t>Be at PEK by ~10:55</t>
        </is>
      </c>
      <c r="F66" s="107" t="n"/>
      <c r="G66" s="107" t="n"/>
      <c r="H66" s="107" t="n"/>
      <c r="I66" s="107" t="n"/>
      <c r="J66" s="107" t="n"/>
      <c r="K66" s="107" t="n"/>
      <c r="L66" s="107" t="n"/>
    </row>
    <row r="67" ht="15" customHeight="1" s="56">
      <c r="A67" s="105" t="inlineStr">
        <is>
          <t>16 Nov</t>
        </is>
      </c>
      <c r="B67" s="105" t="inlineStr">
        <is>
          <t>Beijing (PEK) → Ulaanbaatar</t>
        </is>
      </c>
      <c r="C67" s="82" t="inlineStr">
        <is>
          <t>Air China 12:55–15:05</t>
        </is>
      </c>
      <c r="D67" s="104" t="n">
        <v>0.09027777777777778</v>
      </c>
      <c r="E67" s="106" t="inlineStr"/>
      <c r="F67" s="107" t="n"/>
      <c r="G67" s="107" t="n"/>
      <c r="H67" s="107" t="n"/>
      <c r="I67" s="107" t="n"/>
      <c r="J67" s="107" t="n"/>
      <c r="K67" s="107" t="n"/>
      <c r="L67" s="107" t="n"/>
    </row>
    <row r="68" ht="15" customHeight="1" s="56">
      <c r="A68" s="105" t="inlineStr">
        <is>
          <t>16 Nov</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70" ht="15" customHeight="1" s="56">
      <c r="C70" s="59" t="inlineStr">
        <is>
          <t>Total door-to-door</t>
        </is>
      </c>
      <c r="D70" s="109">
        <f>SUM(D56:D68)</f>
        <v/>
      </c>
    </row>
  </sheetData>
  <mergeCells count="20">
    <mergeCell ref="E56:L56"/>
    <mergeCell ref="E58:L58"/>
    <mergeCell ref="C52:L52"/>
    <mergeCell ref="E68:L68"/>
    <mergeCell ref="E62:L62"/>
    <mergeCell ref="E67:L67"/>
    <mergeCell ref="B43:L43"/>
    <mergeCell ref="E64:L64"/>
    <mergeCell ref="C49:L49"/>
    <mergeCell ref="E63:L63"/>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Comfort (G-train)</t>
        </is>
      </c>
    </row>
    <row r="2" ht="15" customHeight="1" s="56">
      <c r="A2" s="62" t="inlineStr">
        <is>
          <t>No sleeper trains: MIAT + high-speed rail out, evening G-train back to Beijing and a hotel night near Chaoyang station; rest day and family room near the venue.</t>
        </is>
      </c>
    </row>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30 Sep: MIAT 07:30–09:45 $151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High-speed rail Beijing Chaoyang 12:19 → Shenyang North 14:48 (G149), 2nd class</t>
        </is>
      </c>
      <c r="C13" s="83" t="inlineStr">
        <is>
          <t>12 Nov (midday)</t>
        </is>
      </c>
      <c r="D13" s="84" t="n">
        <v>0.1034722222222222</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G149 ¥369; G3539 11:43 → 15:34 ¥355; slower 3 h 15–3 h 35 trains ¥296–317. MIAT lands 09:45, so a ~12:00 train is realistic (the old ¥339 in Shenyang – Comfort is not on the 12306 list)</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30" customHeight="1" s="56">
      <c r="A16" s="81" t="n"/>
      <c r="B16" s="111" t="inlineStr">
        <is>
          <t>Shenyang RiCH Hotel, Sanhao St (~1.3 km to NEU Nanhu; Family Room sleeps 4, so one room for 3 or 4)</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112" t="inlineStr">
        <is>
          <t>Trip.com 1 Oct: Family Room ¥976 for 3 nights, same price for 3 or 4 adults; rated 9.6 (1,802 reviews)</t>
        </is>
      </c>
    </row>
    <row r="17" ht="45" customHeight="1" s="56">
      <c r="A17" s="81" t="n"/>
      <c r="B17" s="111" t="inlineStr">
        <is>
          <t>Dequan Railway Station Hotel, Beijing (~1 km from Beijing Chaoyang station; 3 ppl 1 room; 4 ppl 2 rooms)</t>
        </is>
      </c>
      <c r="C17" s="83" t="inlineStr">
        <is>
          <t>15 Nov (1 night)</t>
        </is>
      </c>
      <c r="D17" s="81" t="n"/>
      <c r="E17" s="85" t="n">
        <v>304</v>
      </c>
      <c r="F17" s="86" t="inlineStr">
        <is>
          <t>CNY</t>
        </is>
      </c>
      <c r="G17" s="91" t="n">
        <v>1</v>
      </c>
      <c r="H17" s="88">
        <f>E17*G17*IF(F17="USD",Compare!$B$8,IF(F17="CNY",Compare!$B$9,IF(F17="HKD",Compare!$B$10,1)))</f>
        <v/>
      </c>
      <c r="I17" s="113" t="n">
        <v>608</v>
      </c>
      <c r="J17" s="91" t="n">
        <v>1</v>
      </c>
      <c r="K17" s="88">
        <f>I17*J17*IF(F17="USD",Compare!$B$8,IF(F17="CNY",Compare!$B$9,IF(F17="HKD",Compare!$B$10,1)))</f>
        <v/>
      </c>
      <c r="L17" s="112" t="inlineStr">
        <is>
          <t>Booking.com 9 Oct: ¥304 for 3 adults, 1 room per night; rated 8.7 (65 reviews). 4 ppl: ASSUMPTION 2 × ¥304 (rooms not searched)</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station</t>
        </is>
      </c>
      <c r="C21" s="83" t="inlineStr">
        <is>
          <t>12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~40 km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Same rest day and hotel as Shenyang – Comfort, but no overnight train: you sleep in a bed both nights and the evening G-train is cheap (¥268). Fits a late closing ceremony (train 19:51).</t>
        </is>
      </c>
    </row>
    <row r="45" ht="15" customHeight="1" s="56">
      <c r="A45" s="75" t="inlineStr">
        <is>
          <t>Trade-off</t>
        </is>
      </c>
      <c r="B45" s="74" t="inlineStr">
        <is>
          <t>Costs a Beijing hotel night and about ₮0.54M more than the hard-sleeper plan (3 ppl); ~9 h 30 min in planes and trains (sleeper plan: 16 h).</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12 Nov</t>
        </is>
      </c>
      <c r="B49" s="74" t="inlineStr">
        <is>
          <t>Shenyang</t>
        </is>
      </c>
      <c r="C49" s="74" t="inlineStr">
        <is>
          <t>MIAT OM223 UB 07:30 → Beijing 09:45; taxi PEK → Beijing Chaoyang; G149 12:19 → Shenyang North 14:48; taxi to RiCH Hotel.</t>
        </is>
      </c>
    </row>
    <row r="50" ht="15" customHeight="1" s="56">
      <c r="A50" s="74" t="inlineStr">
        <is>
          <t>Fri 13 Nov</t>
        </is>
      </c>
      <c r="B50" s="74" t="inlineStr">
        <is>
          <t>Shenyang</t>
        </is>
      </c>
      <c r="C50" s="74" t="inlineStr">
        <is>
          <t>Rest / practice day in Shenyang.</t>
        </is>
      </c>
    </row>
    <row r="51" ht="15" customHeight="1" s="56">
      <c r="A51" s="74" t="inlineStr">
        <is>
          <t>Sat 14 Nov</t>
        </is>
      </c>
      <c r="B51" s="74" t="inlineStr">
        <is>
          <t>Shenyang</t>
        </is>
      </c>
      <c r="C51" s="74" t="inlineStr">
        <is>
          <t>Registration &amp; practice at NEU Nanhu (walkable from hotel).</t>
        </is>
      </c>
    </row>
    <row r="52" ht="15" customHeight="1" s="56">
      <c r="A52" s="74" t="inlineStr">
        <is>
          <t>Sun 15 Nov</t>
        </is>
      </c>
      <c r="B52" s="74" t="inlineStr">
        <is>
          <t>Beijing</t>
        </is>
      </c>
      <c r="C52" s="74" t="inlineStr">
        <is>
          <t>SHENYANG REGIONAL contest day. Taxi to Shenyang North; G142 19:51 → Beijing Chaoyang 22:30; walk/taxi to Dequan hotel.</t>
        </is>
      </c>
    </row>
    <row r="53" ht="15" customHeight="1" s="56">
      <c r="A53" s="74" t="inlineStr">
        <is>
          <t>Mon 16 Nov</t>
        </is>
      </c>
      <c r="B53" s="74" t="inlineStr">
        <is>
          <t>Home</t>
        </is>
      </c>
      <c r="C53" s="74" t="inlineStr">
        <is>
          <t>Taxi Chaoyang → PEK. Air China Beijing Capital 12:55 → UB 15:05 (nonstop).</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12 Nov</t>
        </is>
      </c>
      <c r="B57" s="105" t="inlineStr">
        <is>
          <t>Home → Chinggis Khaan airport</t>
        </is>
      </c>
      <c r="C57" s="82" t="inlineStr">
        <is>
          <t>Taxi (~50 km)</t>
        </is>
      </c>
      <c r="D57" s="104" t="n">
        <v>0.04166666666666666</v>
      </c>
      <c r="E57" s="106" t="inlineStr">
        <is>
          <t>Leave ~04:30 for 07:30 flight</t>
        </is>
      </c>
      <c r="F57" s="107" t="n"/>
      <c r="G57" s="107" t="n"/>
      <c r="H57" s="107" t="n"/>
      <c r="I57" s="107" t="n"/>
      <c r="J57" s="107" t="n"/>
      <c r="K57" s="107" t="n"/>
      <c r="L57" s="107" t="n"/>
    </row>
    <row r="58" ht="15" customHeight="1" s="56">
      <c r="A58" s="105" t="inlineStr">
        <is>
          <t>12 Nov</t>
        </is>
      </c>
      <c r="B58" s="105" t="inlineStr">
        <is>
          <t>Ulaanbaatar → Beijing (PEK)</t>
        </is>
      </c>
      <c r="C58" s="82" t="inlineStr">
        <is>
          <t>MIAT OM223 07:30–09:45</t>
        </is>
      </c>
      <c r="D58" s="104" t="n">
        <v>0.09375</v>
      </c>
      <c r="E58" s="106" t="inlineStr"/>
      <c r="F58" s="107" t="n"/>
      <c r="G58" s="107" t="n"/>
      <c r="H58" s="107" t="n"/>
      <c r="I58" s="107" t="n"/>
      <c r="J58" s="107" t="n"/>
      <c r="K58" s="107" t="n"/>
      <c r="L58" s="107" t="n"/>
    </row>
    <row r="59" ht="15" customHeight="1"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12 Nov</t>
        </is>
      </c>
      <c r="B60" s="105" t="inlineStr">
        <is>
          <t>PEK → Beijing Chaoyang station</t>
        </is>
      </c>
      <c r="C60" s="82" t="inlineStr">
        <is>
          <t>Taxi (~40 km)</t>
        </is>
      </c>
      <c r="D60" s="104" t="n">
        <v>0.03472222222222222</v>
      </c>
      <c r="E60" s="106" t="inlineStr">
        <is>
          <t>Estimate; arrive ~11:15 for the 12:19 train</t>
        </is>
      </c>
      <c r="F60" s="107" t="n"/>
      <c r="G60" s="107" t="n"/>
      <c r="H60" s="107" t="n"/>
      <c r="I60" s="107" t="n"/>
      <c r="J60" s="107" t="n"/>
      <c r="K60" s="107" t="n"/>
      <c r="L60" s="107" t="n"/>
    </row>
    <row r="61" ht="15" customHeight="1" s="56">
      <c r="A61" s="105" t="inlineStr">
        <is>
          <t>12 Nov</t>
        </is>
      </c>
      <c r="B61" s="105" t="inlineStr">
        <is>
          <t>Beijing Chaoyang → Shenyang North</t>
        </is>
      </c>
      <c r="C61" s="82" t="inlineStr">
        <is>
          <t>G149 2nd class</t>
        </is>
      </c>
      <c r="D61" s="104" t="n">
        <v>0.1034722222222222</v>
      </c>
      <c r="E61" s="106" t="inlineStr"/>
      <c r="F61" s="107" t="n"/>
      <c r="G61" s="107" t="n"/>
      <c r="H61" s="107" t="n"/>
      <c r="I61" s="107" t="n"/>
      <c r="J61" s="107" t="n"/>
      <c r="K61" s="107" t="n"/>
      <c r="L61" s="107" t="n"/>
    </row>
    <row r="62" ht="15" customHeight="1" s="56">
      <c r="A62" s="105" t="inlineStr">
        <is>
          <t>12 Nov</t>
        </is>
      </c>
      <c r="B62" s="105" t="inlineStr">
        <is>
          <t>Shenyang North → hotel near NEU</t>
        </is>
      </c>
      <c r="C62" s="82" t="inlineStr">
        <is>
          <t>Taxi</t>
        </is>
      </c>
      <c r="D62" s="104" t="n">
        <v>0.01736111111111111</v>
      </c>
      <c r="E62" s="106" t="inlineStr">
        <is>
          <t>Estimate</t>
        </is>
      </c>
      <c r="F62" s="107" t="n"/>
      <c r="G62" s="107" t="n"/>
      <c r="H62" s="107" t="n"/>
      <c r="I62" s="107" t="n"/>
      <c r="J62" s="107" t="n"/>
      <c r="K62" s="107" t="n"/>
      <c r="L62" s="107" t="n"/>
    </row>
    <row r="63" ht="15" customHeight="1" s="56">
      <c r="A63" s="105" t="inlineStr">
        <is>
          <t>13–15 Nov</t>
        </is>
      </c>
      <c r="B63" s="105" t="inlineStr">
        <is>
          <t>Hotel ↔ NEU Nanhu (each way)</t>
        </is>
      </c>
      <c r="C63" s="82" t="inlineStr">
        <is>
          <t>Walk</t>
        </is>
      </c>
      <c r="D63" s="104" t="inlineStr">
        <is>
          <t>daily</t>
        </is>
      </c>
      <c r="E63" s="106" t="inlineStr">
        <is>
          <t>~18 min walk (RiCH Hotel, 1.3 km)</t>
        </is>
      </c>
      <c r="F63" s="107" t="n"/>
      <c r="G63" s="107" t="n"/>
      <c r="H63" s="107" t="n"/>
      <c r="I63" s="107" t="n"/>
      <c r="J63" s="107" t="n"/>
      <c r="K63" s="107" t="n"/>
      <c r="L63" s="107" t="n"/>
    </row>
    <row r="64" ht="15" customHeight="1" s="56">
      <c r="A64" s="105" t="inlineStr">
        <is>
          <t>15 Nov</t>
        </is>
      </c>
      <c r="B64" s="105" t="inlineStr">
        <is>
          <t>NEU Nanhu → Shenyang North</t>
        </is>
      </c>
      <c r="C64" s="82" t="inlineStr">
        <is>
          <t>Taxi</t>
        </is>
      </c>
      <c r="D64" s="104" t="n">
        <v>0.01736111111111111</v>
      </c>
      <c r="E64" s="106" t="inlineStr"/>
      <c r="F64" s="107" t="n"/>
      <c r="G64" s="107" t="n"/>
      <c r="H64" s="107" t="n"/>
      <c r="I64" s="107" t="n"/>
      <c r="J64" s="107" t="n"/>
      <c r="K64" s="107" t="n"/>
      <c r="L64" s="107" t="n"/>
    </row>
    <row r="65" ht="15" customHeight="1" s="56">
      <c r="A65" s="105" t="inlineStr">
        <is>
          <t>15 Nov</t>
        </is>
      </c>
      <c r="B65" s="105" t="inlineStr">
        <is>
          <t>Shenyang North → Beijing Chaoyang</t>
        </is>
      </c>
      <c r="C65" s="82" t="inlineStr">
        <is>
          <t>G142 19:51–22:30</t>
        </is>
      </c>
      <c r="D65" s="104" t="n">
        <v>0.1104166666666667</v>
      </c>
      <c r="E65" s="106" t="inlineStr"/>
      <c r="F65" s="107" t="n"/>
      <c r="G65" s="107" t="n"/>
      <c r="H65" s="107" t="n"/>
      <c r="I65" s="107" t="n"/>
      <c r="J65" s="107" t="n"/>
      <c r="K65" s="107" t="n"/>
      <c r="L65" s="107" t="n"/>
    </row>
    <row r="66" ht="15" customHeight="1" s="56">
      <c r="A66" s="105" t="inlineStr">
        <is>
          <t>15 Nov</t>
        </is>
      </c>
      <c r="B66" s="105" t="inlineStr">
        <is>
          <t>Beijing Chaoyang station → Dequan hotel</t>
        </is>
      </c>
      <c r="C66" s="82" t="inlineStr">
        <is>
          <t>Walk / taxi (~1 km)</t>
        </is>
      </c>
      <c r="D66" s="104" t="n">
        <v>0.01041666666666667</v>
      </c>
      <c r="E66" s="106" t="inlineStr">
        <is>
          <t>Estimate</t>
        </is>
      </c>
      <c r="F66" s="107" t="n"/>
      <c r="G66" s="107" t="n"/>
      <c r="H66" s="107" t="n"/>
      <c r="I66" s="107" t="n"/>
      <c r="J66" s="107" t="n"/>
      <c r="K66" s="107" t="n"/>
      <c r="L66" s="107" t="n"/>
    </row>
    <row r="67" ht="15" customHeight="1" s="56">
      <c r="A67" s="105" t="inlineStr">
        <is>
          <t>16 Nov</t>
        </is>
      </c>
      <c r="B67" s="105" t="inlineStr">
        <is>
          <t>Hotel → PEK</t>
        </is>
      </c>
      <c r="C67" s="82" t="inlineStr">
        <is>
          <t>Taxi</t>
        </is>
      </c>
      <c r="D67" s="104" t="n">
        <v>0.03472222222222222</v>
      </c>
      <c r="E67" s="106" t="inlineStr">
        <is>
          <t>Be at PEK by ~10:55</t>
        </is>
      </c>
      <c r="F67" s="107" t="n"/>
      <c r="G67" s="107" t="n"/>
      <c r="H67" s="107" t="n"/>
      <c r="I67" s="107" t="n"/>
      <c r="J67" s="107" t="n"/>
      <c r="K67" s="107" t="n"/>
      <c r="L67" s="107" t="n"/>
    </row>
    <row r="68" ht="15" customHeight="1" s="56">
      <c r="A68" s="105" t="inlineStr">
        <is>
          <t>16 Nov</t>
        </is>
      </c>
      <c r="B68" s="105" t="inlineStr">
        <is>
          <t>Beijing (PEK) → Ulaanbaatar</t>
        </is>
      </c>
      <c r="C68" s="82" t="inlineStr">
        <is>
          <t>Air China 12:55–15:05</t>
        </is>
      </c>
      <c r="D68" s="104" t="n">
        <v>0.09027777777777778</v>
      </c>
      <c r="E68" s="106" t="inlineStr"/>
      <c r="F68" s="107" t="n"/>
      <c r="G68" s="107" t="n"/>
      <c r="H68" s="107" t="n"/>
      <c r="I68" s="107" t="n"/>
      <c r="J68" s="107" t="n"/>
      <c r="K68" s="107" t="n"/>
      <c r="L68" s="107" t="n"/>
    </row>
    <row r="69" ht="15" customHeight="1" s="56">
      <c r="A69" s="105" t="inlineStr">
        <is>
          <t>16 Nov</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1" ht="15" customHeight="1" s="56">
      <c r="C71" s="59" t="inlineStr">
        <is>
          <t>Total door-to-door</t>
        </is>
      </c>
      <c r="D71" s="109">
        <f>SUM(D57:D69)</f>
        <v/>
      </c>
    </row>
  </sheetData>
  <mergeCells count="21">
    <mergeCell ref="E58:L58"/>
    <mergeCell ref="C52:L52"/>
    <mergeCell ref="E68:L68"/>
    <mergeCell ref="E62:L62"/>
    <mergeCell ref="E67:L67"/>
    <mergeCell ref="B43:L43"/>
    <mergeCell ref="C53:L53"/>
    <mergeCell ref="E64:L64"/>
    <mergeCell ref="C49:L49"/>
    <mergeCell ref="E63:L63"/>
    <mergeCell ref="E60:L60"/>
    <mergeCell ref="E69:L69"/>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Sleeper</t>
        </is>
      </c>
    </row>
    <row r="2" ht="15" customHeight="1" s="56">
      <c r="A2" s="62" t="inlineStr">
        <is>
          <t>MIAT + high-speed rail out two days before; D8 overnight seat back to Beijing and Air China home on 7 Dec; two cheap rooms 1.8 km from the venue.</t>
        </is>
      </c>
    </row>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seat</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60" customHeight="1" s="56">
      <c r="A14" s="81" t="n"/>
      <c r="B14" s="111" t="inlineStr">
        <is>
          <t>Overnight train D8 Shanghai 19:08 → Beijing 07:17 (+1), 2nd-class seat (after the contest)</t>
        </is>
      </c>
      <c r="C14" s="83" t="inlineStr">
        <is>
          <t>6 Dec (night)</t>
        </is>
      </c>
      <c r="D14" s="84" t="n">
        <v>0.50625</v>
      </c>
      <c r="E14" s="85" t="n">
        <v>361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D8 2nd-class seat ¥361 (sleeper ¥440, saves ¥79 pp); D6 21:15 → 09:25 ¥450 seat. After the contest sleep no longer matters. Arrives 07:17 (Beijing station) – plenty of time for the 12:55 flight. Sales open 22 Nov 14:45</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3–6 Dec (3 nights)</t>
        </is>
      </c>
      <c r="D16" s="81" t="n"/>
      <c r="E16" s="85">
        <f>820/3</f>
        <v/>
      </c>
      <c r="F16" s="86" t="inlineStr">
        <is>
          <t>CNY</t>
        </is>
      </c>
      <c r="G16" s="91" t="n">
        <v>3</v>
      </c>
      <c r="H16" s="88">
        <f>E16*G16*IF(F16="USD",Compare!$B$8,IF(F16="CNY",Compare!$B$9,IF(F16="HKD",Compare!$B$10,1)))</f>
        <v/>
      </c>
      <c r="I16" s="85">
        <f>708/3</f>
        <v/>
      </c>
      <c r="J16" s="91" t="n">
        <v>3</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¥820 for 3 nights, 2 rooms, for 3 ppl; Jtour Inn Hotel Shanghai University (1.8 km, 8.6 from 142 reviews) ¥708 for 4 ppl (2 rooms of 2; it is not offered for 3 adults). Cheaper but worse: Yibai Gucun Park (5.2 km, 7.9) ¥624, Boshi Changzhong Rd (2.5 km, 8.2) ¥684. Compare Jenny's Apartment, 1 room for 3: ¥1,375.</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South</t>
        </is>
      </c>
      <c r="C20" s="83" t="inlineStr">
        <is>
          <t>3 Dec</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(~45 km); Airport Express + metro is ~40 CNY pp</t>
        </is>
      </c>
    </row>
    <row r="21" ht="30" customHeight="1" s="56">
      <c r="A21" s="81" t="n"/>
      <c r="B21" s="111" t="inlineStr">
        <is>
          <t>Taxi Shanghai station ↔ hotel (arrival and departure)</t>
        </is>
      </c>
      <c r="C21" s="83" t="inlineStr">
        <is>
          <t>3 &amp; 6 Dec</t>
        </is>
      </c>
      <c r="D21" s="84" t="n"/>
      <c r="E21" s="113" t="n">
        <v>80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~80 CNY per car, ~25 km each way</t>
        </is>
      </c>
    </row>
    <row r="22" ht="30" customHeight="1" s="56">
      <c r="A22" s="81" t="n"/>
      <c r="B22" s="111" t="inlineStr">
        <is>
          <t>Metro/taxi Beijing station → PEK</t>
        </is>
      </c>
      <c r="C22" s="83" t="inlineStr">
        <is>
          <t>7 Dec</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metro line 2 + Airport Express ~35 CNY pp</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Shanghai regional registration fee (per team)</t>
        </is>
      </c>
      <c r="C25" s="83" t="inlineStr">
        <is>
          <t>TBC</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¥1,500/team in the 2025 Shanghai invitation (shu_icpc); 2026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30" customHeight="1" s="56">
      <c r="A43" s="75" t="inlineStr">
        <is>
          <t>Contest</t>
        </is>
      </c>
      <c r="B43" s="74" t="inlineStr">
        <is>
          <t>Asia Shanghai Regional, 5–6 Dec 2026 (provisional), Shanghai University Baoshan campus (gym; metro line 7 Shangda Rd). 2025 pattern: day 1 registration 09:00–14:00, opening 14:00, warm-up 15:00–17:00; day 2 contest 09:00–14:00, awards 15:30–17:00.</t>
        </is>
      </c>
    </row>
    <row r="44" ht="15" customHeight="1" s="56">
      <c r="A44" s="75" t="inlineStr">
        <is>
          <t>Wildcard</t>
        </is>
      </c>
      <c r="B44" s="74" t="inlineStr">
        <is>
          <t>A Mongolian team needs a wildcard (外卡): email shu_icpc@163.com. The first round closed on 17 Oct in 2025 – ask now.</t>
        </is>
      </c>
    </row>
    <row r="45" ht="15" customHeight="1" s="56">
      <c r="A45" s="75" t="inlineStr">
        <is>
          <t>Why this plan</t>
        </is>
      </c>
      <c r="B45" s="74" t="inlineStr">
        <is>
          <t>MIAT nonstop + 4 h 35 min train is the cheapest way to reach Shanghai; arriving 3 Dec gives two rest days. The D8 seat replaces a hotel night.</t>
        </is>
      </c>
    </row>
    <row r="46" ht="15" customHeight="1" s="56">
      <c r="A46" s="75" t="inlineStr">
        <is>
          <t>Trade-off</t>
        </is>
      </c>
      <c r="B46" s="74" t="inlineStr">
        <is>
          <t>Baoshan is far from Shanghai station (~50 min); the train leaves right after the awards (19:08).</t>
        </is>
      </c>
    </row>
    <row r="48" ht="15" customHeight="1" s="56">
      <c r="A48" s="72" t="inlineStr">
        <is>
          <t>Day-by-day plan</t>
        </is>
      </c>
    </row>
    <row r="49" ht="15" customHeight="1" s="56">
      <c r="A49" s="96" t="inlineStr">
        <is>
          <t>Date</t>
        </is>
      </c>
      <c r="B49" s="96" t="inlineStr">
        <is>
          <t>Sleep in</t>
        </is>
      </c>
      <c r="C49" s="96" t="inlineStr">
        <is>
          <t>What happens</t>
        </is>
      </c>
    </row>
    <row r="50" ht="15" customHeight="1" s="56">
      <c r="A50" s="74" t="inlineStr">
        <is>
          <t>Thu 3 Dec</t>
        </is>
      </c>
      <c r="B50" s="74" t="inlineStr">
        <is>
          <t>Shanghai</t>
        </is>
      </c>
      <c r="C50" s="74" t="inlineStr">
        <is>
          <t>MIAT OM223 UB 07:30 → Beijing 09:45; taxi to Beijing South; G17 13:00 → Shanghai 17:35; taxi to Hi Inn (Hutai Road).</t>
        </is>
      </c>
    </row>
    <row r="51" ht="15" customHeight="1" s="56">
      <c r="A51" s="74" t="inlineStr">
        <is>
          <t>Fri 4 Dec</t>
        </is>
      </c>
      <c r="B51" s="74" t="inlineStr">
        <is>
          <t>Shanghai</t>
        </is>
      </c>
      <c r="C51" s="74" t="inlineStr">
        <is>
          <t>Rest / practice day.</t>
        </is>
      </c>
    </row>
    <row r="52" ht="15" customHeight="1" s="56">
      <c r="A52" s="74" t="inlineStr">
        <is>
          <t>Sat 5 Dec</t>
        </is>
      </c>
      <c r="B52" s="74" t="inlineStr">
        <is>
          <t>Shanghai</t>
        </is>
      </c>
      <c r="C52" s="74" t="inlineStr">
        <is>
          <t>Registration (09:00–14:00), opening 14:00, warm-up 15:00–17:00 at Shanghai University Baoshan (2025 pattern).</t>
        </is>
      </c>
    </row>
    <row r="53" ht="15" customHeight="1" s="56">
      <c r="A53" s="74" t="inlineStr">
        <is>
          <t>Sun 6 Dec</t>
        </is>
      </c>
      <c r="B53" s="74" t="inlineStr">
        <is>
          <t>Train</t>
        </is>
      </c>
      <c r="C53" s="74" t="inlineStr">
        <is>
          <t>SHANGHAI REGIONAL contest day 09:00–14:00; analysis &amp; awards ~14:30–17:00. Taxi to Shanghai station; D8 19:08 → Beijing 07:17.</t>
        </is>
      </c>
    </row>
    <row r="54" ht="15" customHeight="1" s="56">
      <c r="A54" s="74" t="inlineStr">
        <is>
          <t>Mon 7 Dec</t>
        </is>
      </c>
      <c r="B54" s="74" t="inlineStr">
        <is>
          <t>Home</t>
        </is>
      </c>
      <c r="C54" s="74" t="inlineStr">
        <is>
          <t>Beijing station → PEK (metro + Airport Express). Air China CA955 12:55 → UB 15:05.</t>
        </is>
      </c>
    </row>
    <row r="56" ht="15" customHeight="1" s="56">
      <c r="A56" s="72" t="inlineStr">
        <is>
          <t>Door-to-door travel times</t>
        </is>
      </c>
    </row>
    <row r="57" ht="15" customHeight="1" s="56">
      <c r="A57" s="96" t="inlineStr">
        <is>
          <t>Date</t>
        </is>
      </c>
      <c r="B57" s="96" t="inlineStr">
        <is>
          <t>Leg</t>
        </is>
      </c>
      <c r="C57" s="96" t="inlineStr">
        <is>
          <t>Mode</t>
        </is>
      </c>
      <c r="D57" s="96" t="inlineStr">
        <is>
          <t>Expected time</t>
        </is>
      </c>
      <c r="E57" s="96" t="inlineStr">
        <is>
          <t>Notes</t>
        </is>
      </c>
    </row>
    <row r="58" ht="15" customHeight="1" s="56">
      <c r="A58" s="105" t="inlineStr">
        <is>
          <t>3 Dec</t>
        </is>
      </c>
      <c r="B58" s="105" t="inlineStr">
        <is>
          <t>Home → Chinggis Khaan airport</t>
        </is>
      </c>
      <c r="C58" s="82" t="inlineStr">
        <is>
          <t>Taxi (~50 km)</t>
        </is>
      </c>
      <c r="D58" s="104" t="n">
        <v>0.04166666666666666</v>
      </c>
      <c r="E58" s="106" t="inlineStr">
        <is>
          <t>Leave ~04:30 for 07:30 flight</t>
        </is>
      </c>
      <c r="F58" s="107" t="n"/>
      <c r="G58" s="107" t="n"/>
      <c r="H58" s="107" t="n"/>
      <c r="I58" s="107" t="n"/>
      <c r="J58" s="107" t="n"/>
      <c r="K58" s="107" t="n"/>
      <c r="L58" s="107" t="n"/>
    </row>
    <row r="59" ht="15" customHeight="1" s="56">
      <c r="A59" s="105" t="inlineStr">
        <is>
          <t>3 Dec</t>
        </is>
      </c>
      <c r="B59" s="105" t="inlineStr">
        <is>
          <t>Ulaanbaatar → Beijing (PEK)</t>
        </is>
      </c>
      <c r="C59" s="82" t="inlineStr">
        <is>
          <t>MIAT OM223 07:30–09:45</t>
        </is>
      </c>
      <c r="D59" s="104" t="n">
        <v>0.09375</v>
      </c>
      <c r="E59" s="106" t="inlineStr"/>
      <c r="F59" s="107" t="n"/>
      <c r="G59" s="107" t="n"/>
      <c r="H59" s="107" t="n"/>
      <c r="I59" s="107" t="n"/>
      <c r="J59" s="107" t="n"/>
      <c r="K59" s="107" t="n"/>
      <c r="L59" s="107" t="n"/>
    </row>
    <row r="60" ht="15" customHeight="1" s="56">
      <c r="A60" s="105" t="inlineStr">
        <is>
          <t>3 Dec</t>
        </is>
      </c>
      <c r="B60" s="105" t="inlineStr">
        <is>
          <t>PEK arrival: immigration, bags</t>
        </is>
      </c>
      <c r="C60" s="82" t="inlineStr">
        <is>
          <t>—</t>
        </is>
      </c>
      <c r="D60" s="104" t="n">
        <v>0.03125</v>
      </c>
      <c r="E60" s="106" t="inlineStr">
        <is>
          <t>Estimate</t>
        </is>
      </c>
      <c r="F60" s="107" t="n"/>
      <c r="G60" s="107" t="n"/>
      <c r="H60" s="107" t="n"/>
      <c r="I60" s="107" t="n"/>
      <c r="J60" s="107" t="n"/>
      <c r="K60" s="107" t="n"/>
      <c r="L60" s="107" t="n"/>
    </row>
    <row r="61" ht="15" customHeight="1" s="56">
      <c r="A61" s="105" t="inlineStr">
        <is>
          <t>3 Dec</t>
        </is>
      </c>
      <c r="B61" s="105" t="inlineStr">
        <is>
          <t>PEK → Beijing South</t>
        </is>
      </c>
      <c r="C61" s="82" t="inlineStr">
        <is>
          <t>Taxi / Airport Express + metro</t>
        </is>
      </c>
      <c r="D61" s="104" t="n">
        <v>0.04166666666666666</v>
      </c>
      <c r="E61" s="106" t="inlineStr">
        <is>
          <t>Estimate; arrive by ~12:00</t>
        </is>
      </c>
      <c r="F61" s="107" t="n"/>
      <c r="G61" s="107" t="n"/>
      <c r="H61" s="107" t="n"/>
      <c r="I61" s="107" t="n"/>
      <c r="J61" s="107" t="n"/>
      <c r="K61" s="107" t="n"/>
      <c r="L61" s="107" t="n"/>
    </row>
    <row r="62" ht="15" customHeight="1" s="56">
      <c r="A62" s="105" t="inlineStr">
        <is>
          <t>3 Dec</t>
        </is>
      </c>
      <c r="B62" s="105" t="inlineStr">
        <is>
          <t>Beijing South → Shanghai</t>
        </is>
      </c>
      <c r="C62" s="82" t="inlineStr">
        <is>
          <t>G17 13:00–17:35</t>
        </is>
      </c>
      <c r="D62" s="104" t="n">
        <v>0.1909722222222222</v>
      </c>
      <c r="E62" s="106" t="inlineStr"/>
      <c r="F62" s="107" t="n"/>
      <c r="G62" s="107" t="n"/>
      <c r="H62" s="107" t="n"/>
      <c r="I62" s="107" t="n"/>
      <c r="J62" s="107" t="n"/>
      <c r="K62" s="107" t="n"/>
      <c r="L62" s="107" t="n"/>
    </row>
    <row r="63" ht="15" customHeight="1" s="56">
      <c r="A63" s="105" t="inlineStr">
        <is>
          <t>3 Dec</t>
        </is>
      </c>
      <c r="B63" s="105" t="inlineStr">
        <is>
          <t>Shanghai station → hotel (Baoshan)</t>
        </is>
      </c>
      <c r="C63" s="82" t="inlineStr">
        <is>
          <t>Taxi / metro</t>
        </is>
      </c>
      <c r="D63" s="104" t="n">
        <v>0.03472222222222222</v>
      </c>
      <c r="E63" s="106" t="inlineStr">
        <is>
          <t>Estimate</t>
        </is>
      </c>
      <c r="F63" s="107" t="n"/>
      <c r="G63" s="107" t="n"/>
      <c r="H63" s="107" t="n"/>
      <c r="I63" s="107" t="n"/>
      <c r="J63" s="107" t="n"/>
      <c r="K63" s="107" t="n"/>
      <c r="L63" s="107" t="n"/>
    </row>
    <row r="64" ht="15" customHeight="1" s="56">
      <c r="A64" s="105" t="inlineStr">
        <is>
          <t>5–6 Dec</t>
        </is>
      </c>
      <c r="B64" s="105" t="inlineStr">
        <is>
          <t>Hotel ↔ Shanghai University Baoshan (each way)</t>
        </is>
      </c>
      <c r="C64" s="82" t="inlineStr">
        <is>
          <t>Walk</t>
        </is>
      </c>
      <c r="D64" s="104" t="inlineStr">
        <is>
          <t>daily</t>
        </is>
      </c>
      <c r="E64" s="106" t="inlineStr">
        <is>
          <t>~25 min walk (Hi Inn 1.8 km) or a ¥15 taxi</t>
        </is>
      </c>
      <c r="F64" s="107" t="n"/>
      <c r="G64" s="107" t="n"/>
      <c r="H64" s="107" t="n"/>
      <c r="I64" s="107" t="n"/>
      <c r="J64" s="107" t="n"/>
      <c r="K64" s="107" t="n"/>
      <c r="L64" s="107" t="n"/>
    </row>
    <row r="65" ht="15" customHeight="1" s="56">
      <c r="A65" s="105" t="inlineStr">
        <is>
          <t>6 Dec</t>
        </is>
      </c>
      <c r="B65" s="105" t="inlineStr">
        <is>
          <t>Campus → Shanghai station</t>
        </is>
      </c>
      <c r="C65" s="82" t="inlineStr">
        <is>
          <t>Taxi / metro</t>
        </is>
      </c>
      <c r="D65" s="104" t="n">
        <v>0.03472222222222222</v>
      </c>
      <c r="E65" s="106" t="inlineStr">
        <is>
          <t>Leave ~17:30 for the 19:08 train</t>
        </is>
      </c>
      <c r="F65" s="107" t="n"/>
      <c r="G65" s="107" t="n"/>
      <c r="H65" s="107" t="n"/>
      <c r="I65" s="107" t="n"/>
      <c r="J65" s="107" t="n"/>
      <c r="K65" s="107" t="n"/>
      <c r="L65" s="107" t="n"/>
    </row>
    <row r="66" ht="15" customHeight="1" s="56">
      <c r="A66" s="105" t="inlineStr">
        <is>
          <t>6–7 Dec</t>
        </is>
      </c>
      <c r="B66" s="105" t="inlineStr">
        <is>
          <t>Shanghai → Beijing</t>
        </is>
      </c>
      <c r="C66" s="82" t="inlineStr">
        <is>
          <t>D8 seat 19:08–07:17</t>
        </is>
      </c>
      <c r="D66" s="104" t="n">
        <v>0.50625</v>
      </c>
      <c r="E66" s="106" t="inlineStr">
        <is>
          <t>Overnight</t>
        </is>
      </c>
      <c r="F66" s="107" t="n"/>
      <c r="G66" s="107" t="n"/>
      <c r="H66" s="107" t="n"/>
      <c r="I66" s="107" t="n"/>
      <c r="J66" s="107" t="n"/>
      <c r="K66" s="107" t="n"/>
      <c r="L66" s="107" t="n"/>
    </row>
    <row r="67" ht="15" customHeight="1" s="56">
      <c r="A67" s="105" t="inlineStr">
        <is>
          <t>7 Dec</t>
        </is>
      </c>
      <c r="B67" s="105" t="inlineStr">
        <is>
          <t>Beijing station → PEK</t>
        </is>
      </c>
      <c r="C67" s="82" t="inlineStr">
        <is>
          <t>Metro line 2 + Airport Express</t>
        </is>
      </c>
      <c r="D67" s="104" t="n">
        <v>0.04166666666666666</v>
      </c>
      <c r="E67" s="106" t="inlineStr">
        <is>
          <t>Be at PEK by ~10:55</t>
        </is>
      </c>
      <c r="F67" s="107" t="n"/>
      <c r="G67" s="107" t="n"/>
      <c r="H67" s="107" t="n"/>
      <c r="I67" s="107" t="n"/>
      <c r="J67" s="107" t="n"/>
      <c r="K67" s="107" t="n"/>
      <c r="L67" s="107" t="n"/>
    </row>
    <row r="68" ht="15" customHeight="1" s="56">
      <c r="A68" s="105" t="inlineStr">
        <is>
          <t>7 Dec</t>
        </is>
      </c>
      <c r="B68" s="105" t="inlineStr">
        <is>
          <t>Beijing (PEK) → Ulaanbaatar</t>
        </is>
      </c>
      <c r="C68" s="82" t="inlineStr">
        <is>
          <t>Air China CA955 12:55–15:05</t>
        </is>
      </c>
      <c r="D68" s="104" t="n">
        <v>0.09027777777777778</v>
      </c>
      <c r="E68" s="106" t="inlineStr"/>
      <c r="F68" s="107" t="n"/>
      <c r="G68" s="107" t="n"/>
      <c r="H68" s="107" t="n"/>
      <c r="I68" s="107" t="n"/>
      <c r="J68" s="107" t="n"/>
      <c r="K68" s="107" t="n"/>
      <c r="L68" s="107" t="n"/>
    </row>
    <row r="69" ht="15" customHeight="1" s="56">
      <c r="A69" s="105" t="inlineStr">
        <is>
          <t>7 Dec</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1" ht="15" customHeight="1" s="56">
      <c r="C71" s="59" t="inlineStr">
        <is>
          <t>Total door-to-door</t>
        </is>
      </c>
      <c r="D71" s="109">
        <f>SUM(D58:D69)</f>
        <v/>
      </c>
    </row>
  </sheetData>
  <mergeCells count="21">
    <mergeCell ref="E58:L58"/>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5"/>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Spring nonstop</t>
        </is>
      </c>
    </row>
    <row r="2" ht="15" customHeight="1" s="56">
      <c r="A2" s="62" t="inlineStr">
        <is>
          <t>Spring Airlines nonstop UB ⇄ Pudong on Tuesdays (1 Dec out, 8 Dec back): no rail, a week away; hotel ~1 km from the venue.</t>
        </is>
      </c>
    </row>
    <row r="4" ht="15" customHeight="1" s="56">
      <c r="A4" s="60" t="inlineStr">
        <is>
          <t>Days in destination (meals &amp; local transport)</t>
        </is>
      </c>
      <c r="B4" s="76" t="n">
        <v>7</v>
      </c>
      <c r="C4" s="62" t="inlineStr">
        <is>
          <t>1 Dec afternoon → 8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(lowest seen $149). Flies Tue/Sat only; Sat 5 Dec would land 17:00 after registration closes</t>
        </is>
      </c>
    </row>
    <row r="11" ht="30" customHeight="1" s="56">
      <c r="A11" s="81" t="n"/>
      <c r="B11" s="111" t="inlineStr">
        <is>
          <t>Spring Airlines 9C6519 Shanghai Pudong (PVG) → Ulaanbaatar, nonstop 08:00–12:00</t>
        </is>
      </c>
      <c r="C11" s="83" t="inlineStr">
        <is>
          <t>8 Dec (Tue)</t>
        </is>
      </c>
      <c r="D11" s="84" t="n">
        <v>0.1666666666666667</v>
      </c>
      <c r="E11" s="85" t="n">
        <v>153</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SlickTrip 10 Oct: $153 pp (Trip.com $159; lowest seen $122)</t>
        </is>
      </c>
    </row>
    <row r="12" ht="45" customHeight="1" s="56">
      <c r="A12" s="81" t="n"/>
      <c r="B12" s="111" t="inlineStr">
        <is>
          <t>Checked baggage Spring Airlines (base fare = 1 hand bag only), 1 bag per person each way</t>
        </is>
      </c>
      <c r="C12" s="83" t="inlineStr">
        <is>
          <t>1 &amp; 8 Dec</t>
        </is>
      </c>
      <c r="D12" s="84" t="n"/>
      <c r="E12" s="113" t="n">
        <v>300</v>
      </c>
      <c r="F12" s="86" t="inlineStr">
        <is>
          <t>CNY</t>
        </is>
      </c>
      <c r="G12" s="87">
        <f>Compare!$B$6*2</f>
        <v/>
      </c>
      <c r="H12" s="88">
        <f>E12*G12*IF(F12="USD",Compare!$B$8,IF(F12="CNY",Compare!$B$9,IF(F12="HKD",Compare!$B$10,1)))</f>
        <v/>
      </c>
      <c r="I12" s="114">
        <f>E12</f>
        <v/>
      </c>
      <c r="J12" s="87">
        <f>Compare!$B$7*2</f>
        <v/>
      </c>
      <c r="K12" s="88">
        <f>I12*J12*IF(F12="USD",Compare!$B$8,IF(F12="CNY",Compare!$B$9,IF(F12="HKD",Compare!$B$10,1)))</f>
        <v/>
      </c>
      <c r="L12" s="112" t="inlineStr">
        <is>
          <t>ASSUMPTION ~300 CNY per checked bag per direction (Spring sells bags from ~80–200 CNY online at booking, more at the airport)</t>
        </is>
      </c>
    </row>
    <row r="13" ht="15" customHeight="1" s="56">
      <c r="A13" s="79" t="inlineStr">
        <is>
          <t>Accommodation</t>
        </is>
      </c>
      <c r="B13" s="80" t="n"/>
      <c r="C13" s="80" t="n"/>
      <c r="D13" s="80" t="n"/>
      <c r="E13" s="80" t="n"/>
      <c r="F13" s="80" t="n"/>
      <c r="G13" s="80" t="n"/>
      <c r="H13" s="80" t="n"/>
      <c r="I13" s="80" t="n"/>
      <c r="J13" s="80" t="n"/>
      <c r="K13" s="80" t="n"/>
      <c r="L13" s="80" t="n"/>
    </row>
    <row r="14" ht="90" customHeight="1" s="56">
      <c r="A14" s="81" t="n"/>
      <c r="B14" s="111" t="inlineStr">
        <is>
          <t>Jenny's Apartment (~1 km to Shanghai University Baoshan; 3 ppl 1 room; 4 ppl 2 rooms)</t>
        </is>
      </c>
      <c r="C14" s="83" t="inlineStr">
        <is>
          <t>1–8 Dec (7 nights)</t>
        </is>
      </c>
      <c r="D14" s="81" t="n"/>
      <c r="E14" s="85" t="n">
        <v>426.29</v>
      </c>
      <c r="F14" s="86" t="inlineStr">
        <is>
          <t>CNY</t>
        </is>
      </c>
      <c r="G14" s="91" t="n">
        <v>7</v>
      </c>
      <c r="H14" s="88">
        <f>E14*G14*IF(F14="USD",Compare!$B$8,IF(F14="CNY",Compare!$B$9,IF(F14="HKD",Compare!$B$10,1)))</f>
        <v/>
      </c>
      <c r="I14" s="85" t="n">
        <v>538</v>
      </c>
      <c r="J14" s="91" t="n">
        <v>7</v>
      </c>
      <c r="K14" s="88">
        <f>I14*J14*IF(F14="USD",Compare!$B$8,IF(F14="CNY",Compare!$B$9,IF(F14="HKD",Compare!$B$10,1)))</f>
        <v/>
      </c>
      <c r="L14" s="112" t="inlineStr">
        <is>
          <t>Booking.com 9 Oct: ¥2,984 (3 ppl) / ¥3,766 (4 ppl, 2 rooms) for 7 nights. Budget alternative: Holiday Inn Express Gongkang ~4.7 km, 8.5: ¥2,103 for 7 nights (3 ppl). Trip.com 10 Oct, 7 nights: Zsmart Zhishang (740 m, 8.3) ¥3,073 / Netfish e-sports (9.8) ¥3,488 (3 ppl), ¥4,097 (4 ppl); Yibai Hotel Gucun Park (5.2 km, 7.9) ¥1,456</t>
        </is>
      </c>
    </row>
    <row r="15" ht="15" customHeight="1" s="56">
      <c r="A15" s="79" t="inlineStr">
        <is>
          <t>Meals &amp; local transport</t>
        </is>
      </c>
      <c r="B15" s="80" t="n"/>
      <c r="C15" s="80" t="n"/>
      <c r="D15" s="80" t="n"/>
      <c r="E15" s="80" t="n"/>
      <c r="F15" s="80" t="n"/>
      <c r="G15" s="80" t="n"/>
      <c r="H15" s="80" t="n"/>
      <c r="I15" s="80" t="n"/>
      <c r="J15" s="80" t="n"/>
      <c r="K15" s="80" t="n"/>
      <c r="L15" s="80" t="n"/>
    </row>
    <row r="16" ht="30" customHeight="1" s="56">
      <c r="A16" s="81" t="n"/>
      <c r="B16" s="111" t="inlineStr">
        <is>
          <t>Meals</t>
        </is>
      </c>
      <c r="C16" s="83" t="inlineStr">
        <is>
          <t>in destination</t>
        </is>
      </c>
      <c r="D16" s="81" t="n"/>
      <c r="E16" s="113" t="n">
        <v>80</v>
      </c>
      <c r="F16" s="86" t="inlineStr">
        <is>
          <t>CNY</t>
        </is>
      </c>
      <c r="G16" s="87">
        <f>Compare!$B$6*$B$4</f>
        <v/>
      </c>
      <c r="H16" s="88">
        <f>E16*G16*IF(F16="USD",Compare!$B$8,IF(F16="CNY",Compare!$B$9,IF(F16="HKD",Compare!$B$10,1)))</f>
        <v/>
      </c>
      <c r="I16" s="114">
        <f>E16</f>
        <v/>
      </c>
      <c r="J16" s="87">
        <f>Compare!$B$7*$B$4</f>
        <v/>
      </c>
      <c r="K16" s="88">
        <f>I16*J16*IF(F16="USD",Compare!$B$8,IF(F16="CNY",Compare!$B$9,IF(F16="HKD",Compare!$B$10,1)))</f>
        <v/>
      </c>
      <c r="L16" s="112" t="inlineStr">
        <is>
          <t>ASSUMPTION 80 CNY/person/day; hosts usually provide some meals on contest days</t>
        </is>
      </c>
    </row>
    <row r="17" ht="15" customHeight="1" s="56">
      <c r="A17" s="81" t="n"/>
      <c r="B17" s="111" t="inlineStr">
        <is>
          <t>Local transport (metro, taxis)</t>
        </is>
      </c>
      <c r="C17" s="83" t="inlineStr">
        <is>
          <t>in destination</t>
        </is>
      </c>
      <c r="D17" s="81" t="n"/>
      <c r="E17" s="113" t="n">
        <v>30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30 CNY/person/day</t>
        </is>
      </c>
    </row>
    <row r="18" ht="30" customHeight="1" s="56">
      <c r="A18" s="81" t="n"/>
      <c r="B18" s="111" t="inlineStr">
        <is>
          <t>Taxi PVG ↔ hotel (Baoshan), arrival and departure</t>
        </is>
      </c>
      <c r="C18" s="83" t="inlineStr">
        <is>
          <t>1 &amp; 8 Dec</t>
        </is>
      </c>
      <c r="D18" s="84" t="n"/>
      <c r="E18" s="113" t="n">
        <v>220</v>
      </c>
      <c r="F18" s="86" t="inlineStr">
        <is>
          <t>CNY</t>
        </is>
      </c>
      <c r="G18" s="91" t="n">
        <v>2</v>
      </c>
      <c r="H18" s="88">
        <f>E18*G18*IF(F18="USD",Compare!$B$8,IF(F18="CNY",Compare!$B$9,IF(F18="HKD",Compare!$B$10,1)))</f>
        <v/>
      </c>
      <c r="I18" s="114">
        <f>E18</f>
        <v/>
      </c>
      <c r="J18" s="91" t="n">
        <v>2</v>
      </c>
      <c r="K18" s="88">
        <f>I18*J18*IF(F18="USD",Compare!$B$8,IF(F18="CNY",Compare!$B$9,IF(F18="HKD",Compare!$B$10,1)))</f>
        <v/>
      </c>
      <c r="L18" s="112" t="inlineStr">
        <is>
          <t>ASSUMPTION ~220 CNY per car, ~65 km each way (metro lines 2 + 7 ~2 h, ~10 CNY)</t>
        </is>
      </c>
    </row>
    <row r="19" ht="15" customHeight="1" s="56">
      <c r="A19" s="94" t="inlineStr">
        <is>
          <t>PAID PERSONALLY (university won't cover)</t>
        </is>
      </c>
      <c r="B19" s="95" t="n"/>
      <c r="C19" s="95" t="n"/>
      <c r="D19" s="95" t="n"/>
      <c r="E19" s="95" t="n"/>
      <c r="F19" s="95" t="n"/>
      <c r="G19" s="95" t="n"/>
      <c r="H19" s="95" t="n"/>
      <c r="I19" s="95" t="n"/>
      <c r="J19" s="95" t="n"/>
      <c r="K19" s="95" t="n"/>
      <c r="L19" s="95" t="n"/>
    </row>
    <row r="20" ht="15" customHeight="1" s="56">
      <c r="A20" s="79" t="inlineStr">
        <is>
          <t>Contest fee</t>
        </is>
      </c>
      <c r="B20" s="80" t="n"/>
      <c r="C20" s="80" t="n"/>
      <c r="D20" s="80" t="n"/>
      <c r="E20" s="80" t="n"/>
      <c r="F20" s="80" t="n"/>
      <c r="G20" s="80" t="n"/>
      <c r="H20" s="80" t="n"/>
      <c r="I20" s="80" t="n"/>
      <c r="J20" s="80" t="n"/>
      <c r="K20" s="80" t="n"/>
      <c r="L20" s="80" t="n"/>
    </row>
    <row r="21" ht="22.35" customHeight="1" s="56">
      <c r="A21" s="81" t="n"/>
      <c r="B21" s="82" t="inlineStr">
        <is>
          <t>Shanghai regional registration fee (per team)</t>
        </is>
      </c>
      <c r="C21" s="83" t="inlineStr">
        <is>
          <t>TBC</t>
        </is>
      </c>
      <c r="D21" s="81" t="n"/>
      <c r="E21" s="113" t="n">
        <v>1500</v>
      </c>
      <c r="F21" s="86" t="inlineStr">
        <is>
          <t>CNY</t>
        </is>
      </c>
      <c r="G21" s="91" t="n">
        <v>1</v>
      </c>
      <c r="H21" s="88">
        <f>E21*G21*IF(F21="USD",Compare!$B$8,IF(F21="CNY",Compare!$B$9,IF(F21="HKD",Compare!$B$10,1)))</f>
        <v/>
      </c>
      <c r="I21" s="114">
        <f>E21</f>
        <v/>
      </c>
      <c r="J21" s="91" t="n">
        <v>1</v>
      </c>
      <c r="K21" s="88">
        <f>I21*J21*IF(F21="USD",Compare!$B$8,IF(F21="CNY",Compare!$B$9,IF(F21="HKD",Compare!$B$10,1)))</f>
        <v/>
      </c>
      <c r="L21" s="90" t="inlineStr">
        <is>
          <t>¥1,500/team in the 2025 Shanghai invitation (shu_icpc); 2026 invitation not seen</t>
        </is>
      </c>
    </row>
    <row r="22" ht="15" customHeight="1" s="56">
      <c r="A22" s="79" t="inlineStr">
        <is>
          <t>Other</t>
        </is>
      </c>
      <c r="B22" s="80" t="n"/>
      <c r="C22" s="80" t="n"/>
      <c r="D22" s="80" t="n"/>
      <c r="E22" s="80" t="n"/>
      <c r="F22" s="80" t="n"/>
      <c r="G22" s="80" t="n"/>
      <c r="H22" s="80" t="n"/>
      <c r="I22" s="80" t="n"/>
      <c r="J22" s="80" t="n"/>
      <c r="K22" s="80" t="n"/>
      <c r="L22" s="80" t="n"/>
    </row>
    <row r="23" ht="15" customHeight="1" s="56">
      <c r="A23" s="81" t="n"/>
      <c r="B23" s="82" t="inlineStr">
        <is>
          <t>Taxi to/from Chinggis Khaan airport (UB), per trip</t>
        </is>
      </c>
      <c r="C23" s="83" t="inlineStr">
        <is>
          <t>out &amp; back</t>
        </is>
      </c>
      <c r="D23" s="84" t="n">
        <v>0.04166666666666666</v>
      </c>
      <c r="E23" s="92" t="n">
        <v>100000</v>
      </c>
      <c r="F23" s="86" t="inlineStr">
        <is>
          <t>MNT</t>
        </is>
      </c>
      <c r="G23" s="91" t="n">
        <v>2</v>
      </c>
      <c r="H23" s="88">
        <f>E23*G23*IF(F23="USD",Compare!$B$8,IF(F23="CNY",Compare!$B$9,IF(F23="HKD",Compare!$B$10,1)))</f>
        <v/>
      </c>
      <c r="I23" s="93">
        <f>E23</f>
        <v/>
      </c>
      <c r="J23" s="91" t="n">
        <v>2</v>
      </c>
      <c r="K23" s="88">
        <f>I23*J23*IF(F23="USD",Compare!$B$8,IF(F23="CNY",Compare!$B$9,IF(F23="HKD",Compare!$B$10,1)))</f>
        <v/>
      </c>
      <c r="L23" s="90" t="inlineStr">
        <is>
          <t>ASSUMPTION 100k MNT per trip for the group</t>
        </is>
      </c>
    </row>
    <row r="24" ht="15" customHeight="1" s="56">
      <c r="A24" s="81" t="n"/>
      <c r="B24" s="82" t="inlineStr">
        <is>
          <t>Travel medical insurance</t>
        </is>
      </c>
      <c r="C24" s="83" t="n"/>
      <c r="D24" s="81" t="n"/>
      <c r="E24" s="92" t="n">
        <v>30000</v>
      </c>
      <c r="F24" s="86" t="inlineStr">
        <is>
          <t>MNT</t>
        </is>
      </c>
      <c r="G24" s="87">
        <f>Compare!$B$6</f>
        <v/>
      </c>
      <c r="H24" s="88">
        <f>E24*G24*IF(F24="USD",Compare!$B$8,IF(F24="CNY",Compare!$B$9,IF(F24="HKD",Compare!$B$10,1)))</f>
        <v/>
      </c>
      <c r="I24" s="93">
        <f>E24</f>
        <v/>
      </c>
      <c r="J24" s="87">
        <f>Compare!$B$7</f>
        <v/>
      </c>
      <c r="K24" s="88">
        <f>I24*J24*IF(F24="USD",Compare!$B$8,IF(F24="CNY",Compare!$B$9,IF(F24="HKD",Compare!$B$10,1)))</f>
        <v/>
      </c>
      <c r="L24" s="90" t="inlineStr">
        <is>
          <t>ASSUMPTION ~30k MNT per person, Mongolian insurer</t>
        </is>
      </c>
    </row>
    <row r="25" ht="15" customHeight="1" s="56">
      <c r="A25" s="81" t="n"/>
      <c r="B25" s="82" t="inlineStr">
        <is>
          <t>Mobile data eSIM</t>
        </is>
      </c>
      <c r="C25" s="83" t="n"/>
      <c r="D25" s="81" t="n"/>
      <c r="E25" s="92" t="n">
        <v>10</v>
      </c>
      <c r="F25" s="86" t="inlineStr">
        <is>
          <t>USD</t>
        </is>
      </c>
      <c r="G25" s="87">
        <f>Compare!$B$6</f>
        <v/>
      </c>
      <c r="H25" s="88">
        <f>E25*G25*IF(F25="USD",Compare!$B$8,IF(F25="CNY",Compare!$B$9,IF(F25="HKD",Compare!$B$10,1)))</f>
        <v/>
      </c>
      <c r="I25" s="93">
        <f>E25</f>
        <v/>
      </c>
      <c r="J25" s="87">
        <f>Compare!$B$7</f>
        <v/>
      </c>
      <c r="K25" s="88">
        <f>I25*J25*IF(F25="USD",Compare!$B$8,IF(F25="CNY",Compare!$B$9,IF(F25="HKD",Compare!$B$10,1)))</f>
        <v/>
      </c>
      <c r="L25" s="90" t="inlineStr">
        <is>
          <t>ASSUMPTION ~$10 pp</t>
        </is>
      </c>
    </row>
    <row r="26" ht="22.35" customHeight="1" s="56">
      <c r="A26" s="81" t="n"/>
      <c r="B26" s="82" t="inlineStr">
        <is>
          <t>Visa</t>
        </is>
      </c>
      <c r="C26" s="83" t="n"/>
      <c r="D26" s="81" t="n"/>
      <c r="E26" s="85" t="n">
        <v>0</v>
      </c>
      <c r="F26" s="86" t="inlineStr">
        <is>
          <t>MNT</t>
        </is>
      </c>
      <c r="G26" s="87">
        <f>Compare!$B$6</f>
        <v/>
      </c>
      <c r="H26" s="88">
        <f>E26*G26*IF(F26="USD",Compare!$B$8,IF(F26="CNY",Compare!$B$9,IF(F26="HKD",Compare!$B$10,1)))</f>
        <v/>
      </c>
      <c r="I26" s="89">
        <f>E26</f>
        <v/>
      </c>
      <c r="J26" s="87">
        <f>Compare!$B$7</f>
        <v/>
      </c>
      <c r="K26" s="88">
        <f>I26*J26*IF(F26="USD",Compare!$B$8,IF(F26="CNY",Compare!$B$9,IF(F26="HKD",Compare!$B$10,1)))</f>
        <v/>
      </c>
      <c r="L26" s="90" t="inlineStr">
        <is>
          <t>Mongolian passports: visa-free (mainland China up to 30 days; Hong Kong up to 14 days)</t>
        </is>
      </c>
    </row>
    <row r="28" ht="15" customHeight="1" s="56">
      <c r="G28" s="60" t="n"/>
      <c r="H28" s="96" t="inlineStr">
        <is>
          <t>3 people – UNFUNDED</t>
        </is>
      </c>
      <c r="K28" s="96" t="inlineStr">
        <is>
          <t>4 people – FUNDED ₮12M</t>
        </is>
      </c>
    </row>
    <row r="29" ht="15" customHeight="1" s="56">
      <c r="G29" s="97" t="inlineStr">
        <is>
          <t>University-paid subtotal</t>
        </is>
      </c>
      <c r="H29" s="98">
        <f>SUM(H9:H18)</f>
        <v/>
      </c>
      <c r="K29" s="98">
        <f>SUM(K9:K18)</f>
        <v/>
      </c>
    </row>
    <row r="30" ht="15" customHeight="1" s="56">
      <c r="G30" s="99" t="inlineStr">
        <is>
          <t>Contingency</t>
        </is>
      </c>
      <c r="H30" s="100">
        <f>H29*Compare!$B$11</f>
        <v/>
      </c>
      <c r="K30" s="100">
        <f>K29*Compare!$B$11</f>
        <v/>
      </c>
    </row>
    <row r="31" ht="15" customHeight="1" s="56">
      <c r="G31" s="97" t="inlineStr">
        <is>
          <t>University-paid total incl. contingency</t>
        </is>
      </c>
      <c r="H31" s="98">
        <f>H29+H30</f>
        <v/>
      </c>
      <c r="K31" s="98">
        <f>K29+K30</f>
        <v/>
      </c>
    </row>
    <row r="32" ht="15" customHeight="1" s="56">
      <c r="G32" s="97" t="inlineStr">
        <is>
          <t>Funding left (negative = over)</t>
        </is>
      </c>
      <c r="H32" s="101">
        <f>Compare!$B$12-H31</f>
        <v/>
      </c>
      <c r="K32" s="101">
        <f>Compare!$B$5-K31</f>
        <v/>
      </c>
    </row>
    <row r="33" ht="15" customHeight="1" s="56">
      <c r="G33" s="97" t="inlineStr">
        <is>
          <t>Personal costs – team</t>
        </is>
      </c>
      <c r="H33" s="102">
        <f>SUM(H20:H26)</f>
        <v/>
      </c>
      <c r="K33" s="102">
        <f>SUM(K20:K26)</f>
        <v/>
      </c>
    </row>
    <row r="34" ht="15" customHeight="1" s="56">
      <c r="G34" s="97" t="inlineStr">
        <is>
          <t>Out-of-pocket per person (personal + any overrun)</t>
        </is>
      </c>
      <c r="H34" s="102">
        <f>(H33+MAX(0,-H32))/Compare!$B$6</f>
        <v/>
      </c>
      <c r="K34" s="102">
        <f>(K33+MAX(0,-K32))/Compare!$B$7</f>
        <v/>
      </c>
    </row>
    <row r="35" ht="15" customHeight="1" s="56">
      <c r="G35" s="97" t="inlineStr">
        <is>
          <t>Whole trip cost (university + personal)</t>
        </is>
      </c>
      <c r="H35" s="103">
        <f>H31+H33</f>
        <v/>
      </c>
      <c r="K35" s="103">
        <f>K31+K33</f>
        <v/>
      </c>
    </row>
    <row r="36" ht="15" customHeight="1" s="56">
      <c r="G36" s="99" t="inlineStr">
        <is>
          <t>Time in planes &amp; trains</t>
        </is>
      </c>
      <c r="H36" s="104">
        <f>D10+D11</f>
        <v/>
      </c>
      <c r="K36" s="104">
        <f>D10+D11</f>
        <v/>
      </c>
    </row>
    <row r="38" ht="15" customHeight="1" s="56">
      <c r="A38" s="72" t="inlineStr">
        <is>
          <t>Key facts</t>
        </is>
      </c>
    </row>
    <row r="39" ht="30" customHeight="1" s="56">
      <c r="A39" s="75" t="inlineStr">
        <is>
          <t>Contest</t>
        </is>
      </c>
      <c r="B39" s="74" t="inlineStr">
        <is>
          <t>Asia Shanghai Regional, 5–6 Dec 2026 (provisional), Shanghai University Baoshan campus (gym; metro line 7 Shangda Rd). 2025 pattern: day 1 registration 09:00–14:00, opening 14:00, warm-up 15:00–17:00; day 2 contest 09:00–14:00, awards 15:30–17:00.</t>
        </is>
      </c>
    </row>
    <row r="40" ht="15" customHeight="1" s="56">
      <c r="A40" s="75" t="inlineStr">
        <is>
          <t>Wildcard</t>
        </is>
      </c>
      <c r="B40" s="74" t="inlineStr">
        <is>
          <t>A Mongolian team needs a wildcard (外卡): email shu_icpc@163.com. The first round closed on 17 Oct in 2025 – ask now.</t>
        </is>
      </c>
    </row>
    <row r="41" ht="15" customHeight="1" s="56">
      <c r="A41" s="75" t="inlineStr">
        <is>
          <t>Why this plan</t>
        </is>
      </c>
      <c r="B41" s="74" t="inlineStr">
        <is>
          <t>No rail and no Beijing day: one flight each way at fares far below normal. Book soon – these are sale fares.</t>
        </is>
      </c>
    </row>
    <row r="42" ht="15" customHeight="1" s="56">
      <c r="A42" s="75" t="inlineStr">
        <is>
          <t>Trade-off</t>
        </is>
      </c>
      <c r="B42" s="74" t="inlineStr">
        <is>
          <t>Seven nights away (more class missed, more hotel and meals), hand-baggage-only fare (carry-on only saves ~₮1.0M), a 08:00 flight home from Pudong (leave the hotel ~05:00).</t>
        </is>
      </c>
    </row>
    <row r="44" ht="15" customHeight="1" s="56">
      <c r="A44" s="72" t="inlineStr">
        <is>
          <t>Day-by-day plan</t>
        </is>
      </c>
    </row>
    <row r="45" ht="15" customHeight="1" s="56">
      <c r="A45" s="96" t="inlineStr">
        <is>
          <t>Date</t>
        </is>
      </c>
      <c r="B45" s="96" t="inlineStr">
        <is>
          <t>Sleep in</t>
        </is>
      </c>
      <c r="C45" s="96" t="inlineStr">
        <is>
          <t>What happens</t>
        </is>
      </c>
    </row>
    <row r="46" ht="15" customHeight="1" s="56">
      <c r="A46" s="74" t="inlineStr">
        <is>
          <t>Tue 1 Dec</t>
        </is>
      </c>
      <c r="B46" s="74" t="inlineStr">
        <is>
          <t>Shanghai</t>
        </is>
      </c>
      <c r="C46" s="74" t="inlineStr">
        <is>
          <t>Spring 9C6520 UB 13:00 → Shanghai Pudong 17:00; taxi / metro to Jenny's Apartment.</t>
        </is>
      </c>
    </row>
    <row r="47" ht="15" customHeight="1" s="56">
      <c r="A47" s="74" t="inlineStr">
        <is>
          <t>Wed 2 – Fri 4 Dec</t>
        </is>
      </c>
      <c r="B47" s="74" t="inlineStr">
        <is>
          <t>Shanghai</t>
        </is>
      </c>
      <c r="C47" s="74" t="inlineStr">
        <is>
          <t>Rest / practice days (or sightseeing, lectures).</t>
        </is>
      </c>
    </row>
    <row r="48" ht="15" customHeight="1" s="56">
      <c r="A48" s="74" t="inlineStr">
        <is>
          <t>Sat 5 Dec</t>
        </is>
      </c>
      <c r="B48" s="74" t="inlineStr">
        <is>
          <t>Shanghai</t>
        </is>
      </c>
      <c r="C48" s="74" t="inlineStr">
        <is>
          <t>Registration (09:00–14:00), opening 14:00, warm-up 15:00–17:00 at Shanghai University Baoshan (2025 pattern).</t>
        </is>
      </c>
    </row>
    <row r="49" ht="15" customHeight="1" s="56">
      <c r="A49" s="74" t="inlineStr">
        <is>
          <t>Sun 6 Dec</t>
        </is>
      </c>
      <c r="B49" s="74" t="inlineStr">
        <is>
          <t>Shanghai</t>
        </is>
      </c>
      <c r="C49" s="74" t="inlineStr">
        <is>
          <t>SHANGHAI REGIONAL contest day 09:00–14:00; analysis &amp; awards ~14:30–17:00.</t>
        </is>
      </c>
    </row>
    <row r="50" ht="15" customHeight="1" s="56">
      <c r="A50" s="74" t="inlineStr">
        <is>
          <t>Mon 7 Dec</t>
        </is>
      </c>
      <c r="B50" s="74" t="inlineStr">
        <is>
          <t>Shanghai</t>
        </is>
      </c>
      <c r="C50" s="74" t="inlineStr">
        <is>
          <t>Free day.</t>
        </is>
      </c>
    </row>
    <row r="51" ht="15" customHeight="1" s="56">
      <c r="A51" s="74" t="inlineStr">
        <is>
          <t>Tue 8 Dec</t>
        </is>
      </c>
      <c r="B51" s="74" t="inlineStr">
        <is>
          <t>Home</t>
        </is>
      </c>
      <c r="C51" s="74" t="inlineStr">
        <is>
          <t>Taxi to Pudong (leave ~05:00). Spring 9C6519 PVG 08:00 → UB 12:00.</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 Dec</t>
        </is>
      </c>
      <c r="B55" s="105" t="inlineStr">
        <is>
          <t>Home → Chinggis Khaan airport</t>
        </is>
      </c>
      <c r="C55" s="82" t="inlineStr">
        <is>
          <t>Taxi (~50 km)</t>
        </is>
      </c>
      <c r="D55" s="104" t="n">
        <v>0.04166666666666666</v>
      </c>
      <c r="E55" s="106" t="inlineStr">
        <is>
          <t>Leave ~10:00 for 13:00 flight</t>
        </is>
      </c>
      <c r="F55" s="107" t="n"/>
      <c r="G55" s="107" t="n"/>
      <c r="H55" s="107" t="n"/>
      <c r="I55" s="107" t="n"/>
      <c r="J55" s="107" t="n"/>
      <c r="K55" s="107" t="n"/>
      <c r="L55" s="107" t="n"/>
    </row>
    <row r="56" ht="15" customHeight="1" s="56">
      <c r="A56" s="105" t="inlineStr">
        <is>
          <t>1 Dec</t>
        </is>
      </c>
      <c r="B56" s="105" t="inlineStr">
        <is>
          <t>Ulaanbaatar → Shanghai (PVG)</t>
        </is>
      </c>
      <c r="C56" s="82" t="inlineStr">
        <is>
          <t>Spring 9C6520 13:00–17:00</t>
        </is>
      </c>
      <c r="D56" s="104" t="n">
        <v>0.1666666666666667</v>
      </c>
      <c r="E56" s="106" t="inlineStr">
        <is>
          <t>Local times (China is 1 h behind UB... see note)</t>
        </is>
      </c>
      <c r="F56" s="107" t="n"/>
      <c r="G56" s="107" t="n"/>
      <c r="H56" s="107" t="n"/>
      <c r="I56" s="107" t="n"/>
      <c r="J56" s="107" t="n"/>
      <c r="K56" s="107" t="n"/>
      <c r="L56" s="107" t="n"/>
    </row>
    <row r="57" ht="15" customHeight="1" s="56">
      <c r="A57" s="105" t="inlineStr">
        <is>
          <t>1 Dec</t>
        </is>
      </c>
      <c r="B57" s="105" t="inlineStr">
        <is>
          <t>PVG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 Dec</t>
        </is>
      </c>
      <c r="B58" s="105" t="inlineStr">
        <is>
          <t>PVG → hotel (Baoshan)</t>
        </is>
      </c>
      <c r="C58" s="82" t="inlineStr">
        <is>
          <t>Taxi (~65 km)</t>
        </is>
      </c>
      <c r="D58" s="104" t="n">
        <v>0.05208333333333334</v>
      </c>
      <c r="E58" s="106" t="inlineStr">
        <is>
          <t>Estimate; metro ~2 h</t>
        </is>
      </c>
      <c r="F58" s="107" t="n"/>
      <c r="G58" s="107" t="n"/>
      <c r="H58" s="107" t="n"/>
      <c r="I58" s="107" t="n"/>
      <c r="J58" s="107" t="n"/>
      <c r="K58" s="107" t="n"/>
      <c r="L58" s="107" t="n"/>
    </row>
    <row r="59" ht="15" customHeight="1" s="56">
      <c r="A59" s="105" t="inlineStr">
        <is>
          <t>5–6 Dec</t>
        </is>
      </c>
      <c r="B59" s="105" t="inlineStr">
        <is>
          <t>Hotel ↔ Shanghai University Baoshan (each way)</t>
        </is>
      </c>
      <c r="C59" s="82" t="inlineStr">
        <is>
          <t>Walk</t>
        </is>
      </c>
      <c r="D59" s="104" t="inlineStr">
        <is>
          <t>daily</t>
        </is>
      </c>
      <c r="E59" s="106" t="inlineStr">
        <is>
          <t>~15 min walk</t>
        </is>
      </c>
      <c r="F59" s="107" t="n"/>
      <c r="G59" s="107" t="n"/>
      <c r="H59" s="107" t="n"/>
      <c r="I59" s="107" t="n"/>
      <c r="J59" s="107" t="n"/>
      <c r="K59" s="107" t="n"/>
      <c r="L59" s="107" t="n"/>
    </row>
    <row r="60" ht="15" customHeight="1" s="56">
      <c r="A60" s="105" t="inlineStr">
        <is>
          <t>8 Dec</t>
        </is>
      </c>
      <c r="B60" s="105" t="inlineStr">
        <is>
          <t>Hotel → PVG</t>
        </is>
      </c>
      <c r="C60" s="82" t="inlineStr">
        <is>
          <t>Taxi (~65 km)</t>
        </is>
      </c>
      <c r="D60" s="104" t="n">
        <v>0.05208333333333334</v>
      </c>
      <c r="E60" s="106" t="inlineStr">
        <is>
          <t>Leave ~05:00</t>
        </is>
      </c>
      <c r="F60" s="107" t="n"/>
      <c r="G60" s="107" t="n"/>
      <c r="H60" s="107" t="n"/>
      <c r="I60" s="107" t="n"/>
      <c r="J60" s="107" t="n"/>
      <c r="K60" s="107" t="n"/>
      <c r="L60" s="107" t="n"/>
    </row>
    <row r="61" ht="15" customHeight="1" s="56">
      <c r="A61" s="105" t="inlineStr">
        <is>
          <t>8 Dec</t>
        </is>
      </c>
      <c r="B61" s="105" t="inlineStr">
        <is>
          <t>PVG check-in &amp; security</t>
        </is>
      </c>
      <c r="C61" s="82" t="inlineStr">
        <is>
          <t>—</t>
        </is>
      </c>
      <c r="D61" s="104" t="n">
        <v>0.0625</v>
      </c>
      <c r="E61" s="106" t="inlineStr"/>
      <c r="F61" s="107" t="n"/>
      <c r="G61" s="107" t="n"/>
      <c r="H61" s="107" t="n"/>
      <c r="I61" s="107" t="n"/>
      <c r="J61" s="107" t="n"/>
      <c r="K61" s="107" t="n"/>
      <c r="L61" s="107" t="n"/>
    </row>
    <row r="62" ht="15" customHeight="1" s="56">
      <c r="A62" s="105" t="inlineStr">
        <is>
          <t>8 Dec</t>
        </is>
      </c>
      <c r="B62" s="105" t="inlineStr">
        <is>
          <t>Shanghai (PVG) → Ulaanbaatar</t>
        </is>
      </c>
      <c r="C62" s="82" t="inlineStr">
        <is>
          <t>Spring 9C6519 08:00–12:00</t>
        </is>
      </c>
      <c r="D62" s="104" t="n">
        <v>0.1666666666666667</v>
      </c>
      <c r="E62" s="106" t="inlineStr"/>
      <c r="F62" s="107" t="n"/>
      <c r="G62" s="107" t="n"/>
      <c r="H62" s="107" t="n"/>
      <c r="I62" s="107" t="n"/>
      <c r="J62" s="107" t="n"/>
      <c r="K62" s="107" t="n"/>
      <c r="L62" s="107" t="n"/>
    </row>
    <row r="63" ht="15" customHeight="1" s="56">
      <c r="A63" s="105" t="inlineStr">
        <is>
          <t>8 Dec</t>
        </is>
      </c>
      <c r="B63" s="105" t="inlineStr">
        <is>
          <t>Chinggis Khaan airport → home</t>
        </is>
      </c>
      <c r="C63" s="82" t="inlineStr">
        <is>
          <t>Taxi</t>
        </is>
      </c>
      <c r="D63" s="104" t="n">
        <v>0.04166666666666666</v>
      </c>
      <c r="E63" s="106" t="inlineStr"/>
      <c r="F63" s="107" t="n"/>
      <c r="G63" s="107" t="n"/>
      <c r="H63" s="107" t="n"/>
      <c r="I63" s="107" t="n"/>
      <c r="J63" s="107" t="n"/>
      <c r="K63" s="107" t="n"/>
      <c r="L63" s="107" t="n"/>
    </row>
    <row r="65" ht="15" customHeight="1" s="56">
      <c r="C65" s="59" t="inlineStr">
        <is>
          <t>Total door-to-door</t>
        </is>
      </c>
      <c r="D65" s="109">
        <f>SUM(D55:D63)</f>
        <v/>
      </c>
    </row>
  </sheetData>
  <mergeCells count="19">
    <mergeCell ref="E56:L56"/>
    <mergeCell ref="E58:L58"/>
    <mergeCell ref="C48:L48"/>
    <mergeCell ref="E55:L55"/>
    <mergeCell ref="E62:L62"/>
    <mergeCell ref="C49:L49"/>
    <mergeCell ref="B39:L39"/>
    <mergeCell ref="E63:L63"/>
    <mergeCell ref="B42:L42"/>
    <mergeCell ref="E60:L60"/>
    <mergeCell ref="E59:L59"/>
    <mergeCell ref="C47:L47"/>
    <mergeCell ref="B40:L40"/>
    <mergeCell ref="C50:L50"/>
    <mergeCell ref="E61:L61"/>
    <mergeCell ref="E57:L57"/>
    <mergeCell ref="C51:L51"/>
    <mergeCell ref="C46:L46"/>
    <mergeCell ref="B41:L4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5"/>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Nonstop cheap rooms</t>
        </is>
      </c>
    </row>
    <row r="2" ht="15" customHeight="1" s="56">
      <c r="A2" s="62" t="inlineStr">
        <is>
          <t>Spring Airlines nonstops both ways (1 Dec out, 8 Dec back) as in 'Spring nonstop', but two cheap private rooms 1.8 km from the venue (Hi Inn 8.9 / Jtour Inn 8.6) instead of the apartment: 7 nights ¥1,784 / ¥1,652 instead of ¥2,984 / ¥3,766.</t>
        </is>
      </c>
    </row>
    <row r="4" ht="15" customHeight="1" s="56">
      <c r="A4" s="60" t="inlineStr">
        <is>
          <t>Days in destination (meals &amp; local transport)</t>
        </is>
      </c>
      <c r="B4" s="76" t="n">
        <v>7</v>
      </c>
      <c r="C4" s="62" t="inlineStr">
        <is>
          <t>1 Dec afternoon → 8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(lowest seen $149). Flies Tue/Sat only; Sat 5 Dec would land 17:00 after registration closes</t>
        </is>
      </c>
    </row>
    <row r="11" ht="30" customHeight="1" s="56">
      <c r="A11" s="81" t="n"/>
      <c r="B11" s="111" t="inlineStr">
        <is>
          <t>Spring Airlines 9C6519 Shanghai Pudong (PVG) → Ulaanbaatar, nonstop 08:00–12:00</t>
        </is>
      </c>
      <c r="C11" s="83" t="inlineStr">
        <is>
          <t>8 Dec (Tue)</t>
        </is>
      </c>
      <c r="D11" s="84" t="n">
        <v>0.1666666666666667</v>
      </c>
      <c r="E11" s="85" t="n">
        <v>153</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SlickTrip 10 Oct: $153 pp (Trip.com $159; lowest seen $122)</t>
        </is>
      </c>
    </row>
    <row r="12" ht="45" customHeight="1" s="56">
      <c r="A12" s="81" t="n"/>
      <c r="B12" s="111" t="inlineStr">
        <is>
          <t>Checked baggage Spring Airlines (base fare = 1 hand bag only), 1 bag per person each way</t>
        </is>
      </c>
      <c r="C12" s="83" t="inlineStr">
        <is>
          <t>1 &amp; 8 Dec</t>
        </is>
      </c>
      <c r="D12" s="84" t="n"/>
      <c r="E12" s="113" t="n">
        <v>300</v>
      </c>
      <c r="F12" s="86" t="inlineStr">
        <is>
          <t>CNY</t>
        </is>
      </c>
      <c r="G12" s="87">
        <f>Compare!$B$6*2</f>
        <v/>
      </c>
      <c r="H12" s="88">
        <f>E12*G12*IF(F12="USD",Compare!$B$8,IF(F12="CNY",Compare!$B$9,IF(F12="HKD",Compare!$B$10,1)))</f>
        <v/>
      </c>
      <c r="I12" s="114">
        <f>E12</f>
        <v/>
      </c>
      <c r="J12" s="87">
        <f>Compare!$B$7*2</f>
        <v/>
      </c>
      <c r="K12" s="88">
        <f>I12*J12*IF(F12="USD",Compare!$B$8,IF(F12="CNY",Compare!$B$9,IF(F12="HKD",Compare!$B$10,1)))</f>
        <v/>
      </c>
      <c r="L12" s="112" t="inlineStr">
        <is>
          <t>ASSUMPTION ~300 CNY per checked bag per direction (Spring sells bags from ~80–200 CNY online at booking, more at the airport)</t>
        </is>
      </c>
    </row>
    <row r="13" ht="15" customHeight="1" s="56">
      <c r="A13" s="79" t="inlineStr">
        <is>
          <t>Accommodation</t>
        </is>
      </c>
      <c r="B13" s="80" t="n"/>
      <c r="C13" s="80" t="n"/>
      <c r="D13" s="80" t="n"/>
      <c r="E13" s="80" t="n"/>
      <c r="F13" s="80" t="n"/>
      <c r="G13" s="80" t="n"/>
      <c r="H13" s="80" t="n"/>
      <c r="I13" s="80" t="n"/>
      <c r="J13" s="80" t="n"/>
      <c r="K13" s="80" t="n"/>
      <c r="L13" s="80" t="n"/>
    </row>
    <row r="14" ht="90" customHeight="1" s="56">
      <c r="A14" s="81" t="n"/>
      <c r="B14" s="111" t="inlineStr">
        <is>
          <t>Hi Inn Shanghai University Hutai Road (1.8 km, 8.9) – 3 ppl: 2 rooms (2 + 1 beds); 4 ppl: Jtour Inn Hotel Shanghai University (1.8 km, 8.6), 2 rooms of 2</t>
        </is>
      </c>
      <c r="C14" s="83" t="inlineStr">
        <is>
          <t>1–8 Dec (7 nights)</t>
        </is>
      </c>
      <c r="D14" s="81" t="n"/>
      <c r="E14" s="85">
        <f>1784/7</f>
        <v/>
      </c>
      <c r="F14" s="86" t="inlineStr">
        <is>
          <t>CNY</t>
        </is>
      </c>
      <c r="G14" s="91" t="n">
        <v>7</v>
      </c>
      <c r="H14" s="88">
        <f>E14*G14*IF(F14="USD",Compare!$B$8,IF(F14="CNY",Compare!$B$9,IF(F14="HKD",Compare!$B$10,1)))</f>
        <v/>
      </c>
      <c r="I14" s="85">
        <f>1652/7</f>
        <v/>
      </c>
      <c r="J14" s="91" t="n">
        <v>7</v>
      </c>
      <c r="K14" s="88">
        <f>I14*J14*IF(F14="USD",Compare!$B$8,IF(F14="CNY",Compare!$B$9,IF(F14="HKD",Compare!$B$10,1)))</f>
        <v/>
      </c>
      <c r="L14" s="112" t="inlineStr">
        <is>
          <t>Trip.com 10 Oct (Shanghai University landmark, Hotel + private-bathroom filters, lowest price first): Hi Inn Shanghai University Hutai Road (1.8 km walk, 8.9 from 423 reviews, Comfort Twin Room with fresh-air system) ¥1,784 for 7 nights, 2 rooms, for 3 ppl; Jtour Inn Hotel Shanghai University (1.8 km, 8.6 from 142 reviews) ¥1,652 for 4 ppl (2 rooms of 2; it is not offered for 3 adults). Cheaper but worse: Yibai Gucun Park (5.2 km, 7.9) ¥1,456, Boshi Changzhong Rd (2.5 km, 8.2) ¥1,568. Compare Jenny's Apartment, 1 room for 3: ¥2,984.</t>
        </is>
      </c>
    </row>
    <row r="15" ht="15" customHeight="1" s="56">
      <c r="A15" s="79" t="inlineStr">
        <is>
          <t>Meals &amp; local transport</t>
        </is>
      </c>
      <c r="B15" s="80" t="n"/>
      <c r="C15" s="80" t="n"/>
      <c r="D15" s="80" t="n"/>
      <c r="E15" s="80" t="n"/>
      <c r="F15" s="80" t="n"/>
      <c r="G15" s="80" t="n"/>
      <c r="H15" s="80" t="n"/>
      <c r="I15" s="80" t="n"/>
      <c r="J15" s="80" t="n"/>
      <c r="K15" s="80" t="n"/>
      <c r="L15" s="80" t="n"/>
    </row>
    <row r="16" ht="30" customHeight="1" s="56">
      <c r="A16" s="81" t="n"/>
      <c r="B16" s="111" t="inlineStr">
        <is>
          <t>Meals</t>
        </is>
      </c>
      <c r="C16" s="83" t="inlineStr">
        <is>
          <t>in destination</t>
        </is>
      </c>
      <c r="D16" s="81" t="n"/>
      <c r="E16" s="113" t="n">
        <v>80</v>
      </c>
      <c r="F16" s="86" t="inlineStr">
        <is>
          <t>CNY</t>
        </is>
      </c>
      <c r="G16" s="87">
        <f>Compare!$B$6*$B$4</f>
        <v/>
      </c>
      <c r="H16" s="88">
        <f>E16*G16*IF(F16="USD",Compare!$B$8,IF(F16="CNY",Compare!$B$9,IF(F16="HKD",Compare!$B$10,1)))</f>
        <v/>
      </c>
      <c r="I16" s="114">
        <f>E16</f>
        <v/>
      </c>
      <c r="J16" s="87">
        <f>Compare!$B$7*$B$4</f>
        <v/>
      </c>
      <c r="K16" s="88">
        <f>I16*J16*IF(F16="USD",Compare!$B$8,IF(F16="CNY",Compare!$B$9,IF(F16="HKD",Compare!$B$10,1)))</f>
        <v/>
      </c>
      <c r="L16" s="112" t="inlineStr">
        <is>
          <t>ASSUMPTION 80 CNY/person/day; hosts usually provide some meals on contest days</t>
        </is>
      </c>
    </row>
    <row r="17" ht="15" customHeight="1" s="56">
      <c r="A17" s="81" t="n"/>
      <c r="B17" s="111" t="inlineStr">
        <is>
          <t>Local transport (metro, taxis)</t>
        </is>
      </c>
      <c r="C17" s="83" t="inlineStr">
        <is>
          <t>in destination</t>
        </is>
      </c>
      <c r="D17" s="81" t="n"/>
      <c r="E17" s="113" t="n">
        <v>30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30 CNY/person/day</t>
        </is>
      </c>
    </row>
    <row r="18" ht="30" customHeight="1" s="56">
      <c r="A18" s="81" t="n"/>
      <c r="B18" s="111" t="inlineStr">
        <is>
          <t>Taxi PVG ↔ hotel (Baoshan), arrival and departure</t>
        </is>
      </c>
      <c r="C18" s="83" t="inlineStr">
        <is>
          <t>1 &amp; 8 Dec</t>
        </is>
      </c>
      <c r="D18" s="84" t="n"/>
      <c r="E18" s="113" t="n">
        <v>220</v>
      </c>
      <c r="F18" s="86" t="inlineStr">
        <is>
          <t>CNY</t>
        </is>
      </c>
      <c r="G18" s="91" t="n">
        <v>2</v>
      </c>
      <c r="H18" s="88">
        <f>E18*G18*IF(F18="USD",Compare!$B$8,IF(F18="CNY",Compare!$B$9,IF(F18="HKD",Compare!$B$10,1)))</f>
        <v/>
      </c>
      <c r="I18" s="114">
        <f>E18</f>
        <v/>
      </c>
      <c r="J18" s="91" t="n">
        <v>2</v>
      </c>
      <c r="K18" s="88">
        <f>I18*J18*IF(F18="USD",Compare!$B$8,IF(F18="CNY",Compare!$B$9,IF(F18="HKD",Compare!$B$10,1)))</f>
        <v/>
      </c>
      <c r="L18" s="112" t="inlineStr">
        <is>
          <t>ASSUMPTION ~220 CNY per car, ~65 km each way (metro lines 2 + 7 ~2 h, ~10 CNY)</t>
        </is>
      </c>
    </row>
    <row r="19" ht="15" customHeight="1" s="56">
      <c r="A19" s="94" t="inlineStr">
        <is>
          <t>PAID PERSONALLY (university won't cover)</t>
        </is>
      </c>
      <c r="B19" s="95" t="n"/>
      <c r="C19" s="95" t="n"/>
      <c r="D19" s="95" t="n"/>
      <c r="E19" s="95" t="n"/>
      <c r="F19" s="95" t="n"/>
      <c r="G19" s="95" t="n"/>
      <c r="H19" s="95" t="n"/>
      <c r="I19" s="95" t="n"/>
      <c r="J19" s="95" t="n"/>
      <c r="K19" s="95" t="n"/>
      <c r="L19" s="95" t="n"/>
    </row>
    <row r="20" ht="15" customHeight="1" s="56">
      <c r="A20" s="79" t="inlineStr">
        <is>
          <t>Contest fee</t>
        </is>
      </c>
      <c r="B20" s="80" t="n"/>
      <c r="C20" s="80" t="n"/>
      <c r="D20" s="80" t="n"/>
      <c r="E20" s="80" t="n"/>
      <c r="F20" s="80" t="n"/>
      <c r="G20" s="80" t="n"/>
      <c r="H20" s="80" t="n"/>
      <c r="I20" s="80" t="n"/>
      <c r="J20" s="80" t="n"/>
      <c r="K20" s="80" t="n"/>
      <c r="L20" s="80" t="n"/>
    </row>
    <row r="21" ht="22.35" customHeight="1" s="56">
      <c r="A21" s="81" t="n"/>
      <c r="B21" s="82" t="inlineStr">
        <is>
          <t>Shanghai regional registration fee (per team)</t>
        </is>
      </c>
      <c r="C21" s="83" t="inlineStr">
        <is>
          <t>TBC</t>
        </is>
      </c>
      <c r="D21" s="81" t="n"/>
      <c r="E21" s="113" t="n">
        <v>1500</v>
      </c>
      <c r="F21" s="86" t="inlineStr">
        <is>
          <t>CNY</t>
        </is>
      </c>
      <c r="G21" s="91" t="n">
        <v>1</v>
      </c>
      <c r="H21" s="88">
        <f>E21*G21*IF(F21="USD",Compare!$B$8,IF(F21="CNY",Compare!$B$9,IF(F21="HKD",Compare!$B$10,1)))</f>
        <v/>
      </c>
      <c r="I21" s="114">
        <f>E21</f>
        <v/>
      </c>
      <c r="J21" s="91" t="n">
        <v>1</v>
      </c>
      <c r="K21" s="88">
        <f>I21*J21*IF(F21="USD",Compare!$B$8,IF(F21="CNY",Compare!$B$9,IF(F21="HKD",Compare!$B$10,1)))</f>
        <v/>
      </c>
      <c r="L21" s="90" t="inlineStr">
        <is>
          <t>¥1,500/team in the 2025 Shanghai invitation (shu_icpc); 2026 invitation not seen</t>
        </is>
      </c>
    </row>
    <row r="22" ht="15" customHeight="1" s="56">
      <c r="A22" s="79" t="inlineStr">
        <is>
          <t>Other</t>
        </is>
      </c>
      <c r="B22" s="80" t="n"/>
      <c r="C22" s="80" t="n"/>
      <c r="D22" s="80" t="n"/>
      <c r="E22" s="80" t="n"/>
      <c r="F22" s="80" t="n"/>
      <c r="G22" s="80" t="n"/>
      <c r="H22" s="80" t="n"/>
      <c r="I22" s="80" t="n"/>
      <c r="J22" s="80" t="n"/>
      <c r="K22" s="80" t="n"/>
      <c r="L22" s="80" t="n"/>
    </row>
    <row r="23" ht="15" customHeight="1" s="56">
      <c r="A23" s="81" t="n"/>
      <c r="B23" s="82" t="inlineStr">
        <is>
          <t>Taxi to/from Chinggis Khaan airport (UB), per trip</t>
        </is>
      </c>
      <c r="C23" s="83" t="inlineStr">
        <is>
          <t>out &amp; back</t>
        </is>
      </c>
      <c r="D23" s="84" t="n">
        <v>0.04166666666666666</v>
      </c>
      <c r="E23" s="92" t="n">
        <v>100000</v>
      </c>
      <c r="F23" s="86" t="inlineStr">
        <is>
          <t>MNT</t>
        </is>
      </c>
      <c r="G23" s="91" t="n">
        <v>2</v>
      </c>
      <c r="H23" s="88">
        <f>E23*G23*IF(F23="USD",Compare!$B$8,IF(F23="CNY",Compare!$B$9,IF(F23="HKD",Compare!$B$10,1)))</f>
        <v/>
      </c>
      <c r="I23" s="93">
        <f>E23</f>
        <v/>
      </c>
      <c r="J23" s="91" t="n">
        <v>2</v>
      </c>
      <c r="K23" s="88">
        <f>I23*J23*IF(F23="USD",Compare!$B$8,IF(F23="CNY",Compare!$B$9,IF(F23="HKD",Compare!$B$10,1)))</f>
        <v/>
      </c>
      <c r="L23" s="90" t="inlineStr">
        <is>
          <t>ASSUMPTION 100k MNT per trip for the group</t>
        </is>
      </c>
    </row>
    <row r="24" ht="15" customHeight="1" s="56">
      <c r="A24" s="81" t="n"/>
      <c r="B24" s="82" t="inlineStr">
        <is>
          <t>Travel medical insurance</t>
        </is>
      </c>
      <c r="C24" s="83" t="n"/>
      <c r="D24" s="81" t="n"/>
      <c r="E24" s="92" t="n">
        <v>30000</v>
      </c>
      <c r="F24" s="86" t="inlineStr">
        <is>
          <t>MNT</t>
        </is>
      </c>
      <c r="G24" s="87">
        <f>Compare!$B$6</f>
        <v/>
      </c>
      <c r="H24" s="88">
        <f>E24*G24*IF(F24="USD",Compare!$B$8,IF(F24="CNY",Compare!$B$9,IF(F24="HKD",Compare!$B$10,1)))</f>
        <v/>
      </c>
      <c r="I24" s="93">
        <f>E24</f>
        <v/>
      </c>
      <c r="J24" s="87">
        <f>Compare!$B$7</f>
        <v/>
      </c>
      <c r="K24" s="88">
        <f>I24*J24*IF(F24="USD",Compare!$B$8,IF(F24="CNY",Compare!$B$9,IF(F24="HKD",Compare!$B$10,1)))</f>
        <v/>
      </c>
      <c r="L24" s="90" t="inlineStr">
        <is>
          <t>ASSUMPTION ~30k MNT per person, Mongolian insurer</t>
        </is>
      </c>
    </row>
    <row r="25" ht="15" customHeight="1" s="56">
      <c r="A25" s="81" t="n"/>
      <c r="B25" s="82" t="inlineStr">
        <is>
          <t>Mobile data eSIM</t>
        </is>
      </c>
      <c r="C25" s="83" t="n"/>
      <c r="D25" s="81" t="n"/>
      <c r="E25" s="92" t="n">
        <v>10</v>
      </c>
      <c r="F25" s="86" t="inlineStr">
        <is>
          <t>USD</t>
        </is>
      </c>
      <c r="G25" s="87">
        <f>Compare!$B$6</f>
        <v/>
      </c>
      <c r="H25" s="88">
        <f>E25*G25*IF(F25="USD",Compare!$B$8,IF(F25="CNY",Compare!$B$9,IF(F25="HKD",Compare!$B$10,1)))</f>
        <v/>
      </c>
      <c r="I25" s="93">
        <f>E25</f>
        <v/>
      </c>
      <c r="J25" s="87">
        <f>Compare!$B$7</f>
        <v/>
      </c>
      <c r="K25" s="88">
        <f>I25*J25*IF(F25="USD",Compare!$B$8,IF(F25="CNY",Compare!$B$9,IF(F25="HKD",Compare!$B$10,1)))</f>
        <v/>
      </c>
      <c r="L25" s="90" t="inlineStr">
        <is>
          <t>ASSUMPTION ~$10 pp</t>
        </is>
      </c>
    </row>
    <row r="26" ht="22.35" customHeight="1" s="56">
      <c r="A26" s="81" t="n"/>
      <c r="B26" s="82" t="inlineStr">
        <is>
          <t>Visa</t>
        </is>
      </c>
      <c r="C26" s="83" t="n"/>
      <c r="D26" s="81" t="n"/>
      <c r="E26" s="85" t="n">
        <v>0</v>
      </c>
      <c r="F26" s="86" t="inlineStr">
        <is>
          <t>MNT</t>
        </is>
      </c>
      <c r="G26" s="87">
        <f>Compare!$B$6</f>
        <v/>
      </c>
      <c r="H26" s="88">
        <f>E26*G26*IF(F26="USD",Compare!$B$8,IF(F26="CNY",Compare!$B$9,IF(F26="HKD",Compare!$B$10,1)))</f>
        <v/>
      </c>
      <c r="I26" s="89">
        <f>E26</f>
        <v/>
      </c>
      <c r="J26" s="87">
        <f>Compare!$B$7</f>
        <v/>
      </c>
      <c r="K26" s="88">
        <f>I26*J26*IF(F26="USD",Compare!$B$8,IF(F26="CNY",Compare!$B$9,IF(F26="HKD",Compare!$B$10,1)))</f>
        <v/>
      </c>
      <c r="L26" s="90" t="inlineStr">
        <is>
          <t>Mongolian passports: visa-free (mainland China up to 30 days; Hong Kong up to 14 days)</t>
        </is>
      </c>
    </row>
    <row r="28" ht="15" customHeight="1" s="56">
      <c r="G28" s="60" t="n"/>
      <c r="H28" s="96" t="inlineStr">
        <is>
          <t>3 people – UNFUNDED</t>
        </is>
      </c>
      <c r="K28" s="96" t="inlineStr">
        <is>
          <t>4 people – FUNDED ₮12M</t>
        </is>
      </c>
    </row>
    <row r="29" ht="15" customHeight="1" s="56">
      <c r="G29" s="97" t="inlineStr">
        <is>
          <t>University-paid subtotal</t>
        </is>
      </c>
      <c r="H29" s="98">
        <f>SUM(H9:H18)</f>
        <v/>
      </c>
      <c r="K29" s="98">
        <f>SUM(K9:K18)</f>
        <v/>
      </c>
    </row>
    <row r="30" ht="15" customHeight="1" s="56">
      <c r="G30" s="99" t="inlineStr">
        <is>
          <t>Contingency</t>
        </is>
      </c>
      <c r="H30" s="100">
        <f>H29*Compare!$B$11</f>
        <v/>
      </c>
      <c r="K30" s="100">
        <f>K29*Compare!$B$11</f>
        <v/>
      </c>
    </row>
    <row r="31" ht="15" customHeight="1" s="56">
      <c r="G31" s="97" t="inlineStr">
        <is>
          <t>University-paid total incl. contingency</t>
        </is>
      </c>
      <c r="H31" s="98">
        <f>H29+H30</f>
        <v/>
      </c>
      <c r="K31" s="98">
        <f>K29+K30</f>
        <v/>
      </c>
    </row>
    <row r="32" ht="15" customHeight="1" s="56">
      <c r="G32" s="97" t="inlineStr">
        <is>
          <t>Funding left (negative = over)</t>
        </is>
      </c>
      <c r="H32" s="101">
        <f>Compare!$B$12-H31</f>
        <v/>
      </c>
      <c r="K32" s="101">
        <f>Compare!$B$5-K31</f>
        <v/>
      </c>
    </row>
    <row r="33" ht="15" customHeight="1" s="56">
      <c r="G33" s="97" t="inlineStr">
        <is>
          <t>Personal costs – team</t>
        </is>
      </c>
      <c r="H33" s="102">
        <f>SUM(H20:H26)</f>
        <v/>
      </c>
      <c r="K33" s="102">
        <f>SUM(K20:K26)</f>
        <v/>
      </c>
    </row>
    <row r="34" ht="15" customHeight="1" s="56">
      <c r="G34" s="97" t="inlineStr">
        <is>
          <t>Out-of-pocket per person (personal + any overrun)</t>
        </is>
      </c>
      <c r="H34" s="102">
        <f>(H33+MAX(0,-H32))/Compare!$B$6</f>
        <v/>
      </c>
      <c r="K34" s="102">
        <f>(K33+MAX(0,-K32))/Compare!$B$7</f>
        <v/>
      </c>
    </row>
    <row r="35" ht="15" customHeight="1" s="56">
      <c r="G35" s="97" t="inlineStr">
        <is>
          <t>Whole trip cost (university + personal)</t>
        </is>
      </c>
      <c r="H35" s="103">
        <f>H31+H33</f>
        <v/>
      </c>
      <c r="K35" s="103">
        <f>K31+K33</f>
        <v/>
      </c>
    </row>
    <row r="36" ht="15" customHeight="1" s="56">
      <c r="G36" s="99" t="inlineStr">
        <is>
          <t>Time in planes &amp; trains</t>
        </is>
      </c>
      <c r="H36" s="104">
        <f>D10+D11</f>
        <v/>
      </c>
      <c r="K36" s="104">
        <f>D10+D11</f>
        <v/>
      </c>
    </row>
    <row r="38" ht="15" customHeight="1" s="56">
      <c r="A38" s="72" t="inlineStr">
        <is>
          <t>Key facts</t>
        </is>
      </c>
    </row>
    <row r="39" ht="30" customHeight="1" s="56">
      <c r="A39" s="75" t="inlineStr">
        <is>
          <t>Contest</t>
        </is>
      </c>
      <c r="B39" s="74" t="inlineStr">
        <is>
          <t>Asia Shanghai Regional, 5–6 Dec 2026 (provisional), Shanghai University Baoshan campus (gym; metro line 7 Shangda Rd). 2025 pattern: day 1 registration 09:00–14:00, opening 14:00, warm-up 15:00–17:00; day 2 contest 09:00–14:00, awards 15:30–17:00.</t>
        </is>
      </c>
    </row>
    <row r="40" ht="15" customHeight="1" s="56">
      <c r="A40" s="75" t="inlineStr">
        <is>
          <t>Wildcard</t>
        </is>
      </c>
      <c r="B40" s="74" t="inlineStr">
        <is>
          <t>A Mongolian team needs a wildcard (外卡): email shu_icpc@163.com. The first round closed on 17 Oct in 2025 – ask now.</t>
        </is>
      </c>
    </row>
    <row r="41" ht="15" customHeight="1" s="56">
      <c r="A41" s="75" t="inlineStr">
        <is>
          <t>Why this plan</t>
        </is>
      </c>
      <c r="B41" s="74" t="inlineStr">
        <is>
          <t>No rail and no Beijing day: one flight each way at fares far below normal (sale fares – book soon). The hotel is the cheapest decent private rooms near the venue: far-away rooms are only ¥200–330 cheaper in total, which is not worth a 1–2 h commute.</t>
        </is>
      </c>
    </row>
    <row r="42" ht="15" customHeight="1" s="56">
      <c r="A42" s="75" t="inlineStr">
        <is>
          <t>Trade-off</t>
        </is>
      </c>
      <c r="B42" s="74" t="inlineStr">
        <is>
          <t>Seven nights away (more class missed, more meals), hand-baggage-only fare (carry-on only saves ~₮1.0M), a 08:00 flight home from Pudong (leave the hotel ~05:00). The nights after the contest (6, 7 Dec) are ~¥500 for both rooms – 'Fly out, train home' drops them.</t>
        </is>
      </c>
    </row>
    <row r="44" ht="15" customHeight="1" s="56">
      <c r="A44" s="72" t="inlineStr">
        <is>
          <t>Day-by-day plan</t>
        </is>
      </c>
    </row>
    <row r="45" ht="15" customHeight="1" s="56">
      <c r="A45" s="96" t="inlineStr">
        <is>
          <t>Date</t>
        </is>
      </c>
      <c r="B45" s="96" t="inlineStr">
        <is>
          <t>Sleep in</t>
        </is>
      </c>
      <c r="C45" s="96" t="inlineStr">
        <is>
          <t>What happens</t>
        </is>
      </c>
    </row>
    <row r="46" ht="15" customHeight="1" s="56">
      <c r="A46" s="74" t="inlineStr">
        <is>
          <t>Tue 1 Dec</t>
        </is>
      </c>
      <c r="B46" s="74" t="inlineStr">
        <is>
          <t>Shanghai</t>
        </is>
      </c>
      <c r="C46" s="74" t="inlineStr">
        <is>
          <t>Spring 9C6520 UB 13:00 → Shanghai Pudong 17:00; taxi / metro to Hi Inn (Hutai Road).</t>
        </is>
      </c>
    </row>
    <row r="47" ht="15" customHeight="1" s="56">
      <c r="A47" s="74" t="inlineStr">
        <is>
          <t>Wed 2 – Fri 4 Dec</t>
        </is>
      </c>
      <c r="B47" s="74" t="inlineStr">
        <is>
          <t>Shanghai</t>
        </is>
      </c>
      <c r="C47" s="74" t="inlineStr">
        <is>
          <t>Rest / practice days (or sightseeing, lectures).</t>
        </is>
      </c>
    </row>
    <row r="48" ht="15" customHeight="1" s="56">
      <c r="A48" s="74" t="inlineStr">
        <is>
          <t>Sat 5 Dec</t>
        </is>
      </c>
      <c r="B48" s="74" t="inlineStr">
        <is>
          <t>Shanghai</t>
        </is>
      </c>
      <c r="C48" s="74" t="inlineStr">
        <is>
          <t>Registration (09:00–14:00), opening 14:00, warm-up 15:00–17:00 at Shanghai University Baoshan (2025 pattern).</t>
        </is>
      </c>
    </row>
    <row r="49" ht="15" customHeight="1" s="56">
      <c r="A49" s="74" t="inlineStr">
        <is>
          <t>Sun 6 Dec</t>
        </is>
      </c>
      <c r="B49" s="74" t="inlineStr">
        <is>
          <t>Shanghai</t>
        </is>
      </c>
      <c r="C49" s="74" t="inlineStr">
        <is>
          <t>SHANGHAI REGIONAL contest day 09:00–14:00; analysis &amp; awards ~14:30–17:00.</t>
        </is>
      </c>
    </row>
    <row r="50" ht="15" customHeight="1" s="56">
      <c r="A50" s="74" t="inlineStr">
        <is>
          <t>Mon 7 Dec</t>
        </is>
      </c>
      <c r="B50" s="74" t="inlineStr">
        <is>
          <t>Shanghai</t>
        </is>
      </c>
      <c r="C50" s="74" t="inlineStr">
        <is>
          <t>Free day.</t>
        </is>
      </c>
    </row>
    <row r="51" ht="15" customHeight="1" s="56">
      <c r="A51" s="74" t="inlineStr">
        <is>
          <t>Tue 8 Dec</t>
        </is>
      </c>
      <c r="B51" s="74" t="inlineStr">
        <is>
          <t>Home</t>
        </is>
      </c>
      <c r="C51" s="74" t="inlineStr">
        <is>
          <t>Taxi to Pudong (leave ~05:00). Spring 9C6519 PVG 08:00 → UB 12:00.</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 Dec</t>
        </is>
      </c>
      <c r="B55" s="105" t="inlineStr">
        <is>
          <t>Home → Chinggis Khaan airport</t>
        </is>
      </c>
      <c r="C55" s="82" t="inlineStr">
        <is>
          <t>Taxi (~50 km)</t>
        </is>
      </c>
      <c r="D55" s="104" t="n">
        <v>0.04166666666666666</v>
      </c>
      <c r="E55" s="106" t="inlineStr">
        <is>
          <t>Leave ~10:00 for 13:00 flight</t>
        </is>
      </c>
      <c r="F55" s="107" t="n"/>
      <c r="G55" s="107" t="n"/>
      <c r="H55" s="107" t="n"/>
      <c r="I55" s="107" t="n"/>
      <c r="J55" s="107" t="n"/>
      <c r="K55" s="107" t="n"/>
      <c r="L55" s="107" t="n"/>
    </row>
    <row r="56" ht="15" customHeight="1" s="56">
      <c r="A56" s="105" t="inlineStr">
        <is>
          <t>1 Dec</t>
        </is>
      </c>
      <c r="B56" s="105" t="inlineStr">
        <is>
          <t>Ulaanbaatar → Shanghai (PVG)</t>
        </is>
      </c>
      <c r="C56" s="82" t="inlineStr">
        <is>
          <t>Spring 9C6520 13:00–17:00</t>
        </is>
      </c>
      <c r="D56" s="104" t="n">
        <v>0.1666666666666667</v>
      </c>
      <c r="E56" s="106" t="inlineStr">
        <is>
          <t>Same time zone as China (UTC+8)</t>
        </is>
      </c>
      <c r="F56" s="107" t="n"/>
      <c r="G56" s="107" t="n"/>
      <c r="H56" s="107" t="n"/>
      <c r="I56" s="107" t="n"/>
      <c r="J56" s="107" t="n"/>
      <c r="K56" s="107" t="n"/>
      <c r="L56" s="107" t="n"/>
    </row>
    <row r="57" ht="15" customHeight="1" s="56">
      <c r="A57" s="105" t="inlineStr">
        <is>
          <t>1 Dec</t>
        </is>
      </c>
      <c r="B57" s="105" t="inlineStr">
        <is>
          <t>PVG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 Dec</t>
        </is>
      </c>
      <c r="B58" s="105" t="inlineStr">
        <is>
          <t>PVG → hotel (Baoshan)</t>
        </is>
      </c>
      <c r="C58" s="82" t="inlineStr">
        <is>
          <t>Taxi (~65 km)</t>
        </is>
      </c>
      <c r="D58" s="104" t="n">
        <v>0.05208333333333334</v>
      </c>
      <c r="E58" s="106" t="inlineStr">
        <is>
          <t>Estimate; metro ~2 h</t>
        </is>
      </c>
      <c r="F58" s="107" t="n"/>
      <c r="G58" s="107" t="n"/>
      <c r="H58" s="107" t="n"/>
      <c r="I58" s="107" t="n"/>
      <c r="J58" s="107" t="n"/>
      <c r="K58" s="107" t="n"/>
      <c r="L58" s="107" t="n"/>
    </row>
    <row r="59" ht="15" customHeight="1" s="56">
      <c r="A59" s="105" t="inlineStr">
        <is>
          <t>5–6 Dec</t>
        </is>
      </c>
      <c r="B59" s="105" t="inlineStr">
        <is>
          <t>Hotel ↔ Shanghai University Baoshan (each way)</t>
        </is>
      </c>
      <c r="C59" s="82" t="inlineStr">
        <is>
          <t>Walk</t>
        </is>
      </c>
      <c r="D59" s="104" t="inlineStr">
        <is>
          <t>daily</t>
        </is>
      </c>
      <c r="E59" s="106" t="inlineStr">
        <is>
          <t>~25 min walk (1.8 km) or a ¥15 taxi</t>
        </is>
      </c>
      <c r="F59" s="107" t="n"/>
      <c r="G59" s="107" t="n"/>
      <c r="H59" s="107" t="n"/>
      <c r="I59" s="107" t="n"/>
      <c r="J59" s="107" t="n"/>
      <c r="K59" s="107" t="n"/>
      <c r="L59" s="107" t="n"/>
    </row>
    <row r="60" ht="15" customHeight="1" s="56">
      <c r="A60" s="105" t="inlineStr">
        <is>
          <t>8 Dec</t>
        </is>
      </c>
      <c r="B60" s="105" t="inlineStr">
        <is>
          <t>Hotel → PVG</t>
        </is>
      </c>
      <c r="C60" s="82" t="inlineStr">
        <is>
          <t>Taxi (~65 km)</t>
        </is>
      </c>
      <c r="D60" s="104" t="n">
        <v>0.05208333333333334</v>
      </c>
      <c r="E60" s="106" t="inlineStr">
        <is>
          <t>Leave ~05:00</t>
        </is>
      </c>
      <c r="F60" s="107" t="n"/>
      <c r="G60" s="107" t="n"/>
      <c r="H60" s="107" t="n"/>
      <c r="I60" s="107" t="n"/>
      <c r="J60" s="107" t="n"/>
      <c r="K60" s="107" t="n"/>
      <c r="L60" s="107" t="n"/>
    </row>
    <row r="61" ht="15" customHeight="1" s="56">
      <c r="A61" s="105" t="inlineStr">
        <is>
          <t>8 Dec</t>
        </is>
      </c>
      <c r="B61" s="105" t="inlineStr">
        <is>
          <t>PVG check-in &amp; security</t>
        </is>
      </c>
      <c r="C61" s="82" t="inlineStr">
        <is>
          <t>—</t>
        </is>
      </c>
      <c r="D61" s="104" t="n">
        <v>0.0625</v>
      </c>
      <c r="E61" s="106" t="inlineStr"/>
      <c r="F61" s="107" t="n"/>
      <c r="G61" s="107" t="n"/>
      <c r="H61" s="107" t="n"/>
      <c r="I61" s="107" t="n"/>
      <c r="J61" s="107" t="n"/>
      <c r="K61" s="107" t="n"/>
      <c r="L61" s="107" t="n"/>
    </row>
    <row r="62" ht="15" customHeight="1" s="56">
      <c r="A62" s="105" t="inlineStr">
        <is>
          <t>8 Dec</t>
        </is>
      </c>
      <c r="B62" s="105" t="inlineStr">
        <is>
          <t>Shanghai (PVG) → Ulaanbaatar</t>
        </is>
      </c>
      <c r="C62" s="82" t="inlineStr">
        <is>
          <t>Spring 9C6519 08:00–12:00</t>
        </is>
      </c>
      <c r="D62" s="104" t="n">
        <v>0.1666666666666667</v>
      </c>
      <c r="E62" s="106" t="inlineStr"/>
      <c r="F62" s="107" t="n"/>
      <c r="G62" s="107" t="n"/>
      <c r="H62" s="107" t="n"/>
      <c r="I62" s="107" t="n"/>
      <c r="J62" s="107" t="n"/>
      <c r="K62" s="107" t="n"/>
      <c r="L62" s="107" t="n"/>
    </row>
    <row r="63" ht="15" customHeight="1" s="56">
      <c r="A63" s="105" t="inlineStr">
        <is>
          <t>8 Dec</t>
        </is>
      </c>
      <c r="B63" s="105" t="inlineStr">
        <is>
          <t>Chinggis Khaan airport → home</t>
        </is>
      </c>
      <c r="C63" s="82" t="inlineStr">
        <is>
          <t>Taxi</t>
        </is>
      </c>
      <c r="D63" s="104" t="n">
        <v>0.04166666666666666</v>
      </c>
      <c r="E63" s="106" t="inlineStr"/>
      <c r="F63" s="107" t="n"/>
      <c r="G63" s="107" t="n"/>
      <c r="H63" s="107" t="n"/>
      <c r="I63" s="107" t="n"/>
      <c r="J63" s="107" t="n"/>
      <c r="K63" s="107" t="n"/>
      <c r="L63" s="107" t="n"/>
    </row>
    <row r="65" ht="15" customHeight="1" s="56">
      <c r="C65" s="59" t="inlineStr">
        <is>
          <t>Total door-to-door</t>
        </is>
      </c>
      <c r="D65" s="109">
        <f>SUM(D55:D63)</f>
        <v/>
      </c>
    </row>
  </sheetData>
  <mergeCells count="19">
    <mergeCell ref="E56:L56"/>
    <mergeCell ref="E58:L58"/>
    <mergeCell ref="C48:L48"/>
    <mergeCell ref="E55:L55"/>
    <mergeCell ref="E62:L62"/>
    <mergeCell ref="C49:L49"/>
    <mergeCell ref="B39:L39"/>
    <mergeCell ref="E63:L63"/>
    <mergeCell ref="B42:L42"/>
    <mergeCell ref="E60:L60"/>
    <mergeCell ref="E59:L59"/>
    <mergeCell ref="C47:L47"/>
    <mergeCell ref="B40:L40"/>
    <mergeCell ref="C50:L50"/>
    <mergeCell ref="E61:L61"/>
    <mergeCell ref="E57:L57"/>
    <mergeCell ref="C51:L51"/>
    <mergeCell ref="C46:L46"/>
    <mergeCell ref="B41:L4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Fly out, train home</t>
        </is>
      </c>
    </row>
    <row r="2" ht="15" customHeight="1" s="56">
      <c r="A2" s="62" t="inlineStr">
        <is>
          <t>Spring nonstop out on 1 Dec (5 bed nights before the contest in two cheap rooms), then the D10 overnight seat to Beijing (¥294) right after the contest and Air China to UB on 7 Dec: no hotel nights and no meals after the contest, home a day earlier.</t>
        </is>
      </c>
    </row>
    <row r="4" ht="15" customHeight="1" s="56">
      <c r="A4" s="60" t="inlineStr">
        <is>
          <t>Days in destination (meals &amp; local transport)</t>
        </is>
      </c>
      <c r="B4" s="76" t="n">
        <v>6</v>
      </c>
      <c r="C4" s="62" t="inlineStr">
        <is>
          <t>1 Dec afternoon → 7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Flies Tue / Sat only; Sat 5 Dec would land 17:00, after registration closes</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CA955 12:55 $172 pp (08:25 also $172; MIAT 11:30 $193, SlickTrip $197). Checked bag included on Air China. The D10 arrives 09:24 + ~75 min to PEK, about 1 h of buffer before check-in closes</t>
        </is>
      </c>
    </row>
    <row r="12" ht="15" customHeight="1" s="56">
      <c r="A12" s="79" t="inlineStr">
        <is>
          <t>Trains and baggage</t>
        </is>
      </c>
      <c r="B12" s="80" t="n"/>
      <c r="C12" s="80" t="n"/>
      <c r="D12" s="80" t="n"/>
      <c r="E12" s="80" t="n"/>
      <c r="F12" s="80" t="n"/>
      <c r="G12" s="80" t="n"/>
      <c r="H12" s="80" t="n"/>
      <c r="I12" s="80" t="n"/>
      <c r="J12" s="80" t="n"/>
      <c r="K12" s="80" t="n"/>
      <c r="L12" s="80" t="n"/>
    </row>
    <row r="13" ht="45" customHeight="1" s="56">
      <c r="A13" s="81" t="n"/>
      <c r="B13" s="111" t="inlineStr">
        <is>
          <t>Checked baggage Spring Airlines (base fare = 1 hand bag only), 1 bag per person, outbound only</t>
        </is>
      </c>
      <c r="C13" s="83" t="inlineStr">
        <is>
          <t>1 Dec</t>
        </is>
      </c>
      <c r="D13" s="84" t="n"/>
      <c r="E13" s="85" t="n">
        <v>300</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ASSUMPTION ~300 CNY per checked bag (Spring sells bags from ~80–270 CNY online by weight tier, more at the airport). The Air China fare home includes a checked bag. Carry-on only saves ~₮0.5M for 3</t>
        </is>
      </c>
    </row>
    <row r="14" ht="60" customHeight="1" s="56">
      <c r="A14" s="81" t="n"/>
      <c r="B14" s="111" t="inlineStr">
        <is>
          <t>Overnight train D10 Shanghai South 21:05 → Beijing South 09:24 (+1), 2nd-class seat</t>
        </is>
      </c>
      <c r="C14" s="83" t="inlineStr">
        <is>
          <t>6 Dec (night)</t>
        </is>
      </c>
      <c r="D14" s="84" t="n">
        <v>0.5131944444444444</v>
      </c>
      <c r="E14" s="85" t="n">
        <v>294</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 fixed): D10 2nd-class seat ¥294 (sleeper ¥442); cheaper still: Z282 Songjiang 19:17 → Fengtai 09:52 hard seat ¥177.5 (needs Songjiang by ~18:30, tight after the awards), T110 Shanghai 16:30 → Beijing 08:33 hard seat ¥177.5 (leave before the awards). D6 21:15 → Beijing station 09:25 ¥338, D8 19:08 ¥361. Sales open 22 Nov 14:45 (ChinaTicketOnline)</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1–6 Dec (5 nights)</t>
        </is>
      </c>
      <c r="D16" s="81" t="n"/>
      <c r="E16" s="85">
        <f>1284/5</f>
        <v/>
      </c>
      <c r="F16" s="86" t="inlineStr">
        <is>
          <t>CNY</t>
        </is>
      </c>
      <c r="G16" s="91" t="n">
        <v>5</v>
      </c>
      <c r="H16" s="88">
        <f>E16*G16*IF(F16="USD",Compare!$B$8,IF(F16="CNY",Compare!$B$9,IF(F16="HKD",Compare!$B$10,1)))</f>
        <v/>
      </c>
      <c r="I16" s="85">
        <f>1180/5</f>
        <v/>
      </c>
      <c r="J16" s="91" t="n">
        <v>5</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¥1,284 for 5 nights, 2 rooms, for 3 ppl; Jtour Inn Hotel Shanghai University (1.8 km, 8.6 from 142 reviews) ¥1,180 for 4 ppl (2 rooms of 2; it is not offered for 3 adults). Cheaper but worse: Yibai Gucun Park (5.2 km, 7.9) ¥1,040, Boshi Changzhong Rd (2.5 km, 8.2) ¥1,120. Compare Jenny's Apartment, 1 room for 3: ¥2,132.</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PVG → hotel (Baoshan), arrival</t>
        </is>
      </c>
      <c r="C20" s="83" t="inlineStr">
        <is>
          <t>1 Dec</t>
        </is>
      </c>
      <c r="D20" s="84" t="n"/>
      <c r="E20" s="113" t="n">
        <v>220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~220 CNY per car, ~65 km (metro lines 2 + 7 take ~2 h, ~10 CNY pp)</t>
        </is>
      </c>
    </row>
    <row r="21" ht="30" customHeight="1" s="56">
      <c r="A21" s="81" t="n"/>
      <c r="B21" s="111" t="inlineStr">
        <is>
          <t>Taxi Shanghai University → Shanghai South station</t>
        </is>
      </c>
      <c r="C21" s="83" t="inlineStr">
        <is>
          <t>6 Dec</t>
        </is>
      </c>
      <c r="D21" s="84" t="n"/>
      <c r="E21" s="113" t="n">
        <v>90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~90 CNY per car (~25 km); metro lines 7 + 3 / 1 is ~1 h, ~8 CNY pp</t>
        </is>
      </c>
    </row>
    <row r="22" ht="30" customHeight="1" s="56">
      <c r="A22" s="81" t="n"/>
      <c r="B22" s="111" t="inlineStr">
        <is>
          <t>Beijing South → PEK (metro line 4 + 10 + Airport Express, or taxi)</t>
        </is>
      </c>
      <c r="C22" s="83" t="inlineStr">
        <is>
          <t>7 Dec</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(~45 km, 60–75 min); metro + Airport Express is ~35 CNY pp. Leave the station by ~10:00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Shanghai regional registration fee (per team)</t>
        </is>
      </c>
      <c r="C25" s="83" t="inlineStr">
        <is>
          <t>TBC</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¥1,500/team in the 2025 Shanghai invitation (shu_icpc); 2026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D10+D11+D14</f>
        <v/>
      </c>
      <c r="K40" s="104">
        <f>D10+D11+D14</f>
        <v/>
      </c>
    </row>
    <row r="42" ht="15" customHeight="1" s="56">
      <c r="A42" s="72" t="inlineStr">
        <is>
          <t>Key facts</t>
        </is>
      </c>
    </row>
    <row r="43" ht="30" customHeight="1" s="56">
      <c r="A43" s="75" t="inlineStr">
        <is>
          <t>Contest</t>
        </is>
      </c>
      <c r="B43" s="74" t="inlineStr">
        <is>
          <t>Asia Shanghai Regional, 5–6 Dec 2026 (provisional), Shanghai University Baoshan campus (gym; metro line 7 Shangda Rd). 2025 pattern: day 1 registration 09:00–14:00, opening 14:00, warm-up 15:00–17:00; day 2 contest 09:00–14:00, awards 15:30–17:00.</t>
        </is>
      </c>
    </row>
    <row r="44" ht="15" customHeight="1" s="56">
      <c r="A44" s="75" t="inlineStr">
        <is>
          <t>Wildcard</t>
        </is>
      </c>
      <c r="B44" s="74" t="inlineStr">
        <is>
          <t>A Mongolian team needs a wildcard (外卡): email shu_icpc@163.com. The first round closed on 17 Oct in 2025 – ask now.</t>
        </is>
      </c>
    </row>
    <row r="45" ht="15" customHeight="1" s="56">
      <c r="A45" s="75" t="inlineStr">
        <is>
          <t>Why this plan</t>
        </is>
      </c>
      <c r="B45" s="74" t="inlineStr">
        <is>
          <t>Spring's sale fare is the cheapest way in, and the D10 seat + Air China costs about the same as the nonstop home once the two hotel nights, two days of meals and the Pudong taxi are counted. Home on 7 Dec instead of 8 Dec.</t>
        </is>
      </c>
    </row>
    <row r="46" ht="15" customHeight="1" s="56">
      <c r="A46" s="75" t="inlineStr">
        <is>
          <t>Trade-off</t>
        </is>
      </c>
      <c r="B46" s="74" t="inlineStr">
        <is>
          <t>Awards end ~17:00 and D10 leaves 21:05, so there is time to eat; ~12 h seated overnight in a train (sleeper ¥442 if you want to lie down) then straight to the airport: Beijing South → PEK needs ~75 min. Two tickets (Spring, Air China) so no through protection.</t>
        </is>
      </c>
    </row>
    <row r="48" ht="15" customHeight="1" s="56">
      <c r="A48" s="72" t="inlineStr">
        <is>
          <t>Day-by-day plan</t>
        </is>
      </c>
    </row>
    <row r="49" ht="15" customHeight="1" s="56">
      <c r="A49" s="96" t="inlineStr">
        <is>
          <t>Date</t>
        </is>
      </c>
      <c r="B49" s="96" t="inlineStr">
        <is>
          <t>Sleep in</t>
        </is>
      </c>
      <c r="C49" s="96" t="inlineStr">
        <is>
          <t>What happens</t>
        </is>
      </c>
    </row>
    <row r="50" ht="15" customHeight="1" s="56">
      <c r="A50" s="74" t="inlineStr">
        <is>
          <t>Tue 1 Dec</t>
        </is>
      </c>
      <c r="B50" s="74" t="inlineStr">
        <is>
          <t>Shanghai</t>
        </is>
      </c>
      <c r="C50" s="74" t="inlineStr">
        <is>
          <t>Spring 9C6520 UB 13:00 → Shanghai Pudong 17:00; taxi to Hi Inn (Hutai Road).</t>
        </is>
      </c>
    </row>
    <row r="51" ht="15" customHeight="1" s="56">
      <c r="A51" s="74" t="inlineStr">
        <is>
          <t>Wed 2 – Fri 4 Dec</t>
        </is>
      </c>
      <c r="B51" s="74" t="inlineStr">
        <is>
          <t>Shanghai</t>
        </is>
      </c>
      <c r="C51" s="74" t="inlineStr">
        <is>
          <t>Rest / practice days (or sightseeing, lectures).</t>
        </is>
      </c>
    </row>
    <row r="52" ht="15" customHeight="1" s="56">
      <c r="A52" s="74" t="inlineStr">
        <is>
          <t>Sat 5 Dec</t>
        </is>
      </c>
      <c r="B52" s="74" t="inlineStr">
        <is>
          <t>Shanghai</t>
        </is>
      </c>
      <c r="C52" s="74" t="inlineStr">
        <is>
          <t>Registration (09:00–14:00), opening 14:00, warm-up 15:00–17:00 at Shanghai University Baoshan (2025 pattern).</t>
        </is>
      </c>
    </row>
    <row r="53" ht="15" customHeight="1" s="56">
      <c r="A53" s="74" t="inlineStr">
        <is>
          <t>Sun 6 Dec</t>
        </is>
      </c>
      <c r="B53" s="74" t="inlineStr">
        <is>
          <t>Train</t>
        </is>
      </c>
      <c r="C53" s="74" t="inlineStr">
        <is>
          <t>SHANGHAI REGIONAL contest day 09:00–14:00; analysis &amp; awards ~14:30–17:00. Check out of the hotel in the morning (leave the bags at the venue / hotel desk), taxi to Shanghai South; D10 21:05 → Beijing South 09:24.</t>
        </is>
      </c>
    </row>
    <row r="54" ht="15" customHeight="1" s="56">
      <c r="A54" s="74" t="inlineStr">
        <is>
          <t>Mon 7 Dec</t>
        </is>
      </c>
      <c r="B54" s="74" t="inlineStr">
        <is>
          <t>Home</t>
        </is>
      </c>
      <c r="C54" s="74" t="inlineStr">
        <is>
          <t>Beijing South → PEK (metro + Airport Express). Air China CA955 12:55 → UB 15:05.</t>
        </is>
      </c>
    </row>
    <row r="56" ht="15" customHeight="1" s="56">
      <c r="A56" s="72" t="inlineStr">
        <is>
          <t>Door-to-door travel times</t>
        </is>
      </c>
    </row>
    <row r="57" ht="15" customHeight="1" s="56">
      <c r="A57" s="96" t="inlineStr">
        <is>
          <t>Date</t>
        </is>
      </c>
      <c r="B57" s="96" t="inlineStr">
        <is>
          <t>Leg</t>
        </is>
      </c>
      <c r="C57" s="96" t="inlineStr">
        <is>
          <t>Mode</t>
        </is>
      </c>
      <c r="D57" s="96" t="inlineStr">
        <is>
          <t>Expected time</t>
        </is>
      </c>
      <c r="E57" s="96" t="inlineStr">
        <is>
          <t>Notes</t>
        </is>
      </c>
    </row>
    <row r="58" ht="15" customHeight="1" s="56">
      <c r="A58" s="105" t="inlineStr">
        <is>
          <t>1 Dec</t>
        </is>
      </c>
      <c r="B58" s="105" t="inlineStr">
        <is>
          <t>Home → Chinggis Khaan airport</t>
        </is>
      </c>
      <c r="C58" s="82" t="inlineStr">
        <is>
          <t>Taxi (~50 km)</t>
        </is>
      </c>
      <c r="D58" s="104" t="n">
        <v>0.04166666666666666</v>
      </c>
      <c r="E58" s="106" t="inlineStr">
        <is>
          <t>Leave ~10:00 for the 13:00 flight</t>
        </is>
      </c>
      <c r="F58" s="107" t="n"/>
      <c r="G58" s="107" t="n"/>
      <c r="H58" s="107" t="n"/>
      <c r="I58" s="107" t="n"/>
      <c r="J58" s="107" t="n"/>
      <c r="K58" s="107" t="n"/>
      <c r="L58" s="107" t="n"/>
    </row>
    <row r="59" ht="15" customHeight="1" s="56">
      <c r="A59" s="105" t="inlineStr">
        <is>
          <t>1 Dec</t>
        </is>
      </c>
      <c r="B59" s="105" t="inlineStr">
        <is>
          <t>Ulaanbaatar → Shanghai (PVG)</t>
        </is>
      </c>
      <c r="C59" s="82" t="inlineStr">
        <is>
          <t>Spring 9C6520 13:00–17:00</t>
        </is>
      </c>
      <c r="D59" s="104" t="n">
        <v>0.1666666666666667</v>
      </c>
      <c r="E59" s="106" t="inlineStr">
        <is>
          <t>Same time zone as China (UTC+8)</t>
        </is>
      </c>
      <c r="F59" s="107" t="n"/>
      <c r="G59" s="107" t="n"/>
      <c r="H59" s="107" t="n"/>
      <c r="I59" s="107" t="n"/>
      <c r="J59" s="107" t="n"/>
      <c r="K59" s="107" t="n"/>
      <c r="L59" s="107" t="n"/>
    </row>
    <row r="60" ht="15" customHeight="1" s="56">
      <c r="A60" s="105" t="inlineStr">
        <is>
          <t>1 Dec</t>
        </is>
      </c>
      <c r="B60" s="105" t="inlineStr">
        <is>
          <t>PVG arrival: immigration, bags</t>
        </is>
      </c>
      <c r="C60" s="82" t="inlineStr">
        <is>
          <t>—</t>
        </is>
      </c>
      <c r="D60" s="104" t="n">
        <v>0.03125</v>
      </c>
      <c r="E60" s="106" t="inlineStr">
        <is>
          <t>Estimate</t>
        </is>
      </c>
      <c r="F60" s="107" t="n"/>
      <c r="G60" s="107" t="n"/>
      <c r="H60" s="107" t="n"/>
      <c r="I60" s="107" t="n"/>
      <c r="J60" s="107" t="n"/>
      <c r="K60" s="107" t="n"/>
      <c r="L60" s="107" t="n"/>
    </row>
    <row r="61" ht="15" customHeight="1" s="56">
      <c r="A61" s="105" t="inlineStr">
        <is>
          <t>1 Dec</t>
        </is>
      </c>
      <c r="B61" s="105" t="inlineStr">
        <is>
          <t>PVG → hotel (Baoshan)</t>
        </is>
      </c>
      <c r="C61" s="82" t="inlineStr">
        <is>
          <t>Taxi (~65 km)</t>
        </is>
      </c>
      <c r="D61" s="104" t="n">
        <v>0.05208333333333334</v>
      </c>
      <c r="E61" s="106" t="inlineStr">
        <is>
          <t>Estimate; metro ~2 h</t>
        </is>
      </c>
      <c r="F61" s="107" t="n"/>
      <c r="G61" s="107" t="n"/>
      <c r="H61" s="107" t="n"/>
      <c r="I61" s="107" t="n"/>
      <c r="J61" s="107" t="n"/>
      <c r="K61" s="107" t="n"/>
      <c r="L61" s="107" t="n"/>
    </row>
    <row r="62" ht="15" customHeight="1" s="56">
      <c r="A62" s="105" t="inlineStr">
        <is>
          <t>5–6 Dec</t>
        </is>
      </c>
      <c r="B62" s="105" t="inlineStr">
        <is>
          <t>Hotel ↔ Shanghai University Baoshan (each way)</t>
        </is>
      </c>
      <c r="C62" s="82" t="inlineStr">
        <is>
          <t>Walk</t>
        </is>
      </c>
      <c r="D62" s="104" t="inlineStr">
        <is>
          <t>daily</t>
        </is>
      </c>
      <c r="E62" s="106" t="inlineStr">
        <is>
          <t>~25 min walk (Hi Inn 1.8 km) or a ¥15 taxi</t>
        </is>
      </c>
      <c r="F62" s="107" t="n"/>
      <c r="G62" s="107" t="n"/>
      <c r="H62" s="107" t="n"/>
      <c r="I62" s="107" t="n"/>
      <c r="J62" s="107" t="n"/>
      <c r="K62" s="107" t="n"/>
      <c r="L62" s="107" t="n"/>
    </row>
    <row r="63" ht="15" customHeight="1" s="56">
      <c r="A63" s="105" t="inlineStr">
        <is>
          <t>6 Dec</t>
        </is>
      </c>
      <c r="B63" s="105" t="inlineStr">
        <is>
          <t>Campus → Shanghai South station</t>
        </is>
      </c>
      <c r="C63" s="82" t="inlineStr">
        <is>
          <t>Taxi / metro</t>
        </is>
      </c>
      <c r="D63" s="104" t="n">
        <v>0.04166666666666666</v>
      </c>
      <c r="E63" s="106" t="inlineStr">
        <is>
          <t>Leave ~18:30 for the 21:05 train</t>
        </is>
      </c>
      <c r="F63" s="107" t="n"/>
      <c r="G63" s="107" t="n"/>
      <c r="H63" s="107" t="n"/>
      <c r="I63" s="107" t="n"/>
      <c r="J63" s="107" t="n"/>
      <c r="K63" s="107" t="n"/>
      <c r="L63" s="107" t="n"/>
    </row>
    <row r="64" ht="15" customHeight="1" s="56">
      <c r="A64" s="105" t="inlineStr">
        <is>
          <t>6–7 Dec</t>
        </is>
      </c>
      <c r="B64" s="105" t="inlineStr">
        <is>
          <t>Shanghai South → Beijing South</t>
        </is>
      </c>
      <c r="C64" s="82" t="inlineStr">
        <is>
          <t>D10 seat 21:05–09:24</t>
        </is>
      </c>
      <c r="D64" s="104" t="n">
        <v>0.5131944444444444</v>
      </c>
      <c r="E64" s="106" t="inlineStr">
        <is>
          <t>Overnight</t>
        </is>
      </c>
      <c r="F64" s="107" t="n"/>
      <c r="G64" s="107" t="n"/>
      <c r="H64" s="107" t="n"/>
      <c r="I64" s="107" t="n"/>
      <c r="J64" s="107" t="n"/>
      <c r="K64" s="107" t="n"/>
      <c r="L64" s="107" t="n"/>
    </row>
    <row r="65" ht="15" customHeight="1" s="56">
      <c r="A65" s="105" t="inlineStr">
        <is>
          <t>7 Dec</t>
        </is>
      </c>
      <c r="B65" s="105" t="inlineStr">
        <is>
          <t>Beijing South → PEK</t>
        </is>
      </c>
      <c r="C65" s="82" t="inlineStr">
        <is>
          <t>Metro line 4 + 10 + Airport Express / taxi</t>
        </is>
      </c>
      <c r="D65" s="104" t="n">
        <v>0.05208333333333334</v>
      </c>
      <c r="E65" s="106" t="inlineStr">
        <is>
          <t>Be at PEK by ~11:00</t>
        </is>
      </c>
      <c r="F65" s="107" t="n"/>
      <c r="G65" s="107" t="n"/>
      <c r="H65" s="107" t="n"/>
      <c r="I65" s="107" t="n"/>
      <c r="J65" s="107" t="n"/>
      <c r="K65" s="107" t="n"/>
      <c r="L65" s="107" t="n"/>
    </row>
    <row r="66" ht="15" customHeight="1" s="56">
      <c r="A66" s="105" t="inlineStr">
        <is>
          <t>7 Dec</t>
        </is>
      </c>
      <c r="B66" s="105" t="inlineStr">
        <is>
          <t>PEK check-in &amp; security</t>
        </is>
      </c>
      <c r="C66" s="82" t="inlineStr">
        <is>
          <t>—</t>
        </is>
      </c>
      <c r="D66" s="104" t="n">
        <v>0.0625</v>
      </c>
      <c r="E66" s="106" t="inlineStr">
        <is>
          <t>Estimate</t>
        </is>
      </c>
      <c r="F66" s="107" t="n"/>
      <c r="G66" s="107" t="n"/>
      <c r="H66" s="107" t="n"/>
      <c r="I66" s="107" t="n"/>
      <c r="J66" s="107" t="n"/>
      <c r="K66" s="107" t="n"/>
      <c r="L66" s="107" t="n"/>
    </row>
    <row r="67" ht="15" customHeight="1" s="56">
      <c r="A67" s="105" t="inlineStr">
        <is>
          <t>7 Dec</t>
        </is>
      </c>
      <c r="B67" s="105" t="inlineStr">
        <is>
          <t>Beijing (PEK) → Ulaanbaatar</t>
        </is>
      </c>
      <c r="C67" s="82" t="inlineStr">
        <is>
          <t>Air China CA955 12:55–15:05</t>
        </is>
      </c>
      <c r="D67" s="104" t="n">
        <v>0.09027777777777778</v>
      </c>
      <c r="E67" s="106" t="n"/>
      <c r="F67" s="107" t="n"/>
      <c r="G67" s="107" t="n"/>
      <c r="H67" s="107" t="n"/>
      <c r="I67" s="107" t="n"/>
      <c r="J67" s="107" t="n"/>
      <c r="K67" s="107" t="n"/>
      <c r="L67" s="107" t="n"/>
    </row>
    <row r="68" ht="15" customHeight="1" s="56">
      <c r="A68" s="105" t="inlineStr">
        <is>
          <t>7 Dec</t>
        </is>
      </c>
      <c r="B68" s="105" t="inlineStr">
        <is>
          <t>Chinggis Khaan airport → home</t>
        </is>
      </c>
      <c r="C68" s="82" t="inlineStr">
        <is>
          <t>Taxi</t>
        </is>
      </c>
      <c r="D68" s="104" t="n">
        <v>0.04166666666666666</v>
      </c>
      <c r="E68" s="106" t="n"/>
      <c r="F68" s="107" t="n"/>
      <c r="G68" s="107" t="n"/>
      <c r="H68" s="107" t="n"/>
      <c r="I68" s="107" t="n"/>
      <c r="J68" s="107" t="n"/>
      <c r="K68" s="107" t="n"/>
      <c r="L68" s="107" t="n"/>
    </row>
    <row r="69" ht="15" customHeight="1" s="56">
      <c r="A69" s="105" t="n"/>
      <c r="B69" s="105" t="n"/>
      <c r="C69" s="82" t="n"/>
      <c r="D69" s="104" t="n"/>
      <c r="E69" s="106" t="n"/>
      <c r="F69" s="107" t="n"/>
      <c r="G69" s="107" t="n"/>
      <c r="H69" s="107" t="n"/>
      <c r="I69" s="107" t="n"/>
      <c r="J69" s="107" t="n"/>
      <c r="K69" s="107" t="n"/>
      <c r="L69" s="107" t="n"/>
    </row>
    <row r="71" ht="15" customHeight="1" s="56">
      <c r="C71" s="59" t="inlineStr">
        <is>
          <t>Total door-to-door</t>
        </is>
      </c>
      <c r="D71" s="109">
        <f>SUM(D58:D68)</f>
        <v/>
      </c>
    </row>
  </sheetData>
  <mergeCells count="21">
    <mergeCell ref="E58:L58"/>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4"/>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Train (no sleeper)</t>
        </is>
      </c>
    </row>
    <row r="2" ht="15" customHeight="1" s="56">
      <c r="A2" s="62" t="inlineStr">
        <is>
          <t>As 'Shanghai – Sleeper' but back by day G-train from Hongqiao after the awards and a Beijing hotel night near Beijing South.</t>
        </is>
      </c>
    </row>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sleeper</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45" customHeight="1" s="56">
      <c r="A14" s="81" t="n"/>
      <c r="B14" s="111" t="inlineStr">
        <is>
          <t>High-speed rail Shanghai Hongqiao 19:25 → Beijing South 23:49 (G32), 2nd class</t>
        </is>
      </c>
      <c r="C14" s="83" t="inlineStr">
        <is>
          <t>6 Dec (evening)</t>
        </is>
      </c>
      <c r="D14" s="84" t="n">
        <v>0.1833333333333333</v>
      </c>
      <c r="E14" s="85" t="n">
        <v>598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G32 ¥598; G30 18:52 → 23:21 ¥626 (tight after 17:00 awards); G808 17:25 → 23:16 ¥498 too early</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3–6 Dec (3 nights)</t>
        </is>
      </c>
      <c r="D16" s="81" t="n"/>
      <c r="E16" s="85">
        <f>820/3</f>
        <v/>
      </c>
      <c r="F16" s="86" t="inlineStr">
        <is>
          <t>CNY</t>
        </is>
      </c>
      <c r="G16" s="91" t="n">
        <v>3</v>
      </c>
      <c r="H16" s="88">
        <f>E16*G16*IF(F16="USD",Compare!$B$8,IF(F16="CNY",Compare!$B$9,IF(F16="HKD",Compare!$B$10,1)))</f>
        <v/>
      </c>
      <c r="I16" s="85">
        <f>708/3</f>
        <v/>
      </c>
      <c r="J16" s="91" t="n">
        <v>3</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¥820 for 3 nights, 2 rooms, for 3 ppl; Jtour Inn Hotel Shanghai University (1.8 km, 8.6 from 142 reviews) ¥708 for 4 ppl (2 rooms of 2; it is not offered for 3 adults). Cheaper but worse: Yibai Gucun Park (5.2 km, 7.9) ¥624, Boshi Changzhong Rd (2.5 km, 8.2) ¥684. Compare Jenny's Apartment, 1 room for 3: ¥1,375.</t>
        </is>
      </c>
    </row>
    <row r="17" ht="30" customHeight="1" s="56">
      <c r="A17" s="81" t="n"/>
      <c r="B17" s="111" t="inlineStr">
        <is>
          <t>Beijing budget hotel near Beijing South (3 ppl 1 room; 4 ppl 2 rooms)</t>
        </is>
      </c>
      <c r="C17" s="83" t="inlineStr">
        <is>
          <t>6 Dec (1 night)</t>
        </is>
      </c>
      <c r="D17" s="81" t="n"/>
      <c r="E17" s="113" t="n">
        <v>300</v>
      </c>
      <c r="F17" s="86" t="inlineStr">
        <is>
          <t>CNY</t>
        </is>
      </c>
      <c r="G17" s="91" t="n">
        <v>1</v>
      </c>
      <c r="H17" s="88">
        <f>E17*G17*IF(F17="USD",Compare!$B$8,IF(F17="CNY",Compare!$B$9,IF(F17="HKD",Compare!$B$10,1)))</f>
        <v/>
      </c>
      <c r="I17" s="113" t="n">
        <v>600</v>
      </c>
      <c r="J17" s="91" t="n">
        <v>1</v>
      </c>
      <c r="K17" s="88">
        <f>I17*J17*IF(F17="USD",Compare!$B$8,IF(F17="CNY",Compare!$B$9,IF(F17="HKD",Compare!$B$10,1)))</f>
        <v/>
      </c>
      <c r="L17" s="112" t="inlineStr">
        <is>
          <t>ASSUMPTION ~300 CNY/room (Booking.com 6–7 Nov quotes: 227–366 CNY/night for 3 people)</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15" customHeight="1" s="56">
      <c r="A21" s="81" t="n"/>
      <c r="B21" s="111" t="inlineStr">
        <is>
          <t>Taxi PEK → Beijing South</t>
        </is>
      </c>
      <c r="C21" s="83" t="inlineStr">
        <is>
          <t>3 Dec</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(~45 km)</t>
        </is>
      </c>
    </row>
    <row r="22" ht="15" customHeight="1" s="56">
      <c r="A22" s="81" t="n"/>
      <c r="B22" s="111" t="inlineStr">
        <is>
          <t>Taxi Shanghai station → hotel</t>
        </is>
      </c>
      <c r="C22" s="83" t="inlineStr">
        <is>
          <t>3 Dec</t>
        </is>
      </c>
      <c r="D22" s="84" t="n"/>
      <c r="E22" s="113" t="n">
        <v>80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~80 CNY per car, ~25 km</t>
        </is>
      </c>
    </row>
    <row r="23" ht="30" customHeight="1" s="56">
      <c r="A23" s="81" t="n"/>
      <c r="B23" s="111" t="inlineStr">
        <is>
          <t>Taxi campus → Hongqiao station</t>
        </is>
      </c>
      <c r="C23" s="83" t="inlineStr">
        <is>
          <t>6 Dec</t>
        </is>
      </c>
      <c r="D23" s="84" t="n"/>
      <c r="E23" s="113" t="n">
        <v>110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~110 CNY per car, ~35 km (metro line 7 + 2 ~1 h 15 min)</t>
        </is>
      </c>
    </row>
    <row r="24" ht="15" customHeight="1" s="56">
      <c r="A24" s="81" t="n"/>
      <c r="B24" s="111" t="inlineStr">
        <is>
          <t>Taxi hotel (Beijing South) → PEK</t>
        </is>
      </c>
      <c r="C24" s="83" t="inlineStr">
        <is>
          <t>7 Dec</t>
        </is>
      </c>
      <c r="D24" s="84" t="n"/>
      <c r="E24" s="113" t="n">
        <v>150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 CNY per car, ~50 km, leave ~09:30</t>
        </is>
      </c>
    </row>
    <row r="25" ht="15" customHeight="1" s="56">
      <c r="A25" s="94" t="inlineStr">
        <is>
          <t>PAID PERSONALLY (university won't cover)</t>
        </is>
      </c>
      <c r="B25" s="95" t="n"/>
      <c r="C25" s="95" t="n"/>
      <c r="D25" s="95" t="n"/>
      <c r="E25" s="95" t="n"/>
      <c r="F25" s="95" t="n"/>
      <c r="G25" s="95" t="n"/>
      <c r="H25" s="95" t="n"/>
      <c r="I25" s="95" t="n"/>
      <c r="J25" s="95" t="n"/>
      <c r="K25" s="95" t="n"/>
      <c r="L25" s="95" t="n"/>
    </row>
    <row r="26" ht="15" customHeight="1" s="56">
      <c r="A26" s="79" t="inlineStr">
        <is>
          <t>Contest fee</t>
        </is>
      </c>
      <c r="B26" s="80" t="n"/>
      <c r="C26" s="80" t="n"/>
      <c r="D26" s="80" t="n"/>
      <c r="E26" s="80" t="n"/>
      <c r="F26" s="80" t="n"/>
      <c r="G26" s="80" t="n"/>
      <c r="H26" s="80" t="n"/>
      <c r="I26" s="80" t="n"/>
      <c r="J26" s="80" t="n"/>
      <c r="K26" s="80" t="n"/>
      <c r="L26" s="80" t="n"/>
    </row>
    <row r="27" ht="22.35" customHeight="1" s="56">
      <c r="A27" s="81" t="n"/>
      <c r="B27" s="82" t="inlineStr">
        <is>
          <t>Shanghai regional registration fee (per team)</t>
        </is>
      </c>
      <c r="C27" s="83" t="inlineStr">
        <is>
          <t>TBC</t>
        </is>
      </c>
      <c r="D27" s="81" t="n"/>
      <c r="E27" s="113" t="n">
        <v>1500</v>
      </c>
      <c r="F27" s="86" t="inlineStr">
        <is>
          <t>CNY</t>
        </is>
      </c>
      <c r="G27" s="91" t="n">
        <v>1</v>
      </c>
      <c r="H27" s="88">
        <f>E27*G27*IF(F27="USD",Compare!$B$8,IF(F27="CNY",Compare!$B$9,IF(F27="HKD",Compare!$B$10,1)))</f>
        <v/>
      </c>
      <c r="I27" s="114">
        <f>E27</f>
        <v/>
      </c>
      <c r="J27" s="91" t="n">
        <v>1</v>
      </c>
      <c r="K27" s="88">
        <f>I27*J27*IF(F27="USD",Compare!$B$8,IF(F27="CNY",Compare!$B$9,IF(F27="HKD",Compare!$B$10,1)))</f>
        <v/>
      </c>
      <c r="L27" s="90" t="inlineStr">
        <is>
          <t>¥1,500/team in the 2025 Shanghai invitation (shu_icpc); 2026 invitation not seen</t>
        </is>
      </c>
    </row>
    <row r="28" ht="15" customHeight="1" s="56">
      <c r="A28" s="79" t="inlineStr">
        <is>
          <t>Other</t>
        </is>
      </c>
      <c r="B28" s="80" t="n"/>
      <c r="C28" s="80" t="n"/>
      <c r="D28" s="80" t="n"/>
      <c r="E28" s="80" t="n"/>
      <c r="F28" s="80" t="n"/>
      <c r="G28" s="80" t="n"/>
      <c r="H28" s="80" t="n"/>
      <c r="I28" s="80" t="n"/>
      <c r="J28" s="80" t="n"/>
      <c r="K28" s="80" t="n"/>
      <c r="L28" s="80" t="n"/>
    </row>
    <row r="29" ht="15" customHeight="1" s="56">
      <c r="A29" s="81" t="n"/>
      <c r="B29" s="82" t="inlineStr">
        <is>
          <t>Taxi to/from Chinggis Khaan airport (UB), per trip</t>
        </is>
      </c>
      <c r="C29" s="83" t="inlineStr">
        <is>
          <t>out &amp; back</t>
        </is>
      </c>
      <c r="D29" s="84" t="n">
        <v>0.04166666666666666</v>
      </c>
      <c r="E29" s="92" t="n">
        <v>100000</v>
      </c>
      <c r="F29" s="86" t="inlineStr">
        <is>
          <t>MNT</t>
        </is>
      </c>
      <c r="G29" s="91" t="n">
        <v>2</v>
      </c>
      <c r="H29" s="88">
        <f>E29*G29*IF(F29="USD",Compare!$B$8,IF(F29="CNY",Compare!$B$9,IF(F29="HKD",Compare!$B$10,1)))</f>
        <v/>
      </c>
      <c r="I29" s="93">
        <f>E29</f>
        <v/>
      </c>
      <c r="J29" s="91" t="n">
        <v>2</v>
      </c>
      <c r="K29" s="88">
        <f>I29*J29*IF(F29="USD",Compare!$B$8,IF(F29="CNY",Compare!$B$9,IF(F29="HKD",Compare!$B$10,1)))</f>
        <v/>
      </c>
      <c r="L29" s="90" t="inlineStr">
        <is>
          <t>ASSUMPTION 100k MNT per trip for the group</t>
        </is>
      </c>
    </row>
    <row r="30" ht="15" customHeight="1" s="56">
      <c r="A30" s="81" t="n"/>
      <c r="B30" s="82" t="inlineStr">
        <is>
          <t>Travel medical insurance</t>
        </is>
      </c>
      <c r="C30" s="83" t="n"/>
      <c r="D30" s="81" t="n"/>
      <c r="E30" s="92" t="n">
        <v>30000</v>
      </c>
      <c r="F30" s="86" t="inlineStr">
        <is>
          <t>MNT</t>
        </is>
      </c>
      <c r="G30" s="87">
        <f>Compare!$B$6</f>
        <v/>
      </c>
      <c r="H30" s="88">
        <f>E30*G30*IF(F30="USD",Compare!$B$8,IF(F30="CNY",Compare!$B$9,IF(F30="HKD",Compare!$B$10,1)))</f>
        <v/>
      </c>
      <c r="I30" s="93">
        <f>E30</f>
        <v/>
      </c>
      <c r="J30" s="87">
        <f>Compare!$B$7</f>
        <v/>
      </c>
      <c r="K30" s="88">
        <f>I30*J30*IF(F30="USD",Compare!$B$8,IF(F30="CNY",Compare!$B$9,IF(F30="HKD",Compare!$B$10,1)))</f>
        <v/>
      </c>
      <c r="L30" s="90" t="inlineStr">
        <is>
          <t>ASSUMPTION ~30k MNT per person, Mongolian insurer</t>
        </is>
      </c>
    </row>
    <row r="31" ht="15" customHeight="1" s="56">
      <c r="A31" s="81" t="n"/>
      <c r="B31" s="82" t="inlineStr">
        <is>
          <t>Mobile data eSIM</t>
        </is>
      </c>
      <c r="C31" s="83" t="n"/>
      <c r="D31" s="81" t="n"/>
      <c r="E31" s="92" t="n">
        <v>10</v>
      </c>
      <c r="F31" s="86" t="inlineStr">
        <is>
          <t>USD</t>
        </is>
      </c>
      <c r="G31" s="87">
        <f>Compare!$B$6</f>
        <v/>
      </c>
      <c r="H31" s="88">
        <f>E31*G31*IF(F31="USD",Compare!$B$8,IF(F31="CNY",Compare!$B$9,IF(F31="HKD",Compare!$B$10,1)))</f>
        <v/>
      </c>
      <c r="I31" s="93">
        <f>E31</f>
        <v/>
      </c>
      <c r="J31" s="87">
        <f>Compare!$B$7</f>
        <v/>
      </c>
      <c r="K31" s="88">
        <f>I31*J31*IF(F31="USD",Compare!$B$8,IF(F31="CNY",Compare!$B$9,IF(F31="HKD",Compare!$B$10,1)))</f>
        <v/>
      </c>
      <c r="L31" s="90" t="inlineStr">
        <is>
          <t>ASSUMPTION ~$10 pp</t>
        </is>
      </c>
    </row>
    <row r="32" ht="22.35" customHeight="1" s="56">
      <c r="A32" s="81" t="n"/>
      <c r="B32" s="82" t="inlineStr">
        <is>
          <t>Visa</t>
        </is>
      </c>
      <c r="C32" s="83" t="n"/>
      <c r="D32" s="81" t="n"/>
      <c r="E32" s="85" t="n">
        <v>0</v>
      </c>
      <c r="F32" s="86" t="inlineStr">
        <is>
          <t>MNT</t>
        </is>
      </c>
      <c r="G32" s="87">
        <f>Compare!$B$6</f>
        <v/>
      </c>
      <c r="H32" s="88">
        <f>E32*G32*IF(F32="USD",Compare!$B$8,IF(F32="CNY",Compare!$B$9,IF(F32="HKD",Compare!$B$10,1)))</f>
        <v/>
      </c>
      <c r="I32" s="89">
        <f>E32</f>
        <v/>
      </c>
      <c r="J32" s="87">
        <f>Compare!$B$7</f>
        <v/>
      </c>
      <c r="K32" s="88">
        <f>I32*J32*IF(F32="USD",Compare!$B$8,IF(F32="CNY",Compare!$B$9,IF(F32="HKD",Compare!$B$10,1)))</f>
        <v/>
      </c>
      <c r="L32" s="90" t="inlineStr">
        <is>
          <t>Mongolian passports: visa-free (mainland China up to 30 days; Hong Kong up to 14 days)</t>
        </is>
      </c>
    </row>
    <row r="34" ht="15" customHeight="1" s="56">
      <c r="G34" s="60" t="n"/>
      <c r="H34" s="96" t="inlineStr">
        <is>
          <t>3 people – UNFUNDED</t>
        </is>
      </c>
      <c r="K34" s="96" t="inlineStr">
        <is>
          <t>4 people – FUNDED ₮12M</t>
        </is>
      </c>
    </row>
    <row r="35" ht="15" customHeight="1" s="56">
      <c r="G35" s="97" t="inlineStr">
        <is>
          <t>University-paid subtotal</t>
        </is>
      </c>
      <c r="H35" s="98">
        <f>SUM(H9:H24)</f>
        <v/>
      </c>
      <c r="K35" s="98">
        <f>SUM(K9:K24)</f>
        <v/>
      </c>
    </row>
    <row r="36" ht="15" customHeight="1" s="56">
      <c r="G36" s="99" t="inlineStr">
        <is>
          <t>Contingency</t>
        </is>
      </c>
      <c r="H36" s="100">
        <f>H35*Compare!$B$11</f>
        <v/>
      </c>
      <c r="K36" s="100">
        <f>K35*Compare!$B$11</f>
        <v/>
      </c>
    </row>
    <row r="37" ht="15" customHeight="1" s="56">
      <c r="G37" s="97" t="inlineStr">
        <is>
          <t>University-paid total incl. contingency</t>
        </is>
      </c>
      <c r="H37" s="98">
        <f>H35+H36</f>
        <v/>
      </c>
      <c r="K37" s="98">
        <f>K35+K36</f>
        <v/>
      </c>
    </row>
    <row r="38" ht="15" customHeight="1" s="56">
      <c r="G38" s="97" t="inlineStr">
        <is>
          <t>Funding left (negative = over)</t>
        </is>
      </c>
      <c r="H38" s="101">
        <f>Compare!$B$12-H37</f>
        <v/>
      </c>
      <c r="K38" s="101">
        <f>Compare!$B$5-K37</f>
        <v/>
      </c>
    </row>
    <row r="39" ht="15" customHeight="1" s="56">
      <c r="G39" s="97" t="inlineStr">
        <is>
          <t>Personal costs – team</t>
        </is>
      </c>
      <c r="H39" s="102">
        <f>SUM(H26:H32)</f>
        <v/>
      </c>
      <c r="K39" s="102">
        <f>SUM(K26:K32)</f>
        <v/>
      </c>
    </row>
    <row r="40" ht="15" customHeight="1" s="56">
      <c r="G40" s="97" t="inlineStr">
        <is>
          <t>Out-of-pocket per person (personal + any overrun)</t>
        </is>
      </c>
      <c r="H40" s="102">
        <f>(H39+MAX(0,-H38))/Compare!$B$6</f>
        <v/>
      </c>
      <c r="K40" s="102">
        <f>(K39+MAX(0,-K38))/Compare!$B$7</f>
        <v/>
      </c>
    </row>
    <row r="41" ht="15" customHeight="1" s="56">
      <c r="G41" s="97" t="inlineStr">
        <is>
          <t>Whole trip cost (university + personal)</t>
        </is>
      </c>
      <c r="H41" s="103">
        <f>H37+H39</f>
        <v/>
      </c>
      <c r="K41" s="103">
        <f>K37+K39</f>
        <v/>
      </c>
    </row>
    <row r="42" ht="15" customHeight="1" s="56">
      <c r="G42" s="99" t="inlineStr">
        <is>
          <t>Time in planes &amp; trains</t>
        </is>
      </c>
      <c r="H42" s="104">
        <f>D10+D11+D13+D14</f>
        <v/>
      </c>
      <c r="K42" s="104">
        <f>D10+D11+D13+D14</f>
        <v/>
      </c>
    </row>
    <row r="44" ht="15" customHeight="1" s="56">
      <c r="A44" s="72" t="inlineStr">
        <is>
          <t>Key facts</t>
        </is>
      </c>
    </row>
    <row r="45" ht="30" customHeight="1" s="56">
      <c r="A45" s="75" t="inlineStr">
        <is>
          <t>Contest</t>
        </is>
      </c>
      <c r="B45" s="74" t="inlineStr">
        <is>
          <t>Asia Shanghai Regional, 5–6 Dec 2026 (provisional), Shanghai University Baoshan campus (gym; metro line 7 Shangda Rd). 2025 pattern: day 1 registration 09:00–14:00, opening 14:00, warm-up 15:00–17:00; day 2 contest 09:00–14:00, awards 15:30–17:00.</t>
        </is>
      </c>
    </row>
    <row r="46" ht="15" customHeight="1" s="56">
      <c r="A46" s="75" t="inlineStr">
        <is>
          <t>Wildcard</t>
        </is>
      </c>
      <c r="B46" s="74" t="inlineStr">
        <is>
          <t>A Mongolian team needs a wildcard (外卡): email shu_icpc@163.com. The first round closed on 17 Oct in 2025 – ask now.</t>
        </is>
      </c>
    </row>
    <row r="47" ht="15" customHeight="1" s="56">
      <c r="A47" s="75" t="inlineStr">
        <is>
          <t>Why this plan</t>
        </is>
      </c>
      <c r="B47" s="74" t="inlineStr">
        <is>
          <t>Sleeps in a bed both nights and arrives in Beijing at 23:49 with time to rest before the 12:55 flight.</t>
        </is>
      </c>
    </row>
    <row r="48" ht="15" customHeight="1" s="56">
      <c r="A48" s="75" t="inlineStr">
        <is>
          <t>Trade-off</t>
        </is>
      </c>
      <c r="B48" s="74" t="inlineStr">
        <is>
          <t>A Beijing hotel night (¥300) and a dearer day train (¥598 vs ¥361 seat) – about ₮0.63M more than the sleeper plan (3 ppl).</t>
        </is>
      </c>
    </row>
    <row r="50" ht="15" customHeight="1" s="56">
      <c r="A50" s="72" t="inlineStr">
        <is>
          <t>Day-by-day plan</t>
        </is>
      </c>
    </row>
    <row r="51" ht="15" customHeight="1" s="56">
      <c r="A51" s="96" t="inlineStr">
        <is>
          <t>Date</t>
        </is>
      </c>
      <c r="B51" s="96" t="inlineStr">
        <is>
          <t>Sleep in</t>
        </is>
      </c>
      <c r="C51" s="96" t="inlineStr">
        <is>
          <t>What happens</t>
        </is>
      </c>
    </row>
    <row r="52" ht="15" customHeight="1" s="56">
      <c r="A52" s="74" t="inlineStr">
        <is>
          <t>Thu 3 Dec</t>
        </is>
      </c>
      <c r="B52" s="74" t="inlineStr">
        <is>
          <t>Shanghai</t>
        </is>
      </c>
      <c r="C52" s="74" t="inlineStr">
        <is>
          <t>MIAT OM223 UB 07:30 → Beijing 09:45; taxi to Beijing South; G17 13:00 → Shanghai 17:35; taxi to Hi Inn (Hutai Road).</t>
        </is>
      </c>
    </row>
    <row r="53" ht="15" customHeight="1" s="56">
      <c r="A53" s="74" t="inlineStr">
        <is>
          <t>Fri 4 Dec</t>
        </is>
      </c>
      <c r="B53" s="74" t="inlineStr">
        <is>
          <t>Shanghai</t>
        </is>
      </c>
      <c r="C53" s="74" t="inlineStr">
        <is>
          <t>Rest / practice day.</t>
        </is>
      </c>
    </row>
    <row r="54" ht="15" customHeight="1" s="56">
      <c r="A54" s="74" t="inlineStr">
        <is>
          <t>Sat 5 Dec</t>
        </is>
      </c>
      <c r="B54" s="74" t="inlineStr">
        <is>
          <t>Shanghai</t>
        </is>
      </c>
      <c r="C54" s="74" t="inlineStr">
        <is>
          <t>Registration (09:00–14:00), opening 14:00, warm-up 15:00–17:00 at Shanghai University Baoshan (2025 pattern).</t>
        </is>
      </c>
    </row>
    <row r="55" ht="15" customHeight="1" s="56">
      <c r="A55" s="74" t="inlineStr">
        <is>
          <t>Sun 6 Dec</t>
        </is>
      </c>
      <c r="B55" s="74" t="inlineStr">
        <is>
          <t>Beijing</t>
        </is>
      </c>
      <c r="C55" s="74" t="inlineStr">
        <is>
          <t>SHANGHAI REGIONAL contest day 09:00–14:00; awards ~15:30–17:00. Taxi to Hongqiao; G32 19:25 → Beijing South 23:49; hotel.</t>
        </is>
      </c>
    </row>
    <row r="56" ht="15" customHeight="1" s="56">
      <c r="A56" s="74" t="inlineStr">
        <is>
          <t>Mon 7 Dec</t>
        </is>
      </c>
      <c r="B56" s="74" t="inlineStr">
        <is>
          <t>Home</t>
        </is>
      </c>
      <c r="C56" s="74" t="inlineStr">
        <is>
          <t>Taxi to PEK (leave ~09:30). Air China CA955 12:55 → UB 15:05.</t>
        </is>
      </c>
    </row>
    <row r="58" ht="15" customHeight="1" s="56">
      <c r="A58" s="72" t="inlineStr">
        <is>
          <t>Door-to-door travel times</t>
        </is>
      </c>
    </row>
    <row r="59" ht="15" customHeight="1" s="56">
      <c r="A59" s="96" t="inlineStr">
        <is>
          <t>Date</t>
        </is>
      </c>
      <c r="B59" s="96" t="inlineStr">
        <is>
          <t>Leg</t>
        </is>
      </c>
      <c r="C59" s="96" t="inlineStr">
        <is>
          <t>Mode</t>
        </is>
      </c>
      <c r="D59" s="96" t="inlineStr">
        <is>
          <t>Expected time</t>
        </is>
      </c>
      <c r="E59" s="96" t="inlineStr">
        <is>
          <t>Notes</t>
        </is>
      </c>
    </row>
    <row r="60" ht="15" customHeight="1" s="56">
      <c r="A60" s="105" t="inlineStr">
        <is>
          <t>3 Dec</t>
        </is>
      </c>
      <c r="B60" s="105" t="inlineStr">
        <is>
          <t>Home → Chinggis Khaan airport</t>
        </is>
      </c>
      <c r="C60" s="82" t="inlineStr">
        <is>
          <t>Taxi (~50 km)</t>
        </is>
      </c>
      <c r="D60" s="104" t="n">
        <v>0.04166666666666666</v>
      </c>
      <c r="E60" s="106" t="inlineStr">
        <is>
          <t>Leave ~04:30 for 07:30 flight</t>
        </is>
      </c>
      <c r="F60" s="107" t="n"/>
      <c r="G60" s="107" t="n"/>
      <c r="H60" s="107" t="n"/>
      <c r="I60" s="107" t="n"/>
      <c r="J60" s="107" t="n"/>
      <c r="K60" s="107" t="n"/>
      <c r="L60" s="107" t="n"/>
    </row>
    <row r="61" ht="15" customHeight="1" s="56">
      <c r="A61" s="105" t="inlineStr">
        <is>
          <t>3 Dec</t>
        </is>
      </c>
      <c r="B61" s="105" t="inlineStr">
        <is>
          <t>Ulaanbaatar → Beijing (PEK)</t>
        </is>
      </c>
      <c r="C61" s="82" t="inlineStr">
        <is>
          <t>MIAT OM223 07:30–09:45</t>
        </is>
      </c>
      <c r="D61" s="104" t="n">
        <v>0.09375</v>
      </c>
      <c r="E61" s="106" t="inlineStr"/>
      <c r="F61" s="107" t="n"/>
      <c r="G61" s="107" t="n"/>
      <c r="H61" s="107" t="n"/>
      <c r="I61" s="107" t="n"/>
      <c r="J61" s="107" t="n"/>
      <c r="K61" s="107" t="n"/>
      <c r="L61" s="107" t="n"/>
    </row>
    <row r="62" ht="15" customHeight="1" s="56">
      <c r="A62" s="105" t="inlineStr">
        <is>
          <t>3 Dec</t>
        </is>
      </c>
      <c r="B62" s="105" t="inlineStr">
        <is>
          <t>PEK arrival: immigration, bags</t>
        </is>
      </c>
      <c r="C62" s="82" t="inlineStr">
        <is>
          <t>—</t>
        </is>
      </c>
      <c r="D62" s="104" t="n">
        <v>0.03125</v>
      </c>
      <c r="E62" s="106" t="inlineStr">
        <is>
          <t>Estimate</t>
        </is>
      </c>
      <c r="F62" s="107" t="n"/>
      <c r="G62" s="107" t="n"/>
      <c r="H62" s="107" t="n"/>
      <c r="I62" s="107" t="n"/>
      <c r="J62" s="107" t="n"/>
      <c r="K62" s="107" t="n"/>
      <c r="L62" s="107" t="n"/>
    </row>
    <row r="63" ht="15" customHeight="1" s="56">
      <c r="A63" s="105" t="inlineStr">
        <is>
          <t>3 Dec</t>
        </is>
      </c>
      <c r="B63" s="105" t="inlineStr">
        <is>
          <t>PEK → Beijing South</t>
        </is>
      </c>
      <c r="C63" s="82" t="inlineStr">
        <is>
          <t>Taxi / Airport Express + metro</t>
        </is>
      </c>
      <c r="D63" s="104" t="n">
        <v>0.04166666666666666</v>
      </c>
      <c r="E63" s="106" t="inlineStr">
        <is>
          <t>Estimate; arrive by ~12:00</t>
        </is>
      </c>
      <c r="F63" s="107" t="n"/>
      <c r="G63" s="107" t="n"/>
      <c r="H63" s="107" t="n"/>
      <c r="I63" s="107" t="n"/>
      <c r="J63" s="107" t="n"/>
      <c r="K63" s="107" t="n"/>
      <c r="L63" s="107" t="n"/>
    </row>
    <row r="64" ht="15" customHeight="1" s="56">
      <c r="A64" s="105" t="inlineStr">
        <is>
          <t>3 Dec</t>
        </is>
      </c>
      <c r="B64" s="105" t="inlineStr">
        <is>
          <t>Beijing South → Shanghai</t>
        </is>
      </c>
      <c r="C64" s="82" t="inlineStr">
        <is>
          <t>G17 13:00–17:35</t>
        </is>
      </c>
      <c r="D64" s="104" t="n">
        <v>0.1909722222222222</v>
      </c>
      <c r="E64" s="106" t="inlineStr"/>
      <c r="F64" s="107" t="n"/>
      <c r="G64" s="107" t="n"/>
      <c r="H64" s="107" t="n"/>
      <c r="I64" s="107" t="n"/>
      <c r="J64" s="107" t="n"/>
      <c r="K64" s="107" t="n"/>
      <c r="L64" s="107" t="n"/>
    </row>
    <row r="65" ht="15" customHeight="1" s="56">
      <c r="A65" s="105" t="inlineStr">
        <is>
          <t>3 Dec</t>
        </is>
      </c>
      <c r="B65" s="105" t="inlineStr">
        <is>
          <t>Shanghai station → hotel (Baoshan)</t>
        </is>
      </c>
      <c r="C65" s="82" t="inlineStr">
        <is>
          <t>Taxi / metro</t>
        </is>
      </c>
      <c r="D65" s="104" t="n">
        <v>0.03472222222222222</v>
      </c>
      <c r="E65" s="106" t="inlineStr">
        <is>
          <t>Estimate</t>
        </is>
      </c>
      <c r="F65" s="107" t="n"/>
      <c r="G65" s="107" t="n"/>
      <c r="H65" s="107" t="n"/>
      <c r="I65" s="107" t="n"/>
      <c r="J65" s="107" t="n"/>
      <c r="K65" s="107" t="n"/>
      <c r="L65" s="107" t="n"/>
    </row>
    <row r="66" ht="15" customHeight="1" s="56">
      <c r="A66" s="105" t="inlineStr">
        <is>
          <t>5–6 Dec</t>
        </is>
      </c>
      <c r="B66" s="105" t="inlineStr">
        <is>
          <t>Hotel ↔ Shanghai University Baoshan (each way)</t>
        </is>
      </c>
      <c r="C66" s="82" t="inlineStr">
        <is>
          <t>Walk</t>
        </is>
      </c>
      <c r="D66" s="104" t="inlineStr">
        <is>
          <t>daily</t>
        </is>
      </c>
      <c r="E66" s="106" t="inlineStr">
        <is>
          <t>~25 min walk (Hi Inn 1.8 km) or a ¥15 taxi</t>
        </is>
      </c>
      <c r="F66" s="107" t="n"/>
      <c r="G66" s="107" t="n"/>
      <c r="H66" s="107" t="n"/>
      <c r="I66" s="107" t="n"/>
      <c r="J66" s="107" t="n"/>
      <c r="K66" s="107" t="n"/>
      <c r="L66" s="107" t="n"/>
    </row>
    <row r="67" ht="15" customHeight="1" s="56">
      <c r="A67" s="105" t="inlineStr">
        <is>
          <t>6 Dec</t>
        </is>
      </c>
      <c r="B67" s="105" t="inlineStr">
        <is>
          <t>Campus → Shanghai Hongqiao</t>
        </is>
      </c>
      <c r="C67" s="82" t="inlineStr">
        <is>
          <t>Taxi / metro</t>
        </is>
      </c>
      <c r="D67" s="104" t="n">
        <v>0.04166666666666666</v>
      </c>
      <c r="E67" s="106" t="inlineStr">
        <is>
          <t>Leave ~17:30 for the 19:25 train</t>
        </is>
      </c>
      <c r="F67" s="107" t="n"/>
      <c r="G67" s="107" t="n"/>
      <c r="H67" s="107" t="n"/>
      <c r="I67" s="107" t="n"/>
      <c r="J67" s="107" t="n"/>
      <c r="K67" s="107" t="n"/>
      <c r="L67" s="107" t="n"/>
    </row>
    <row r="68" ht="15" customHeight="1" s="56">
      <c r="A68" s="105" t="inlineStr">
        <is>
          <t>6 Dec</t>
        </is>
      </c>
      <c r="B68" s="105" t="inlineStr">
        <is>
          <t>Hongqiao → Beijing South</t>
        </is>
      </c>
      <c r="C68" s="82" t="inlineStr">
        <is>
          <t>G32 19:25–23:49</t>
        </is>
      </c>
      <c r="D68" s="104" t="n">
        <v>0.1833333333333333</v>
      </c>
      <c r="E68" s="106" t="inlineStr"/>
      <c r="F68" s="107" t="n"/>
      <c r="G68" s="107" t="n"/>
      <c r="H68" s="107" t="n"/>
      <c r="I68" s="107" t="n"/>
      <c r="J68" s="107" t="n"/>
      <c r="K68" s="107" t="n"/>
      <c r="L68" s="107" t="n"/>
    </row>
    <row r="69" ht="15" customHeight="1" s="56">
      <c r="A69" s="105" t="inlineStr">
        <is>
          <t>6 Dec</t>
        </is>
      </c>
      <c r="B69" s="105" t="inlineStr">
        <is>
          <t>Beijing South → hotel</t>
        </is>
      </c>
      <c r="C69" s="82" t="inlineStr">
        <is>
          <t>Walk / taxi</t>
        </is>
      </c>
      <c r="D69" s="104" t="n">
        <v>0.01041666666666667</v>
      </c>
      <c r="E69" s="106" t="inlineStr">
        <is>
          <t>Estimate</t>
        </is>
      </c>
      <c r="F69" s="107" t="n"/>
      <c r="G69" s="107" t="n"/>
      <c r="H69" s="107" t="n"/>
      <c r="I69" s="107" t="n"/>
      <c r="J69" s="107" t="n"/>
      <c r="K69" s="107" t="n"/>
      <c r="L69" s="107" t="n"/>
    </row>
    <row r="70" ht="15" customHeight="1" s="56">
      <c r="A70" s="105" t="inlineStr">
        <is>
          <t>7 Dec</t>
        </is>
      </c>
      <c r="B70" s="105" t="inlineStr">
        <is>
          <t>Hotel → PEK</t>
        </is>
      </c>
      <c r="C70" s="82" t="inlineStr">
        <is>
          <t>Taxi</t>
        </is>
      </c>
      <c r="D70" s="104" t="n">
        <v>0.04166666666666666</v>
      </c>
      <c r="E70" s="106" t="inlineStr">
        <is>
          <t>Be at PEK by ~10:55</t>
        </is>
      </c>
      <c r="F70" s="107" t="n"/>
      <c r="G70" s="107" t="n"/>
      <c r="H70" s="107" t="n"/>
      <c r="I70" s="107" t="n"/>
      <c r="J70" s="107" t="n"/>
      <c r="K70" s="107" t="n"/>
      <c r="L70" s="107" t="n"/>
    </row>
    <row r="71" ht="15" customHeight="1" s="56">
      <c r="A71" s="105" t="inlineStr">
        <is>
          <t>7 Dec</t>
        </is>
      </c>
      <c r="B71" s="105" t="inlineStr">
        <is>
          <t>Beijing (PEK) → Ulaanbaatar</t>
        </is>
      </c>
      <c r="C71" s="82" t="inlineStr">
        <is>
          <t>Air China CA955 12:55–15:05</t>
        </is>
      </c>
      <c r="D71" s="104" t="n">
        <v>0.09027777777777778</v>
      </c>
      <c r="E71" s="106" t="inlineStr"/>
      <c r="F71" s="107" t="n"/>
      <c r="G71" s="107" t="n"/>
      <c r="H71" s="107" t="n"/>
      <c r="I71" s="107" t="n"/>
      <c r="J71" s="107" t="n"/>
      <c r="K71" s="107" t="n"/>
      <c r="L71" s="107" t="n"/>
    </row>
    <row r="72" ht="15" customHeight="1" s="56">
      <c r="A72" s="105" t="inlineStr">
        <is>
          <t>7 Dec</t>
        </is>
      </c>
      <c r="B72" s="105" t="inlineStr">
        <is>
          <t>Chinggis Khaan airport → home</t>
        </is>
      </c>
      <c r="C72" s="82" t="inlineStr">
        <is>
          <t>Taxi</t>
        </is>
      </c>
      <c r="D72" s="104" t="n">
        <v>0.04166666666666666</v>
      </c>
      <c r="E72" s="106" t="inlineStr"/>
      <c r="F72" s="107" t="n"/>
      <c r="G72" s="107" t="n"/>
      <c r="H72" s="107" t="n"/>
      <c r="I72" s="107" t="n"/>
      <c r="J72" s="107" t="n"/>
      <c r="K72" s="107" t="n"/>
      <c r="L72" s="107" t="n"/>
    </row>
    <row r="74" ht="15" customHeight="1" s="56">
      <c r="C74" s="59" t="inlineStr">
        <is>
          <t>Total door-to-door</t>
        </is>
      </c>
      <c r="D74" s="109">
        <f>SUM(D60:D72)</f>
        <v/>
      </c>
    </row>
  </sheetData>
  <mergeCells count="22">
    <mergeCell ref="C52:L52"/>
    <mergeCell ref="E68:L68"/>
    <mergeCell ref="E71:L71"/>
    <mergeCell ref="B47:L47"/>
    <mergeCell ref="E62:L62"/>
    <mergeCell ref="B46:L46"/>
    <mergeCell ref="E67:L67"/>
    <mergeCell ref="C53:L53"/>
    <mergeCell ref="E64:L64"/>
    <mergeCell ref="B48:L48"/>
    <mergeCell ref="E63:L63"/>
    <mergeCell ref="E60:L60"/>
    <mergeCell ref="E69:L69"/>
    <mergeCell ref="E65:L65"/>
    <mergeCell ref="C54:L54"/>
    <mergeCell ref="E70:L70"/>
    <mergeCell ref="E61:L61"/>
    <mergeCell ref="C55:L55"/>
    <mergeCell ref="C56:L56"/>
    <mergeCell ref="E72:L72"/>
    <mergeCell ref="E66:L66"/>
    <mergeCell ref="B45:L4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Sleeper</t>
        </is>
      </c>
    </row>
    <row r="2" ht="15" customHeight="1" s="56">
      <c r="A2" s="62" t="inlineStr">
        <is>
          <t>Air China to Beijing in the afternoon, Z111 hard sleeper to Nanchang (arrive 11:52 on 18 Dec), D136 seat back after the closing, Air China home on 21 Dec.</t>
        </is>
      </c>
    </row>
    <row r="4" ht="15" customHeight="1" s="56">
      <c r="A4" s="60" t="inlineStr">
        <is>
          <t>Days in destination (meals &amp; local transport)</t>
        </is>
      </c>
      <c r="B4" s="76" t="n">
        <v>3.5</v>
      </c>
      <c r="C4" s="62" t="inlineStr">
        <is>
          <t>17 Dec evening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CA956 Ulaanbaatar → Beijing (PEK), nonstop 16:10–18:20</t>
        </is>
      </c>
      <c r="C10" s="83" t="inlineStr">
        <is>
          <t>17 Dec</t>
        </is>
      </c>
      <c r="D10" s="84" t="n">
        <v>0.09027777777777778</v>
      </c>
      <c r="E10" s="85" t="n">
        <v>157</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Air China CA956 16:10–18:20 $157 pp = cheapest on the day; MIAT 07:30 $193; Air China 11:50 $363. SlickTrip does not price this Air China flight</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90" customHeight="1" s="56">
      <c r="A13" s="81" t="n"/>
      <c r="B13" s="111" t="inlineStr">
        <is>
          <t>Overnight train Z111 Beijing Fengtai 23:06 → Nanchang 11:52 (+1), hard sleeper (6-berth)</t>
        </is>
      </c>
      <c r="C13" s="83" t="inlineStr">
        <is>
          <t>17 Dec (night)</t>
        </is>
      </c>
      <c r="D13" s="84" t="n">
        <v>0.5319444444444444</v>
      </c>
      <c r="E13" s="85" t="n">
        <v>296.5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Z111 hard sleeper ¥296.5, soft ¥464.5, seat ¥173.5. ChinaTicketOnline lists Z111 on 17 Dec ($50 + $9.5 fee ≈ ¥317), sales open 3 Dec 08:00. Backup: K105 Beijing West 23:31 → 16:00 hard sleeper ¥304.5; or MIAT 07:30 ($193) + D135 Fengtai 19:48 → 07:49 sleeper ¥382</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75" customHeight="1" s="56">
      <c r="A16" s="81" t="n"/>
      <c r="B16" s="111" t="inlineStr">
        <is>
          <t>Orange Hotel (Nanchang Yaohu West Subway Station, Normal University branch; ~0.7 km to JXNU; 3 ppl 1 room; 4 ppl Family Room)</t>
        </is>
      </c>
      <c r="C16" s="83" t="inlineStr">
        <is>
          <t>18–20 Dec (2 nights)</t>
        </is>
      </c>
      <c r="D16" s="81" t="n"/>
      <c r="E16" s="85" t="n">
        <v>396</v>
      </c>
      <c r="F16" s="86" t="inlineStr">
        <is>
          <t>CNY</t>
        </is>
      </c>
      <c r="G16" s="91" t="n">
        <v>2</v>
      </c>
      <c r="H16" s="88">
        <f>E16*G16*IF(F16="USD",Compare!$B$8,IF(F16="CNY",Compare!$B$9,IF(F16="HKD",Compare!$B$10,1)))</f>
        <v/>
      </c>
      <c r="I16" s="85" t="n">
        <v>414</v>
      </c>
      <c r="J16" s="91" t="n">
        <v>2</v>
      </c>
      <c r="K16" s="88">
        <f>I16*J16*IF(F16="USD",Compare!$B$8,IF(F16="CNY",Compare!$B$9,IF(F16="HKD",Compare!$B$10,1)))</f>
        <v/>
      </c>
      <c r="L16" s="112" t="inlineStr">
        <is>
          <t>Trip.com 10 Oct: ¥792 (3 adults) / ¥828 (4 adults, Deluxe Family Room) for 2 nights; rated 9.6 (662 reviews). Other near-campus options: Lavande Aixi Lake (9.4, 1.3 km) ¥1,216; Xana Hotel Taizidian Station (9.0) ¥1,358/3 nights; Meimei Apartment (6.8) ¥105/night</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Fengtai station (17 Dec out, 21 Dec back)</t>
        </is>
      </c>
      <c r="C20" s="83" t="inlineStr">
        <is>
          <t>17 &amp; 21 Dec</t>
        </is>
      </c>
      <c r="D20" s="84" t="n"/>
      <c r="E20" s="113" t="n">
        <v>150</v>
      </c>
      <c r="F20" s="86" t="inlineStr">
        <is>
          <t>CNY</t>
        </is>
      </c>
      <c r="G20" s="91" t="n">
        <v>2</v>
      </c>
      <c r="H20" s="88">
        <f>E20*G20*IF(F20="USD",Compare!$B$8,IF(F20="CNY",Compare!$B$9,IF(F20="HKD",Compare!$B$10,1)))</f>
        <v/>
      </c>
      <c r="I20" s="114">
        <f>E20</f>
        <v/>
      </c>
      <c r="J20" s="91" t="n">
        <v>2</v>
      </c>
      <c r="K20" s="88">
        <f>I20*J20*IF(F20="USD",Compare!$B$8,IF(F20="CNY",Compare!$B$9,IF(F20="HKD",Compare!$B$10,1)))</f>
        <v/>
      </c>
      <c r="L20" s="112" t="inlineStr">
        <is>
          <t>ASSUMPTION ~150 CNY per car, ~45 km (metro line 10 + Airport Express ~40 CNY pp). 4 ppl may need an XL car</t>
        </is>
      </c>
    </row>
    <row r="21" ht="30" customHeight="1" s="56">
      <c r="A21" s="81" t="n"/>
      <c r="B21" s="111" t="inlineStr">
        <is>
          <t>Taxi Nanchang station ↔ hotel (18 Dec arrival, 20 Dec departure)</t>
        </is>
      </c>
      <c r="C21" s="83" t="inlineStr">
        <is>
          <t>18 &amp; 20 Dec</t>
        </is>
      </c>
      <c r="D21" s="84" t="n"/>
      <c r="E21" s="113" t="n">
        <v>60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~60 CNY per car, ~15 km each way (metro 1 h, ¥3 pp)</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D10+D11+D13+D14</f>
        <v/>
      </c>
      <c r="K39" s="104">
        <f>D10+D11+D13+D14</f>
        <v/>
      </c>
    </row>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30" customHeight="1" s="56">
      <c r="A44" s="75" t="inlineStr">
        <is>
          <t>Why this plan</t>
        </is>
      </c>
      <c r="B44" s="74" t="inlineStr">
        <is>
          <t>Cheapest fit: $157 + $172 flights, a Z111 sleeper (¥297) and a D136 seat (¥271) replace two hotel nights; no 04:30 start and no 10-hour wait in Beijing. 18 Dec afternoon is a rest day in Nanchang.</t>
        </is>
      </c>
    </row>
    <row r="45" ht="30" customHeight="1" s="56">
      <c r="A45" s="75" t="inlineStr">
        <is>
          <t>Trade-off</t>
        </is>
      </c>
      <c r="B45" s="74" t="inlineStr">
        <is>
          <t>A 12 h 46 min hard-sleeper berth on Z111 (soft sleeper ¥464.5) and Beijing Fengtai is far from PEK (~1 h 15 min). Trains go on sale on 3 Dec 08:00 (Z111) and 6 Dec (D136) – set reminders. Soft sleeper on Z111 (¥464.5) is the upgrade if the team sleeps badly on trains. Backup if Z111 sells out: MIAT 07:30 ($193) + D135 sleeper ¥382.</t>
        </is>
      </c>
    </row>
    <row r="47" ht="15" customHeight="1" s="56">
      <c r="A47" s="72" t="inlineStr">
        <is>
          <t>Day-by-day plan</t>
        </is>
      </c>
    </row>
    <row r="48" ht="15" customHeight="1" s="56">
      <c r="A48" s="96" t="inlineStr">
        <is>
          <t>Date</t>
        </is>
      </c>
      <c r="B48" s="96" t="inlineStr">
        <is>
          <t>Sleep in</t>
        </is>
      </c>
      <c r="C48" s="96" t="inlineStr">
        <is>
          <t>What happens</t>
        </is>
      </c>
    </row>
    <row r="49" ht="30" customHeight="1" s="56">
      <c r="A49" s="74" t="inlineStr">
        <is>
          <t>Thu 17 Dec</t>
        </is>
      </c>
      <c r="B49" s="74" t="inlineStr">
        <is>
          <t>Train</t>
        </is>
      </c>
      <c r="C49" s="74" t="inlineStr">
        <is>
          <t>Air China CA956 UB 16:10 → Beijing 18:20; taxi / Airport Express + metro to Beijing Fengtai (~20:00; dinner); Z111 23:06 → Nanchang.</t>
        </is>
      </c>
    </row>
    <row r="50" ht="30" customHeight="1" s="56">
      <c r="A50" s="74" t="inlineStr">
        <is>
          <t>Fri 18 Dec</t>
        </is>
      </c>
      <c r="B50" s="74" t="inlineStr">
        <is>
          <t>Nanchang</t>
        </is>
      </c>
      <c r="C50" s="74" t="inlineStr">
        <is>
          <t>Arrive Nanchang 11:52; metro line 2 + 1 to the hotel (leave bags, check-in ~14:00).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~13:00 for 16:10 flight</t>
        </is>
      </c>
      <c r="F57" s="107" t="n"/>
      <c r="G57" s="107" t="n"/>
      <c r="H57" s="107" t="n"/>
      <c r="I57" s="107" t="n"/>
      <c r="J57" s="107" t="n"/>
      <c r="K57" s="107" t="n"/>
      <c r="L57" s="107" t="n"/>
    </row>
    <row r="58" ht="15" customHeight="1" s="56">
      <c r="A58" s="105" t="inlineStr">
        <is>
          <t>17 Dec</t>
        </is>
      </c>
      <c r="B58" s="105" t="inlineStr">
        <is>
          <t>Ulaanbaatar → Beijing (PEK)</t>
        </is>
      </c>
      <c r="C58" s="82" t="inlineStr">
        <is>
          <t>Air China CA956 16:10–18:20</t>
        </is>
      </c>
      <c r="D58" s="104" t="n">
        <v>0.09027777777777778</v>
      </c>
      <c r="E58" s="106" t="inlineStr"/>
      <c r="F58" s="107" t="n"/>
      <c r="G58" s="107" t="n"/>
      <c r="H58" s="107" t="n"/>
      <c r="I58" s="107" t="n"/>
      <c r="J58" s="107" t="n"/>
      <c r="K58" s="107" t="n"/>
      <c r="L58" s="107" t="n"/>
    </row>
    <row r="59" ht="15" customHeight="1" s="56">
      <c r="A59" s="105" t="inlineStr">
        <is>
          <t>17 Dec</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17 Dec</t>
        </is>
      </c>
      <c r="B60" s="105" t="inlineStr">
        <is>
          <t>PEK → Beijing Fengtai station</t>
        </is>
      </c>
      <c r="C60" s="82" t="inlineStr">
        <is>
          <t>Taxi / Airport Express + metro</t>
        </is>
      </c>
      <c r="D60" s="104" t="n">
        <v>0.05208333333333334</v>
      </c>
      <c r="E60" s="106" t="inlineStr">
        <is>
          <t>Estimate; arrive ~20:20, train 23:06</t>
        </is>
      </c>
      <c r="F60" s="107" t="n"/>
      <c r="G60" s="107" t="n"/>
      <c r="H60" s="107" t="n"/>
      <c r="I60" s="107" t="n"/>
      <c r="J60" s="107" t="n"/>
      <c r="K60" s="107" t="n"/>
      <c r="L60" s="107" t="n"/>
    </row>
    <row r="61" ht="15" customHeight="1" s="56">
      <c r="A61" s="105" t="inlineStr">
        <is>
          <t>17–18 Dec</t>
        </is>
      </c>
      <c r="B61" s="105" t="inlineStr">
        <is>
          <t>Beijing Fengtai → Nanchang</t>
        </is>
      </c>
      <c r="C61" s="82" t="inlineStr">
        <is>
          <t>Z111 hard sleeper 23:06–11:52</t>
        </is>
      </c>
      <c r="D61" s="104" t="n">
        <v>0.5319444444444444</v>
      </c>
      <c r="E61" s="106" t="inlineStr">
        <is>
          <t>Overnight</t>
        </is>
      </c>
      <c r="F61" s="107" t="n"/>
      <c r="G61" s="107" t="n"/>
      <c r="H61" s="107" t="n"/>
      <c r="I61" s="107" t="n"/>
      <c r="J61" s="107" t="n"/>
      <c r="K61" s="107" t="n"/>
      <c r="L61" s="107" t="n"/>
    </row>
    <row r="62" ht="15" customHeight="1" s="56">
      <c r="A62" s="105" t="inlineStr">
        <is>
          <t>18 Dec</t>
        </is>
      </c>
      <c r="B62" s="105" t="inlineStr">
        <is>
          <t>Nanchang station → hotel</t>
        </is>
      </c>
      <c r="C62" s="82" t="inlineStr">
        <is>
          <t>Metro line 2 + 1 (or taxi ~¥40)</t>
        </is>
      </c>
      <c r="D62" s="104" t="n">
        <v>0.03819444444444445</v>
      </c>
      <c r="E62" s="106" t="inlineStr"/>
      <c r="F62" s="107" t="n"/>
      <c r="G62" s="107" t="n"/>
      <c r="H62" s="107" t="n"/>
      <c r="I62" s="107" t="n"/>
      <c r="J62" s="107" t="n"/>
      <c r="K62" s="107" t="n"/>
      <c r="L62" s="107" t="n"/>
    </row>
    <row r="63" ht="15" customHeight="1" s="56">
      <c r="A63" s="105" t="inlineStr">
        <is>
          <t>19–20 Dec</t>
        </is>
      </c>
      <c r="B63" s="105" t="inlineStr">
        <is>
          <t>Hotel ↔ JXNU Yaohu campus (each way)</t>
        </is>
      </c>
      <c r="C63" s="82" t="inlineStr">
        <is>
          <t>Walk</t>
        </is>
      </c>
      <c r="D63" s="104" t="inlineStr">
        <is>
          <t>daily</t>
        </is>
      </c>
      <c r="E63" s="106" t="inlineStr">
        <is>
          <t>~10–15 min walk (Orange Hotel ~0.7 km)</t>
        </is>
      </c>
      <c r="F63" s="107" t="n"/>
      <c r="G63" s="107" t="n"/>
      <c r="H63" s="107" t="n"/>
      <c r="I63" s="107" t="n"/>
      <c r="J63" s="107" t="n"/>
      <c r="K63" s="107" t="n"/>
      <c r="L63" s="107" t="n"/>
    </row>
    <row r="64" ht="15" customHeight="1" s="56">
      <c r="A64" s="105" t="inlineStr">
        <is>
          <t>20 Dec</t>
        </is>
      </c>
      <c r="B64" s="105" t="inlineStr">
        <is>
          <t>JXNU Yaohu campus → Nanchang station</t>
        </is>
      </c>
      <c r="C64" s="82" t="inlineStr">
        <is>
          <t>Metro line 1 + 2 / taxi</t>
        </is>
      </c>
      <c r="D64" s="104" t="n">
        <v>0.03819444444444445</v>
      </c>
      <c r="E64" s="106" t="inlineStr">
        <is>
          <t>Leave ~17:45 for the 19:22 train</t>
        </is>
      </c>
      <c r="F64" s="107" t="n"/>
      <c r="G64" s="107" t="n"/>
      <c r="H64" s="107" t="n"/>
      <c r="I64" s="107" t="n"/>
      <c r="J64" s="107" t="n"/>
      <c r="K64" s="107" t="n"/>
      <c r="L64" s="107" t="n"/>
    </row>
    <row r="65" ht="15" customHeight="1" s="56">
      <c r="A65" s="105" t="inlineStr">
        <is>
          <t>20–21 Dec</t>
        </is>
      </c>
      <c r="B65" s="105" t="inlineStr">
        <is>
          <t>Nanchang → Beijing Fengtai</t>
        </is>
      </c>
      <c r="C65" s="82" t="inlineStr">
        <is>
          <t>D136 seat 19:22–07:31</t>
        </is>
      </c>
      <c r="D65" s="104" t="n">
        <v>0.50625</v>
      </c>
      <c r="E65" s="106" t="inlineStr">
        <is>
          <t>Overnight</t>
        </is>
      </c>
      <c r="F65" s="107" t="n"/>
      <c r="G65" s="107" t="n"/>
      <c r="H65" s="107" t="n"/>
      <c r="I65" s="107" t="n"/>
      <c r="J65" s="107" t="n"/>
      <c r="K65" s="107" t="n"/>
      <c r="L65" s="107" t="n"/>
    </row>
    <row r="66" ht="15" customHeight="1" s="56">
      <c r="A66" s="105" t="inlineStr">
        <is>
          <t>21 Dec</t>
        </is>
      </c>
      <c r="B66" s="105" t="inlineStr">
        <is>
          <t>Beijing Fengtai → PEK</t>
        </is>
      </c>
      <c r="C66" s="82" t="inlineStr">
        <is>
          <t>Taxi (~45 km)</t>
        </is>
      </c>
      <c r="D66" s="104" t="n">
        <v>0.05208333333333334</v>
      </c>
      <c r="E66" s="106" t="inlineStr">
        <is>
          <t>Be at PEK by ~10:55 for the 12:55 flight</t>
        </is>
      </c>
      <c r="F66" s="107" t="n"/>
      <c r="G66" s="107" t="n"/>
      <c r="H66" s="107" t="n"/>
      <c r="I66" s="107" t="n"/>
      <c r="J66" s="107" t="n"/>
      <c r="K66" s="107" t="n"/>
      <c r="L66" s="107" t="n"/>
    </row>
    <row r="67" ht="15" customHeight="1" s="56">
      <c r="A67" s="105" t="inlineStr">
        <is>
          <t>21 Dec</t>
        </is>
      </c>
      <c r="B67" s="105" t="inlineStr">
        <is>
          <t>Beijing (PEK) → Ulaanbaatar</t>
        </is>
      </c>
      <c r="C67" s="82" t="inlineStr">
        <is>
          <t>Air China CA955 12:55–15:05</t>
        </is>
      </c>
      <c r="D67" s="104" t="n">
        <v>0.09027777777777778</v>
      </c>
      <c r="E67" s="106" t="inlineStr"/>
      <c r="F67" s="107" t="n"/>
      <c r="G67" s="107" t="n"/>
      <c r="H67" s="107" t="n"/>
      <c r="I67" s="107" t="n"/>
      <c r="J67" s="107" t="n"/>
      <c r="K67" s="107" t="n"/>
      <c r="L67" s="107" t="n"/>
    </row>
    <row r="68" ht="15" customHeight="1" s="56">
      <c r="A68" s="105" t="inlineStr">
        <is>
          <t>21 Dec</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70" ht="15" customHeight="1" s="56">
      <c r="C70" s="59" t="inlineStr">
        <is>
          <t>Total door-to-door</t>
        </is>
      </c>
      <c r="D70" s="109">
        <f>SUM(D57:D68)</f>
        <v/>
      </c>
    </row>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2"/>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Comfort</t>
        </is>
      </c>
    </row>
    <row r="2" ht="15" customHeight="1" s="56">
      <c r="A2" s="62" t="inlineStr">
        <is>
          <t>MIAT + daytime high-speed train to Nanchang West on 17 Dec (arrive for dinner, rest day 18 Dec); D136 seat back and Air China home on 21 Dec.</t>
        </is>
      </c>
    </row>
    <row r="4" ht="15" customHeight="1" s="56">
      <c r="A4" s="60" t="inlineStr">
        <is>
          <t>Days in destination (meals &amp; local transport)</t>
        </is>
      </c>
      <c r="B4" s="76" t="n">
        <v>4.5</v>
      </c>
      <c r="C4" s="62" t="inlineStr">
        <is>
          <t>17 Dec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17 Dec</t>
        </is>
      </c>
      <c r="D10" s="84" t="n">
        <v>0.09375</v>
      </c>
      <c r="E10" s="85" t="n">
        <v>193</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MIAT 07:30–09:45 $193 pp (SlickTrip $196, 'low' against the usual $206–410)</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60" customHeight="1" s="56">
      <c r="A13" s="81" t="n"/>
      <c r="B13" s="111" t="inlineStr">
        <is>
          <t>High-speed rail Beijing West 12:00 → Nanchang West 17:52 (G335), 2nd class</t>
        </is>
      </c>
      <c r="C13" s="83" t="inlineStr">
        <is>
          <t>17 Dec</t>
        </is>
      </c>
      <c r="D13" s="84" t="n">
        <v>0.2444444444444444</v>
      </c>
      <c r="E13" s="85" t="n">
        <v>745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G335 ¥745 (CTO ¥760 incl. fee); G337 16:55 → 22:53 ¥732 is the safe fallback (MIAT lands 09:45; G333 08:05 is impossible). ~1 h 30 min from PEK to Beijing West at midday – tight</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Orange Hotel (Nanchang Yaohu West Subway Station, Normal University branch; ~0.7 km to JXNU; 3 ppl 1 room; 4 ppl Family Room)</t>
        </is>
      </c>
      <c r="C16" s="83" t="inlineStr">
        <is>
          <t>17–20 Dec (3 nights)</t>
        </is>
      </c>
      <c r="D16" s="81" t="n"/>
      <c r="E16" s="85" t="n">
        <v>386.67</v>
      </c>
      <c r="F16" s="86" t="inlineStr">
        <is>
          <t>CNY</t>
        </is>
      </c>
      <c r="G16" s="91" t="n">
        <v>3</v>
      </c>
      <c r="H16" s="88">
        <f>E16*G16*IF(F16="USD",Compare!$B$8,IF(F16="CNY",Compare!$B$9,IF(F16="HKD",Compare!$B$10,1)))</f>
        <v/>
      </c>
      <c r="I16" s="85" t="n">
        <v>404.67</v>
      </c>
      <c r="J16" s="91" t="n">
        <v>3</v>
      </c>
      <c r="K16" s="88">
        <f>I16*J16*IF(F16="USD",Compare!$B$8,IF(F16="CNY",Compare!$B$9,IF(F16="HKD",Compare!$B$10,1)))</f>
        <v/>
      </c>
      <c r="L16" s="112" t="inlineStr">
        <is>
          <t>Trip.com 10 Oct: ¥1,160 (3 adults) / ¥1,214 (4 adults, Deluxe Family Room) for 3 nights; rated 9.6 (662 reviews)</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West station</t>
        </is>
      </c>
      <c r="C20" s="83" t="inlineStr">
        <is>
          <t>17 Dec</t>
        </is>
      </c>
      <c r="D20" s="84" t="n"/>
      <c r="E20" s="113" t="n">
        <v>130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~130 CNY per car, ~45 km (Airport Express + metro line 10/7 ~45 CNY pp)</t>
        </is>
      </c>
    </row>
    <row r="21" ht="30" customHeight="1" s="56">
      <c r="A21" s="81" t="n"/>
      <c r="B21" s="111" t="inlineStr">
        <is>
          <t>Taxi Nanchang West station → hotel</t>
        </is>
      </c>
      <c r="C21" s="83" t="inlineStr">
        <is>
          <t>17 Dec</t>
        </is>
      </c>
      <c r="D21" s="84" t="n"/>
      <c r="E21" s="113" t="n">
        <v>110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~110 CNY per car, ~35 km (2019 handbook ¥105; metro 2 + 1 1 h 8 min)</t>
        </is>
      </c>
    </row>
    <row r="22" ht="15" customHeight="1" s="56">
      <c r="A22" s="81" t="n"/>
      <c r="B22" s="111" t="inlineStr">
        <is>
          <t>Taxi Beijing Fengtai → PEK</t>
        </is>
      </c>
      <c r="C22" s="83" t="inlineStr">
        <is>
          <t>21 Dec</t>
        </is>
      </c>
      <c r="D22" s="84" t="n"/>
      <c r="E22" s="113" t="n">
        <v>150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~150 CNY per car, ~45 km</t>
        </is>
      </c>
    </row>
    <row r="23" ht="15" customHeight="1" s="56">
      <c r="A23" s="81" t="n"/>
      <c r="B23" s="111" t="inlineStr">
        <is>
          <t>Taxi Nanchang station ↔ hotel departure</t>
        </is>
      </c>
      <c r="C23" s="83" t="inlineStr">
        <is>
          <t>20 Dec</t>
        </is>
      </c>
      <c r="D23" s="84" t="n"/>
      <c r="E23" s="113" t="n">
        <v>60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~60 CNY per car, ~15 km</t>
        </is>
      </c>
    </row>
    <row r="24" ht="15" customHeight="1" s="56">
      <c r="A24" s="94" t="inlineStr">
        <is>
          <t>PAID PERSONALLY (university won't cover)</t>
        </is>
      </c>
      <c r="B24" s="95" t="n"/>
      <c r="C24" s="95" t="n"/>
      <c r="D24" s="95" t="n"/>
      <c r="E24" s="95" t="n"/>
      <c r="F24" s="95" t="n"/>
      <c r="G24" s="95" t="n"/>
      <c r="H24" s="95" t="n"/>
      <c r="I24" s="95" t="n"/>
      <c r="J24" s="95" t="n"/>
      <c r="K24" s="95" t="n"/>
      <c r="L24" s="95" t="n"/>
    </row>
    <row r="25" ht="15" customHeight="1" s="56">
      <c r="A25" s="79" t="inlineStr">
        <is>
          <t>Contest fee</t>
        </is>
      </c>
      <c r="B25" s="80" t="n"/>
      <c r="C25" s="80" t="n"/>
      <c r="D25" s="80" t="n"/>
      <c r="E25" s="80" t="n"/>
      <c r="F25" s="80" t="n"/>
      <c r="G25" s="80" t="n"/>
      <c r="H25" s="80" t="n"/>
      <c r="I25" s="80" t="n"/>
      <c r="J25" s="80" t="n"/>
      <c r="K25" s="80" t="n"/>
      <c r="L25" s="80" t="n"/>
    </row>
    <row r="26" ht="22.35" customHeight="1" s="56">
      <c r="A26" s="81" t="n"/>
      <c r="B26" s="82" t="inlineStr">
        <is>
          <t>Nanchang regional registration fee (per team)</t>
        </is>
      </c>
      <c r="C26" s="83" t="inlineStr">
        <is>
          <t>TBC</t>
        </is>
      </c>
      <c r="D26" s="81" t="n"/>
      <c r="E26" s="113" t="n">
        <v>1500</v>
      </c>
      <c r="F26" s="86" t="inlineStr">
        <is>
          <t>CNY</t>
        </is>
      </c>
      <c r="G26" s="91" t="n">
        <v>1</v>
      </c>
      <c r="H26" s="88">
        <f>E26*G26*IF(F26="USD",Compare!$B$8,IF(F26="CNY",Compare!$B$9,IF(F26="HKD",Compare!$B$10,1)))</f>
        <v/>
      </c>
      <c r="I26" s="114">
        <f>E26</f>
        <v/>
      </c>
      <c r="J26" s="91" t="n">
        <v>1</v>
      </c>
      <c r="K26" s="88">
        <f>I26*J26*IF(F26="USD",Compare!$B$8,IF(F26="CNY",Compare!$B$9,IF(F26="HKD",Compare!$B$10,1)))</f>
        <v/>
      </c>
      <c r="L26" s="90" t="inlineStr">
        <is>
          <t>ASSUMPTION: 1,500 CNY/team like other EC regionals; the 2019 Nanchang handbook has no fee and the 2026 invitation is not seen</t>
        </is>
      </c>
    </row>
    <row r="27" ht="15" customHeight="1" s="56">
      <c r="A27" s="79" t="inlineStr">
        <is>
          <t>Other</t>
        </is>
      </c>
      <c r="B27" s="80" t="n"/>
      <c r="C27" s="80" t="n"/>
      <c r="D27" s="80" t="n"/>
      <c r="E27" s="80" t="n"/>
      <c r="F27" s="80" t="n"/>
      <c r="G27" s="80" t="n"/>
      <c r="H27" s="80" t="n"/>
      <c r="I27" s="80" t="n"/>
      <c r="J27" s="80" t="n"/>
      <c r="K27" s="80" t="n"/>
      <c r="L27" s="80" t="n"/>
    </row>
    <row r="28" ht="15" customHeight="1" s="56">
      <c r="A28" s="81" t="n"/>
      <c r="B28" s="82" t="inlineStr">
        <is>
          <t>Taxi to/from Chinggis Khaan airport (UB), per trip</t>
        </is>
      </c>
      <c r="C28" s="83" t="inlineStr">
        <is>
          <t>out &amp; back</t>
        </is>
      </c>
      <c r="D28" s="84" t="n">
        <v>0.04166666666666666</v>
      </c>
      <c r="E28" s="92" t="n">
        <v>100000</v>
      </c>
      <c r="F28" s="86" t="inlineStr">
        <is>
          <t>MNT</t>
        </is>
      </c>
      <c r="G28" s="91" t="n">
        <v>2</v>
      </c>
      <c r="H28" s="88">
        <f>E28*G28*IF(F28="USD",Compare!$B$8,IF(F28="CNY",Compare!$B$9,IF(F28="HKD",Compare!$B$10,1)))</f>
        <v/>
      </c>
      <c r="I28" s="93">
        <f>E28</f>
        <v/>
      </c>
      <c r="J28" s="91" t="n">
        <v>2</v>
      </c>
      <c r="K28" s="88">
        <f>I28*J28*IF(F28="USD",Compare!$B$8,IF(F28="CNY",Compare!$B$9,IF(F28="HKD",Compare!$B$10,1)))</f>
        <v/>
      </c>
      <c r="L28" s="90" t="inlineStr">
        <is>
          <t>ASSUMPTION 100k MNT per trip for the group</t>
        </is>
      </c>
    </row>
    <row r="29" ht="15" customHeight="1" s="56">
      <c r="A29" s="81" t="n"/>
      <c r="B29" s="82" t="inlineStr">
        <is>
          <t>Travel medical insurance</t>
        </is>
      </c>
      <c r="C29" s="83" t="n"/>
      <c r="D29" s="81" t="n"/>
      <c r="E29" s="92" t="n">
        <v>30000</v>
      </c>
      <c r="F29" s="86" t="inlineStr">
        <is>
          <t>MNT</t>
        </is>
      </c>
      <c r="G29" s="87">
        <f>Compare!$B$6</f>
        <v/>
      </c>
      <c r="H29" s="88">
        <f>E29*G29*IF(F29="USD",Compare!$B$8,IF(F29="CNY",Compare!$B$9,IF(F29="HKD",Compare!$B$10,1)))</f>
        <v/>
      </c>
      <c r="I29" s="93">
        <f>E29</f>
        <v/>
      </c>
      <c r="J29" s="87">
        <f>Compare!$B$7</f>
        <v/>
      </c>
      <c r="K29" s="88">
        <f>I29*J29*IF(F29="USD",Compare!$B$8,IF(F29="CNY",Compare!$B$9,IF(F29="HKD",Compare!$B$10,1)))</f>
        <v/>
      </c>
      <c r="L29" s="90" t="inlineStr">
        <is>
          <t>ASSUMPTION ~30k MNT per person, Mongolian insurer</t>
        </is>
      </c>
    </row>
    <row r="30" ht="15" customHeight="1" s="56">
      <c r="A30" s="81" t="n"/>
      <c r="B30" s="82" t="inlineStr">
        <is>
          <t>Mobile data eSIM</t>
        </is>
      </c>
      <c r="C30" s="83" t="n"/>
      <c r="D30" s="81" t="n"/>
      <c r="E30" s="92" t="n">
        <v>10</v>
      </c>
      <c r="F30" s="86" t="inlineStr">
        <is>
          <t>USD</t>
        </is>
      </c>
      <c r="G30" s="87">
        <f>Compare!$B$6</f>
        <v/>
      </c>
      <c r="H30" s="88">
        <f>E30*G30*IF(F30="USD",Compare!$B$8,IF(F30="CNY",Compare!$B$9,IF(F30="HKD",Compare!$B$10,1)))</f>
        <v/>
      </c>
      <c r="I30" s="93">
        <f>E30</f>
        <v/>
      </c>
      <c r="J30" s="87">
        <f>Compare!$B$7</f>
        <v/>
      </c>
      <c r="K30" s="88">
        <f>I30*J30*IF(F30="USD",Compare!$B$8,IF(F30="CNY",Compare!$B$9,IF(F30="HKD",Compare!$B$10,1)))</f>
        <v/>
      </c>
      <c r="L30" s="90" t="inlineStr">
        <is>
          <t>ASSUMPTION ~$10 pp</t>
        </is>
      </c>
    </row>
    <row r="31" ht="22.35" customHeight="1" s="56">
      <c r="A31" s="81" t="n"/>
      <c r="B31" s="82" t="inlineStr">
        <is>
          <t>Visa</t>
        </is>
      </c>
      <c r="C31" s="83" t="n"/>
      <c r="D31" s="81"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90" t="inlineStr">
        <is>
          <t>Mongolian passports: visa-free (mainland China up to 30 days; Hong Kong up to 14 days)</t>
        </is>
      </c>
    </row>
    <row r="33" ht="15" customHeight="1" s="56">
      <c r="G33" s="60" t="n"/>
      <c r="H33" s="96" t="inlineStr">
        <is>
          <t>3 people – UNFUNDED</t>
        </is>
      </c>
      <c r="K33" s="96" t="inlineStr">
        <is>
          <t>4 people – FUNDED ₮12M</t>
        </is>
      </c>
    </row>
    <row r="34" ht="15" customHeight="1" s="56">
      <c r="G34" s="97" t="inlineStr">
        <is>
          <t>University-paid subtotal</t>
        </is>
      </c>
      <c r="H34" s="98">
        <f>SUM(H9:H23)</f>
        <v/>
      </c>
      <c r="K34" s="98">
        <f>SUM(K9:K23)</f>
        <v/>
      </c>
    </row>
    <row r="35" ht="15" customHeight="1" s="56">
      <c r="G35" s="99" t="inlineStr">
        <is>
          <t>Contingency</t>
        </is>
      </c>
      <c r="H35" s="100">
        <f>H34*Compare!$B$11</f>
        <v/>
      </c>
      <c r="K35" s="100">
        <f>K34*Compare!$B$11</f>
        <v/>
      </c>
    </row>
    <row r="36" ht="15" customHeight="1" s="56">
      <c r="G36" s="97" t="inlineStr">
        <is>
          <t>University-paid total incl. contingency</t>
        </is>
      </c>
      <c r="H36" s="98">
        <f>H34+H35</f>
        <v/>
      </c>
      <c r="K36" s="98">
        <f>K34+K35</f>
        <v/>
      </c>
    </row>
    <row r="37" ht="15" customHeight="1" s="56">
      <c r="G37" s="97" t="inlineStr">
        <is>
          <t>Funding left (negative = over)</t>
        </is>
      </c>
      <c r="H37" s="101">
        <f>Compare!$B$12-H36</f>
        <v/>
      </c>
      <c r="K37" s="101">
        <f>Compare!$B$5-K36</f>
        <v/>
      </c>
    </row>
    <row r="38" ht="15" customHeight="1" s="56">
      <c r="G38" s="97" t="inlineStr">
        <is>
          <t>Personal costs – team</t>
        </is>
      </c>
      <c r="H38" s="102">
        <f>SUM(H25:H31)</f>
        <v/>
      </c>
      <c r="K38" s="102">
        <f>SUM(K25:K31)</f>
        <v/>
      </c>
    </row>
    <row r="39" ht="15" customHeight="1" s="56">
      <c r="G39" s="97" t="inlineStr">
        <is>
          <t>Out-of-pocket per person (personal + any overrun)</t>
        </is>
      </c>
      <c r="H39" s="102">
        <f>(H38+MAX(0,-H37))/Compare!$B$6</f>
        <v/>
      </c>
      <c r="K39" s="102">
        <f>(K38+MAX(0,-K37))/Compare!$B$7</f>
        <v/>
      </c>
    </row>
    <row r="40" ht="15" customHeight="1" s="56">
      <c r="G40" s="97" t="inlineStr">
        <is>
          <t>Whole trip cost (university + personal)</t>
        </is>
      </c>
      <c r="H40" s="103">
        <f>H36+H38</f>
        <v/>
      </c>
      <c r="K40" s="103">
        <f>K36+K38</f>
        <v/>
      </c>
    </row>
    <row r="41" ht="15" customHeight="1" s="56">
      <c r="G41" s="99" t="inlineStr">
        <is>
          <t>Time in planes &amp; trains</t>
        </is>
      </c>
      <c r="H41" s="104">
        <f>D10+D11+D13+D14</f>
        <v/>
      </c>
      <c r="K41" s="104">
        <f>D10+D11+D13+D14</f>
        <v/>
      </c>
    </row>
    <row r="43" ht="15" customHeight="1" s="56">
      <c r="A43" s="72" t="inlineStr">
        <is>
          <t>Key facts</t>
        </is>
      </c>
    </row>
    <row r="44" ht="45" customHeight="1" s="56">
      <c r="A44" s="75" t="inlineStr">
        <is>
          <t>Contest</t>
        </is>
      </c>
      <c r="B44"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5" ht="30" customHeight="1" s="56">
      <c r="A45" s="75" t="inlineStr">
        <is>
          <t>Getting there</t>
        </is>
      </c>
      <c r="B45" s="74" t="inlineStr">
        <is>
          <t>Metro line 1 to Aoti Zhongxin station, exit 2, ~100 m from the campus (53 min from Nanchang station, 1 h 8 min from Nanchang West; taxi ~¥40 / ~¥105 per the 2019 handbook).</t>
        </is>
      </c>
    </row>
    <row r="46" ht="15" customHeight="1" s="56">
      <c r="A46" s="75" t="inlineStr">
        <is>
          <t>Why this plan</t>
        </is>
      </c>
      <c r="B46" s="74" t="inlineStr">
        <is>
          <t>Arrive on 17 Dec at 17:52, three hotel nights and a full rest day; no waiting in Beijing. Best if the team wants a fresh start.</t>
        </is>
      </c>
    </row>
    <row r="47" ht="15" customHeight="1" s="56">
      <c r="A47" s="75" t="inlineStr">
        <is>
          <t>Trade-off</t>
        </is>
      </c>
      <c r="B47" s="74" t="inlineStr">
        <is>
          <t>¥745 train, one more hotel night and a dearer MIAT flight: about ₮1.65M more than the sleeper plan (3 ppl). G335 at 12:00 leaves little margin after MIAT lands – otherwise take G337 16:55 → 22:53.</t>
        </is>
      </c>
    </row>
    <row r="49" ht="15" customHeight="1" s="56">
      <c r="A49" s="72" t="inlineStr">
        <is>
          <t>Day-by-day plan</t>
        </is>
      </c>
    </row>
    <row r="50" ht="15" customHeight="1" s="56">
      <c r="A50" s="96" t="inlineStr">
        <is>
          <t>Date</t>
        </is>
      </c>
      <c r="B50" s="96" t="inlineStr">
        <is>
          <t>Sleep in</t>
        </is>
      </c>
      <c r="C50" s="96" t="inlineStr">
        <is>
          <t>What happens</t>
        </is>
      </c>
    </row>
    <row r="51" ht="15" customHeight="1" s="56">
      <c r="A51" s="74" t="inlineStr">
        <is>
          <t>Thu 17 Dec</t>
        </is>
      </c>
      <c r="B51" s="74" t="inlineStr">
        <is>
          <t>Nanchang</t>
        </is>
      </c>
      <c r="C51" s="74" t="inlineStr">
        <is>
          <t>MIAT OM223 UB 07:30 → Beijing 09:45; taxi to Beijing West; G335 12:00 → Nanchang West 17:52; taxi to Orange Hotel.</t>
        </is>
      </c>
    </row>
    <row r="52" ht="15" customHeight="1" s="56">
      <c r="A52" s="74" t="inlineStr">
        <is>
          <t>Fri 18 Dec</t>
        </is>
      </c>
      <c r="B52" s="74" t="inlineStr">
        <is>
          <t>Nanchang</t>
        </is>
      </c>
      <c r="C52" s="74" t="inlineStr">
        <is>
          <t>Rest / practice day. Registration may open 13:00–18:00 (2019 pattern).</t>
        </is>
      </c>
    </row>
    <row r="53" ht="15" customHeight="1" s="56">
      <c r="A53" s="74" t="inlineStr">
        <is>
          <t>Sat 19 Dec</t>
        </is>
      </c>
      <c r="B53" s="74" t="inlineStr">
        <is>
          <t>Nanchang</t>
        </is>
      </c>
      <c r="C53" s="74" t="inlineStr">
        <is>
          <t>Registration (08:00–12:00), opening ~14:30, warm-up 15:00–17:00 at the JXNU Yaohu gym (2019 pattern).</t>
        </is>
      </c>
    </row>
    <row r="54" ht="15" customHeight="1" s="56">
      <c r="A54" s="74" t="inlineStr">
        <is>
          <t>Sun 20 Dec</t>
        </is>
      </c>
      <c r="B54" s="74" t="inlineStr">
        <is>
          <t>Train</t>
        </is>
      </c>
      <c r="C54" s="74" t="inlineStr">
        <is>
          <t>NANCHANG REGIONAL contest day 09:00–14:00; closing ~15:00–16:30. Metro to Nanchang station; D136 19:22 → Beijing Fengtai 07:31.</t>
        </is>
      </c>
    </row>
    <row r="55" ht="15" customHeight="1" s="56">
      <c r="A55" s="74" t="inlineStr">
        <is>
          <t>Mon 21 Dec</t>
        </is>
      </c>
      <c r="B55" s="74" t="inlineStr">
        <is>
          <t>Home</t>
        </is>
      </c>
      <c r="C55" s="74" t="inlineStr">
        <is>
          <t>Taxi Fengtai → PEK. Air China CA955 12:55 → UB 15:05.</t>
        </is>
      </c>
    </row>
    <row r="57" ht="15" customHeight="1" s="56">
      <c r="A57" s="72" t="inlineStr">
        <is>
          <t>Door-to-door travel times</t>
        </is>
      </c>
    </row>
    <row r="58" ht="15" customHeight="1" s="56">
      <c r="A58" s="96" t="inlineStr">
        <is>
          <t>Date</t>
        </is>
      </c>
      <c r="B58" s="96" t="inlineStr">
        <is>
          <t>Leg</t>
        </is>
      </c>
      <c r="C58" s="96" t="inlineStr">
        <is>
          <t>Mode</t>
        </is>
      </c>
      <c r="D58" s="96" t="inlineStr">
        <is>
          <t>Expected time</t>
        </is>
      </c>
      <c r="E58" s="96" t="inlineStr">
        <is>
          <t>Notes</t>
        </is>
      </c>
    </row>
    <row r="59" ht="15" customHeight="1" s="56">
      <c r="A59" s="105" t="inlineStr">
        <is>
          <t>17 Dec</t>
        </is>
      </c>
      <c r="B59" s="105" t="inlineStr">
        <is>
          <t>Home → Chinggis Khaan airport</t>
        </is>
      </c>
      <c r="C59" s="82" t="inlineStr">
        <is>
          <t>Taxi (~50 km)</t>
        </is>
      </c>
      <c r="D59" s="104" t="n">
        <v>0.04166666666666666</v>
      </c>
      <c r="E59" s="106" t="inlineStr">
        <is>
          <t>Leave ~04:30 for 07:30 flight</t>
        </is>
      </c>
      <c r="F59" s="107" t="n"/>
      <c r="G59" s="107" t="n"/>
      <c r="H59" s="107" t="n"/>
      <c r="I59" s="107" t="n"/>
      <c r="J59" s="107" t="n"/>
      <c r="K59" s="107" t="n"/>
      <c r="L59" s="107" t="n"/>
    </row>
    <row r="60" ht="15" customHeight="1" s="56">
      <c r="A60" s="105" t="inlineStr">
        <is>
          <t>17 Dec</t>
        </is>
      </c>
      <c r="B60" s="105" t="inlineStr">
        <is>
          <t>Ulaanbaatar → Beijing (PEK)</t>
        </is>
      </c>
      <c r="C60" s="82" t="inlineStr">
        <is>
          <t>MIAT OM223 07:30–09:45</t>
        </is>
      </c>
      <c r="D60" s="104" t="n">
        <v>0.09375</v>
      </c>
      <c r="E60" s="106" t="inlineStr"/>
      <c r="F60" s="107" t="n"/>
      <c r="G60" s="107" t="n"/>
      <c r="H60" s="107" t="n"/>
      <c r="I60" s="107" t="n"/>
      <c r="J60" s="107" t="n"/>
      <c r="K60" s="107" t="n"/>
      <c r="L60" s="107" t="n"/>
    </row>
    <row r="61" ht="15" customHeight="1" s="56">
      <c r="A61" s="105" t="inlineStr">
        <is>
          <t>17 Dec</t>
        </is>
      </c>
      <c r="B61" s="105" t="inlineStr">
        <is>
          <t>PEK arrival: immigration, bags</t>
        </is>
      </c>
      <c r="C61" s="82" t="inlineStr">
        <is>
          <t>—</t>
        </is>
      </c>
      <c r="D61" s="104" t="n">
        <v>0.03125</v>
      </c>
      <c r="E61" s="106" t="inlineStr">
        <is>
          <t>Estimate</t>
        </is>
      </c>
      <c r="F61" s="107" t="n"/>
      <c r="G61" s="107" t="n"/>
      <c r="H61" s="107" t="n"/>
      <c r="I61" s="107" t="n"/>
      <c r="J61" s="107" t="n"/>
      <c r="K61" s="107" t="n"/>
      <c r="L61" s="107" t="n"/>
    </row>
    <row r="62" ht="15" customHeight="1" s="56">
      <c r="A62" s="105" t="inlineStr">
        <is>
          <t>17 Dec</t>
        </is>
      </c>
      <c r="B62" s="105" t="inlineStr">
        <is>
          <t>PEK → Beijing West</t>
        </is>
      </c>
      <c r="C62" s="82" t="inlineStr">
        <is>
          <t>Taxi (~45 km)</t>
        </is>
      </c>
      <c r="D62" s="104" t="n">
        <v>0.05208333333333334</v>
      </c>
      <c r="E62" s="106" t="inlineStr">
        <is>
          <t>Estimate; be at Beijing West by ~11:30</t>
        </is>
      </c>
      <c r="F62" s="107" t="n"/>
      <c r="G62" s="107" t="n"/>
      <c r="H62" s="107" t="n"/>
      <c r="I62" s="107" t="n"/>
      <c r="J62" s="107" t="n"/>
      <c r="K62" s="107" t="n"/>
      <c r="L62" s="107" t="n"/>
    </row>
    <row r="63" ht="15" customHeight="1" s="56">
      <c r="A63" s="105" t="inlineStr">
        <is>
          <t>17 Dec</t>
        </is>
      </c>
      <c r="B63" s="105" t="inlineStr">
        <is>
          <t>Beijing West → Nanchang West</t>
        </is>
      </c>
      <c r="C63" s="82" t="inlineStr">
        <is>
          <t>G335 12:00–17:52</t>
        </is>
      </c>
      <c r="D63" s="104" t="n">
        <v>0.2444444444444444</v>
      </c>
      <c r="E63" s="106" t="inlineStr"/>
      <c r="F63" s="107" t="n"/>
      <c r="G63" s="107" t="n"/>
      <c r="H63" s="107" t="n"/>
      <c r="I63" s="107" t="n"/>
      <c r="J63" s="107" t="n"/>
      <c r="K63" s="107" t="n"/>
      <c r="L63" s="107" t="n"/>
    </row>
    <row r="64" ht="15" customHeight="1" s="56">
      <c r="A64" s="105" t="inlineStr">
        <is>
          <t>17 Dec</t>
        </is>
      </c>
      <c r="B64" s="105" t="inlineStr">
        <is>
          <t>Nanchang West → hotel</t>
        </is>
      </c>
      <c r="C64" s="82" t="inlineStr">
        <is>
          <t>Taxi (~35 km)</t>
        </is>
      </c>
      <c r="D64" s="104" t="n">
        <v>0.03472222222222222</v>
      </c>
      <c r="E64" s="106" t="inlineStr">
        <is>
          <t>Estimate</t>
        </is>
      </c>
      <c r="F64" s="107" t="n"/>
      <c r="G64" s="107" t="n"/>
      <c r="H64" s="107" t="n"/>
      <c r="I64" s="107" t="n"/>
      <c r="J64" s="107" t="n"/>
      <c r="K64" s="107" t="n"/>
      <c r="L64" s="107" t="n"/>
    </row>
    <row r="65" ht="15" customHeight="1" s="56">
      <c r="A65" s="105" t="inlineStr">
        <is>
          <t>18–20 Dec</t>
        </is>
      </c>
      <c r="B65" s="105" t="inlineStr">
        <is>
          <t>Hotel ↔ JXNU Yaohu campus (each way)</t>
        </is>
      </c>
      <c r="C65" s="82" t="inlineStr">
        <is>
          <t>Walk</t>
        </is>
      </c>
      <c r="D65" s="104" t="inlineStr">
        <is>
          <t>daily</t>
        </is>
      </c>
      <c r="E65" s="106" t="inlineStr">
        <is>
          <t>~10–15 min walk (Orange Hotel ~0.7 km)</t>
        </is>
      </c>
      <c r="F65" s="107" t="n"/>
      <c r="G65" s="107" t="n"/>
      <c r="H65" s="107" t="n"/>
      <c r="I65" s="107" t="n"/>
      <c r="J65" s="107" t="n"/>
      <c r="K65" s="107" t="n"/>
      <c r="L65" s="107" t="n"/>
    </row>
    <row r="66" ht="15" customHeight="1" s="56">
      <c r="A66" s="105" t="inlineStr">
        <is>
          <t>20 Dec</t>
        </is>
      </c>
      <c r="B66" s="105" t="inlineStr">
        <is>
          <t>JXNU Yaohu campus → Nanchang station</t>
        </is>
      </c>
      <c r="C66" s="82" t="inlineStr">
        <is>
          <t>Metro line 1 + 2 / taxi</t>
        </is>
      </c>
      <c r="D66" s="104" t="n">
        <v>0.03819444444444445</v>
      </c>
      <c r="E66" s="106" t="inlineStr">
        <is>
          <t>Leave ~17:45 for the 19:22 train</t>
        </is>
      </c>
      <c r="F66" s="107" t="n"/>
      <c r="G66" s="107" t="n"/>
      <c r="H66" s="107" t="n"/>
      <c r="I66" s="107" t="n"/>
      <c r="J66" s="107" t="n"/>
      <c r="K66" s="107" t="n"/>
      <c r="L66" s="107" t="n"/>
    </row>
    <row r="67" ht="15" customHeight="1" s="56">
      <c r="A67" s="105" t="inlineStr">
        <is>
          <t>20–21 Dec</t>
        </is>
      </c>
      <c r="B67" s="105" t="inlineStr">
        <is>
          <t>Nanchang → Beijing Fengtai</t>
        </is>
      </c>
      <c r="C67" s="82" t="inlineStr">
        <is>
          <t>D136 seat 19:22–07:31</t>
        </is>
      </c>
      <c r="D67" s="104" t="n">
        <v>0.50625</v>
      </c>
      <c r="E67" s="106" t="inlineStr">
        <is>
          <t>Overnight</t>
        </is>
      </c>
      <c r="F67" s="107" t="n"/>
      <c r="G67" s="107" t="n"/>
      <c r="H67" s="107" t="n"/>
      <c r="I67" s="107" t="n"/>
      <c r="J67" s="107" t="n"/>
      <c r="K67" s="107" t="n"/>
      <c r="L67" s="107" t="n"/>
    </row>
    <row r="68" ht="15" customHeight="1" s="56">
      <c r="A68" s="105" t="inlineStr">
        <is>
          <t>21 Dec</t>
        </is>
      </c>
      <c r="B68" s="105" t="inlineStr">
        <is>
          <t>Beijing Fengtai → PEK</t>
        </is>
      </c>
      <c r="C68" s="82" t="inlineStr">
        <is>
          <t>Taxi (~45 km)</t>
        </is>
      </c>
      <c r="D68" s="104" t="n">
        <v>0.05208333333333334</v>
      </c>
      <c r="E68" s="106" t="inlineStr">
        <is>
          <t>Be at PEK by ~10:55 for the 12:55 flight</t>
        </is>
      </c>
      <c r="F68" s="107" t="n"/>
      <c r="G68" s="107" t="n"/>
      <c r="H68" s="107" t="n"/>
      <c r="I68" s="107" t="n"/>
      <c r="J68" s="107" t="n"/>
      <c r="K68" s="107" t="n"/>
      <c r="L68" s="107" t="n"/>
    </row>
    <row r="69" ht="15" customHeight="1" s="56">
      <c r="A69" s="105" t="inlineStr">
        <is>
          <t>21 Dec</t>
        </is>
      </c>
      <c r="B69" s="105" t="inlineStr">
        <is>
          <t>Beijing (PEK) → Ulaanbaatar</t>
        </is>
      </c>
      <c r="C69" s="82" t="inlineStr">
        <is>
          <t>Air China CA955 12:55–15:05</t>
        </is>
      </c>
      <c r="D69" s="104" t="n">
        <v>0.09027777777777778</v>
      </c>
      <c r="E69" s="106" t="inlineStr"/>
      <c r="F69" s="107" t="n"/>
      <c r="G69" s="107" t="n"/>
      <c r="H69" s="107" t="n"/>
      <c r="I69" s="107" t="n"/>
      <c r="J69" s="107" t="n"/>
      <c r="K69" s="107" t="n"/>
      <c r="L69" s="107" t="n"/>
    </row>
    <row r="70" ht="15" customHeight="1" s="56">
      <c r="A70" s="105" t="inlineStr">
        <is>
          <t>21 Dec</t>
        </is>
      </c>
      <c r="B70" s="105" t="inlineStr">
        <is>
          <t>Chinggis Khaan airport → home</t>
        </is>
      </c>
      <c r="C70" s="82" t="inlineStr">
        <is>
          <t>Taxi</t>
        </is>
      </c>
      <c r="D70" s="104" t="n">
        <v>0.04166666666666666</v>
      </c>
      <c r="E70" s="106" t="inlineStr"/>
      <c r="F70" s="107" t="n"/>
      <c r="G70" s="107" t="n"/>
      <c r="H70" s="107" t="n"/>
      <c r="I70" s="107" t="n"/>
      <c r="J70" s="107" t="n"/>
      <c r="K70" s="107" t="n"/>
      <c r="L70" s="107" t="n"/>
    </row>
    <row r="72" ht="15" customHeight="1" s="56">
      <c r="C72" s="59" t="inlineStr">
        <is>
          <t>Total door-to-door</t>
        </is>
      </c>
      <c r="D72" s="109">
        <f>SUM(D59:D70)</f>
        <v/>
      </c>
    </row>
  </sheetData>
  <mergeCells count="21">
    <mergeCell ref="C52:L52"/>
    <mergeCell ref="E68:L68"/>
    <mergeCell ref="B47:L47"/>
    <mergeCell ref="E62:L62"/>
    <mergeCell ref="B46:L46"/>
    <mergeCell ref="E67:L67"/>
    <mergeCell ref="C53:L53"/>
    <mergeCell ref="E64:L64"/>
    <mergeCell ref="E63:L63"/>
    <mergeCell ref="E60:L60"/>
    <mergeCell ref="E69:L69"/>
    <mergeCell ref="E65:L65"/>
    <mergeCell ref="B44:L44"/>
    <mergeCell ref="E59:L59"/>
    <mergeCell ref="C54:L54"/>
    <mergeCell ref="E70:L70"/>
    <mergeCell ref="E61:L61"/>
    <mergeCell ref="C55:L55"/>
    <mergeCell ref="E66:L66"/>
    <mergeCell ref="C51:L51"/>
    <mergeCell ref="B45:L4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8"/>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Fly in (Air China)</t>
        </is>
      </c>
    </row>
    <row r="2" ht="15" customHeight="1" s="56">
      <c r="A2" s="62" t="inlineStr">
        <is>
          <t>Air China through ticket UB → Nanchang on 17 Dec (one ticket, bags through, lands 21:40); D136 seat back and Air China home on 21 Dec.</t>
        </is>
      </c>
    </row>
    <row r="4" ht="15" customHeight="1" s="56">
      <c r="A4" s="60" t="inlineStr">
        <is>
          <t>Days in destination (meals &amp; local transport)</t>
        </is>
      </c>
      <c r="B4" s="76" t="n">
        <v>4</v>
      </c>
      <c r="C4" s="62" t="inlineStr">
        <is>
          <t>17 Dec evening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CA902 UB 11:50 → Beijing 13:55, CA1581 Beijing 19:20 → Nanchang 21:40 (one ticket, 5 h 25 min layover)</t>
        </is>
      </c>
      <c r="C10" s="83" t="inlineStr">
        <is>
          <t>17 Dec</t>
        </is>
      </c>
      <c r="D10" s="84" t="n">
        <v>0.4097222222222222</v>
      </c>
      <c r="E10" s="85" t="n">
        <v>356</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$356 pp, through ticket via PEK (the CA956 16:10 + CA1537 08:25 next-day combination is also $356). Not cross-checked on Trip.com; $199 pp more than Air China 16:10 + Z111 sleeper</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Overnight train D136 Nanchang 19:22 → Beijing Fengtai 07:31 (+1), 2nd-class seat (after the contest)</t>
        </is>
      </c>
      <c r="C13" s="83" t="inlineStr">
        <is>
          <t>20 Dec (night)</t>
        </is>
      </c>
      <c r="D13" s="84" t="n">
        <v>0.50625</v>
      </c>
      <c r="E13" s="85" t="n">
        <v>271</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4" ht="15" customHeight="1" s="56">
      <c r="A14" s="79" t="inlineStr">
        <is>
          <t>Accommodation</t>
        </is>
      </c>
      <c r="B14" s="80" t="n"/>
      <c r="C14" s="80" t="n"/>
      <c r="D14" s="80" t="n"/>
      <c r="E14" s="80" t="n"/>
      <c r="F14" s="80" t="n"/>
      <c r="G14" s="80" t="n"/>
      <c r="H14" s="80" t="n"/>
      <c r="I14" s="80" t="n"/>
      <c r="J14" s="80" t="n"/>
      <c r="K14" s="80" t="n"/>
      <c r="L14" s="80" t="n"/>
    </row>
    <row r="15" ht="45" customHeight="1" s="56">
      <c r="A15" s="81" t="n"/>
      <c r="B15" s="111" t="inlineStr">
        <is>
          <t>Orange Hotel (Nanchang Yaohu West Subway Station, Normal University branch; ~0.7 km to JXNU; 3 ppl 1 room; 4 ppl Family Room)</t>
        </is>
      </c>
      <c r="C15" s="83" t="inlineStr">
        <is>
          <t>17–20 Dec (3 nights)</t>
        </is>
      </c>
      <c r="D15" s="81" t="n"/>
      <c r="E15" s="85" t="n">
        <v>386.67</v>
      </c>
      <c r="F15" s="86" t="inlineStr">
        <is>
          <t>CNY</t>
        </is>
      </c>
      <c r="G15" s="91" t="n">
        <v>3</v>
      </c>
      <c r="H15" s="88">
        <f>E15*G15*IF(F15="USD",Compare!$B$8,IF(F15="CNY",Compare!$B$9,IF(F15="HKD",Compare!$B$10,1)))</f>
        <v/>
      </c>
      <c r="I15" s="85" t="n">
        <v>404.67</v>
      </c>
      <c r="J15" s="91" t="n">
        <v>3</v>
      </c>
      <c r="K15" s="88">
        <f>I15*J15*IF(F15="USD",Compare!$B$8,IF(F15="CNY",Compare!$B$9,IF(F15="HKD",Compare!$B$10,1)))</f>
        <v/>
      </c>
      <c r="L15" s="112" t="inlineStr">
        <is>
          <t>Trip.com 10 Oct: ¥1,160 (3 adults) / ¥1,214 (4 adults, Deluxe Family Room) for 3 nights; rated 9.6 (662 reviews)</t>
        </is>
      </c>
    </row>
    <row r="16" ht="15" customHeight="1" s="56">
      <c r="A16" s="79" t="inlineStr">
        <is>
          <t>Meals &amp; local transport</t>
        </is>
      </c>
      <c r="B16" s="80" t="n"/>
      <c r="C16" s="80" t="n"/>
      <c r="D16" s="80" t="n"/>
      <c r="E16" s="80" t="n"/>
      <c r="F16" s="80" t="n"/>
      <c r="G16" s="80" t="n"/>
      <c r="H16" s="80" t="n"/>
      <c r="I16" s="80" t="n"/>
      <c r="J16" s="80" t="n"/>
      <c r="K16" s="80" t="n"/>
      <c r="L16" s="80" t="n"/>
    </row>
    <row r="17" ht="30" customHeight="1" s="56">
      <c r="A17" s="81" t="n"/>
      <c r="B17" s="111" t="inlineStr">
        <is>
          <t>Meals</t>
        </is>
      </c>
      <c r="C17" s="83" t="inlineStr">
        <is>
          <t>in destination</t>
        </is>
      </c>
      <c r="D17" s="81" t="n"/>
      <c r="E17" s="113" t="n">
        <v>80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80 CNY/person/day; hosts usually provide some meals on contest days</t>
        </is>
      </c>
    </row>
    <row r="18" ht="15" customHeight="1" s="56">
      <c r="A18" s="81" t="n"/>
      <c r="B18" s="111" t="inlineStr">
        <is>
          <t>Local transport (metro, taxis)</t>
        </is>
      </c>
      <c r="C18" s="83" t="inlineStr">
        <is>
          <t>in destination</t>
        </is>
      </c>
      <c r="D18" s="81" t="n"/>
      <c r="E18" s="113" t="n">
        <v>30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30 CNY/person/day</t>
        </is>
      </c>
    </row>
    <row r="19" ht="30" customHeight="1" s="56">
      <c r="A19" s="81" t="n"/>
      <c r="B19" s="111" t="inlineStr">
        <is>
          <t>Taxi Nanchang airport (KHN) → hotel</t>
        </is>
      </c>
      <c r="C19" s="83" t="inlineStr">
        <is>
          <t>17 Dec</t>
        </is>
      </c>
      <c r="D19" s="84" t="n"/>
      <c r="E19" s="113" t="n">
        <v>130</v>
      </c>
      <c r="F19" s="86" t="inlineStr">
        <is>
          <t>CNY</t>
        </is>
      </c>
      <c r="G19" s="91" t="n">
        <v>1</v>
      </c>
      <c r="H19" s="88">
        <f>E19*G19*IF(F19="USD",Compare!$B$8,IF(F19="CNY",Compare!$B$9,IF(F19="HKD",Compare!$B$10,1)))</f>
        <v/>
      </c>
      <c r="I19" s="114">
        <f>E19</f>
        <v/>
      </c>
      <c r="J19" s="91" t="n">
        <v>1</v>
      </c>
      <c r="K19" s="88">
        <f>I19*J19*IF(F19="USD",Compare!$B$8,IF(F19="CNY",Compare!$B$9,IF(F19="HKD",Compare!$B$10,1)))</f>
        <v/>
      </c>
      <c r="L19" s="112" t="inlineStr">
        <is>
          <t>ASSUMPTION ~130 CNY per car, ~40 km (airport bus 1 + metro line 1 ~1 h 50 min, ~20 CNY pp)</t>
        </is>
      </c>
    </row>
    <row r="20" ht="15" customHeight="1" s="56">
      <c r="A20" s="81" t="n"/>
      <c r="B20" s="111" t="inlineStr">
        <is>
          <t>Taxi Nanchang station ↔ hotel departure</t>
        </is>
      </c>
      <c r="C20" s="83" t="inlineStr">
        <is>
          <t>20 Dec</t>
        </is>
      </c>
      <c r="D20" s="84" t="n"/>
      <c r="E20" s="113" t="n">
        <v>60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~60 CNY per car, ~15 km</t>
        </is>
      </c>
    </row>
    <row r="21" ht="15" customHeight="1" s="56">
      <c r="A21" s="81" t="n"/>
      <c r="B21" s="111" t="inlineStr">
        <is>
          <t>Taxi Beijing Fengtai → PEK</t>
        </is>
      </c>
      <c r="C21" s="83" t="inlineStr">
        <is>
          <t>21 Dec</t>
        </is>
      </c>
      <c r="D21" s="84" t="n"/>
      <c r="E21" s="113" t="n">
        <v>150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~150 CNY per car, ~45 km</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f>
        <v/>
      </c>
      <c r="K39" s="104">
        <f>D10+D11+D13</f>
        <v/>
      </c>
    </row>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15" customHeight="1" s="56">
      <c r="A44" s="75" t="inlineStr">
        <is>
          <t>Why this plan</t>
        </is>
      </c>
      <c r="B44" s="74" t="inlineStr">
        <is>
          <t>One ticket, no train, no waiting in the Beijing station: lands 21:40 on 17 Dec and sleeps in the hotel.</t>
        </is>
      </c>
    </row>
    <row r="45" ht="15" customHeight="1" s="56">
      <c r="A45" s="75" t="inlineStr">
        <is>
          <t>Trade-off</t>
        </is>
      </c>
      <c r="B45" s="74" t="inlineStr">
        <is>
          <t>About ₮2.1M more than the sleeper plan for the same contest (3 ppl). The return stays on D136 + Air China because KHN → UB on 21 Dec needs a Beijing night ($294).</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17 Dec</t>
        </is>
      </c>
      <c r="B49" s="74" t="inlineStr">
        <is>
          <t>Nanchang</t>
        </is>
      </c>
      <c r="C49" s="74" t="inlineStr">
        <is>
          <t>Taxi to the airport; Air China CA902 UB 11:50 → Beijing 13:55; CA1581 19:20 → Nanchang 21:40; taxi to Orange Hotel.</t>
        </is>
      </c>
    </row>
    <row r="50" ht="15" customHeight="1" s="56">
      <c r="A50" s="74" t="inlineStr">
        <is>
          <t>Fri 18 Dec</t>
        </is>
      </c>
      <c r="B50" s="74" t="inlineStr">
        <is>
          <t>Nanchang</t>
        </is>
      </c>
      <c r="C50" s="74" t="inlineStr">
        <is>
          <t>Rest / practice day.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~08:45 for 11:50 flight</t>
        </is>
      </c>
      <c r="F57" s="107" t="n"/>
      <c r="G57" s="107" t="n"/>
      <c r="H57" s="107" t="n"/>
      <c r="I57" s="107" t="n"/>
      <c r="J57" s="107" t="n"/>
      <c r="K57" s="107" t="n"/>
      <c r="L57" s="107" t="n"/>
    </row>
    <row r="58" ht="15" customHeight="1" s="56">
      <c r="A58" s="105" t="inlineStr">
        <is>
          <t>17 Dec</t>
        </is>
      </c>
      <c r="B58" s="105" t="inlineStr">
        <is>
          <t>Ulaanbaatar → Beijing → Nanchang</t>
        </is>
      </c>
      <c r="C58" s="82" t="inlineStr">
        <is>
          <t>Air China CA902 + CA1581 (through ticket)</t>
        </is>
      </c>
      <c r="D58" s="104" t="n">
        <v>0.4097222222222222</v>
      </c>
      <c r="E58" s="106" t="inlineStr">
        <is>
          <t>Includes 5 h 25 min layover at PEK</t>
        </is>
      </c>
      <c r="F58" s="107" t="n"/>
      <c r="G58" s="107" t="n"/>
      <c r="H58" s="107" t="n"/>
      <c r="I58" s="107" t="n"/>
      <c r="J58" s="107" t="n"/>
      <c r="K58" s="107" t="n"/>
      <c r="L58" s="107" t="n"/>
    </row>
    <row r="59" ht="15" customHeight="1" s="56">
      <c r="A59" s="105" t="inlineStr">
        <is>
          <t>17 Dec</t>
        </is>
      </c>
      <c r="B59" s="105" t="inlineStr">
        <is>
          <t>Nanchang airport arrival, bags</t>
        </is>
      </c>
      <c r="C59" s="82" t="inlineStr">
        <is>
          <t>—</t>
        </is>
      </c>
      <c r="D59" s="104" t="n">
        <v>0.02083333333333333</v>
      </c>
      <c r="E59" s="106" t="inlineStr">
        <is>
          <t>Estimate</t>
        </is>
      </c>
      <c r="F59" s="107" t="n"/>
      <c r="G59" s="107" t="n"/>
      <c r="H59" s="107" t="n"/>
      <c r="I59" s="107" t="n"/>
      <c r="J59" s="107" t="n"/>
      <c r="K59" s="107" t="n"/>
      <c r="L59" s="107" t="n"/>
    </row>
    <row r="60" ht="15" customHeight="1" s="56">
      <c r="A60" s="105" t="inlineStr">
        <is>
          <t>17 Dec</t>
        </is>
      </c>
      <c r="B60" s="105" t="inlineStr">
        <is>
          <t>Nanchang airport → hotel</t>
        </is>
      </c>
      <c r="C60" s="82" t="inlineStr">
        <is>
          <t>Taxi (~40 km)</t>
        </is>
      </c>
      <c r="D60" s="104" t="n">
        <v>0.03472222222222222</v>
      </c>
      <c r="E60" s="106" t="inlineStr">
        <is>
          <t>Estimate</t>
        </is>
      </c>
      <c r="F60" s="107" t="n"/>
      <c r="G60" s="107" t="n"/>
      <c r="H60" s="107" t="n"/>
      <c r="I60" s="107" t="n"/>
      <c r="J60" s="107" t="n"/>
      <c r="K60" s="107" t="n"/>
      <c r="L60" s="107" t="n"/>
    </row>
    <row r="61" ht="15" customHeight="1" s="56">
      <c r="A61" s="105" t="inlineStr">
        <is>
          <t>18–20 Dec</t>
        </is>
      </c>
      <c r="B61" s="105" t="inlineStr">
        <is>
          <t>Hotel ↔ JXNU Yaohu campus (each way)</t>
        </is>
      </c>
      <c r="C61" s="82" t="inlineStr">
        <is>
          <t>Walk</t>
        </is>
      </c>
      <c r="D61" s="104" t="inlineStr">
        <is>
          <t>daily</t>
        </is>
      </c>
      <c r="E61" s="106" t="inlineStr">
        <is>
          <t>~10–15 min walk (Orange Hotel ~0.7 km)</t>
        </is>
      </c>
      <c r="F61" s="107" t="n"/>
      <c r="G61" s="107" t="n"/>
      <c r="H61" s="107" t="n"/>
      <c r="I61" s="107" t="n"/>
      <c r="J61" s="107" t="n"/>
      <c r="K61" s="107" t="n"/>
      <c r="L61" s="107" t="n"/>
    </row>
    <row r="62" ht="15" customHeight="1" s="56">
      <c r="A62" s="105" t="inlineStr">
        <is>
          <t>20 Dec</t>
        </is>
      </c>
      <c r="B62" s="105" t="inlineStr">
        <is>
          <t>JXNU Yaohu campus → Nanchang station</t>
        </is>
      </c>
      <c r="C62" s="82" t="inlineStr">
        <is>
          <t>Metro line 1 + 2 / taxi</t>
        </is>
      </c>
      <c r="D62" s="104" t="n">
        <v>0.03819444444444445</v>
      </c>
      <c r="E62" s="106" t="inlineStr">
        <is>
          <t>Leave ~17:45 for the 19:22 train</t>
        </is>
      </c>
      <c r="F62" s="107" t="n"/>
      <c r="G62" s="107" t="n"/>
      <c r="H62" s="107" t="n"/>
      <c r="I62" s="107" t="n"/>
      <c r="J62" s="107" t="n"/>
      <c r="K62" s="107" t="n"/>
      <c r="L62" s="107" t="n"/>
    </row>
    <row r="63" ht="15" customHeight="1" s="56">
      <c r="A63" s="105" t="inlineStr">
        <is>
          <t>20–21 Dec</t>
        </is>
      </c>
      <c r="B63" s="105" t="inlineStr">
        <is>
          <t>Nanchang → Beijing Fengtai</t>
        </is>
      </c>
      <c r="C63" s="82" t="inlineStr">
        <is>
          <t>D136 seat 19:22–07:31</t>
        </is>
      </c>
      <c r="D63" s="104" t="n">
        <v>0.50625</v>
      </c>
      <c r="E63" s="106" t="inlineStr">
        <is>
          <t>Overnight</t>
        </is>
      </c>
      <c r="F63" s="107" t="n"/>
      <c r="G63" s="107" t="n"/>
      <c r="H63" s="107" t="n"/>
      <c r="I63" s="107" t="n"/>
      <c r="J63" s="107" t="n"/>
      <c r="K63" s="107" t="n"/>
      <c r="L63" s="107" t="n"/>
    </row>
    <row r="64" ht="15" customHeight="1" s="56">
      <c r="A64" s="105" t="inlineStr">
        <is>
          <t>21 Dec</t>
        </is>
      </c>
      <c r="B64" s="105" t="inlineStr">
        <is>
          <t>Beijing Fengtai → PEK</t>
        </is>
      </c>
      <c r="C64" s="82" t="inlineStr">
        <is>
          <t>Taxi (~45 km)</t>
        </is>
      </c>
      <c r="D64" s="104" t="n">
        <v>0.05208333333333334</v>
      </c>
      <c r="E64" s="106" t="inlineStr">
        <is>
          <t>Be at PEK by ~10:55 for the 12:55 flight</t>
        </is>
      </c>
      <c r="F64" s="107" t="n"/>
      <c r="G64" s="107" t="n"/>
      <c r="H64" s="107" t="n"/>
      <c r="I64" s="107" t="n"/>
      <c r="J64" s="107" t="n"/>
      <c r="K64" s="107" t="n"/>
      <c r="L64" s="107" t="n"/>
    </row>
    <row r="65" ht="15" customHeight="1" s="56">
      <c r="A65" s="105" t="inlineStr">
        <is>
          <t>21 Dec</t>
        </is>
      </c>
      <c r="B65" s="105" t="inlineStr">
        <is>
          <t>Beijing (PEK) → Ulaanbaatar</t>
        </is>
      </c>
      <c r="C65" s="82" t="inlineStr">
        <is>
          <t>Air China CA955 12:55–15:05</t>
        </is>
      </c>
      <c r="D65" s="104" t="n">
        <v>0.09027777777777778</v>
      </c>
      <c r="E65" s="106" t="inlineStr"/>
      <c r="F65" s="107" t="n"/>
      <c r="G65" s="107" t="n"/>
      <c r="H65" s="107" t="n"/>
      <c r="I65" s="107" t="n"/>
      <c r="J65" s="107" t="n"/>
      <c r="K65" s="107" t="n"/>
      <c r="L65" s="107" t="n"/>
    </row>
    <row r="66" ht="15" customHeight="1" s="56">
      <c r="A66" s="105" t="inlineStr">
        <is>
          <t>21 Dec</t>
        </is>
      </c>
      <c r="B66" s="105" t="inlineStr">
        <is>
          <t>Chinggis Khaan airport → home</t>
        </is>
      </c>
      <c r="C66" s="82" t="inlineStr">
        <is>
          <t>Taxi</t>
        </is>
      </c>
      <c r="D66" s="104" t="n">
        <v>0.04166666666666666</v>
      </c>
      <c r="E66" s="106" t="inlineStr"/>
      <c r="F66" s="107" t="n"/>
      <c r="G66" s="107" t="n"/>
      <c r="H66" s="107" t="n"/>
      <c r="I66" s="107" t="n"/>
      <c r="J66" s="107" t="n"/>
      <c r="K66" s="107" t="n"/>
      <c r="L66" s="107" t="n"/>
    </row>
    <row r="68" ht="15" customHeight="1" s="56">
      <c r="C68" s="59" t="inlineStr">
        <is>
          <t>Total door-to-door</t>
        </is>
      </c>
      <c r="D68" s="109">
        <f>SUM(D57:D66)</f>
        <v/>
      </c>
    </row>
  </sheetData>
  <mergeCells count="19">
    <mergeCell ref="E58:L58"/>
    <mergeCell ref="C52:L52"/>
    <mergeCell ref="E62:L62"/>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5.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Budget</t>
        </is>
      </c>
    </row>
    <row r="2" ht="15" customHeight="1" s="56">
      <c r="A2" s="62" t="inlineStr">
        <is>
          <t>MIAT nonstop both ways; guesthouse rooms in Tsim Sha Tsui (Kowloon), ~35 min MTR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Premium Lounge guesthouse, Chungking Mansion, Tsim Sha Tsui (3 ppl Triple Room; 4 ppl Triple Room + 1 dorm bed)</t>
        </is>
      </c>
      <c r="C13" s="83" t="inlineStr">
        <is>
          <t>8–11 Jan (3 nights)</t>
        </is>
      </c>
      <c r="D13" s="81" t="n"/>
      <c r="E13" s="85" t="n">
        <v>392.33</v>
      </c>
      <c r="F13" s="86" t="inlineStr">
        <is>
          <t>HKD</t>
        </is>
      </c>
      <c r="G13" s="91" t="n">
        <v>3</v>
      </c>
      <c r="H13" s="88">
        <f>E13*G13*IF(F13="USD",Compare!$B$8,IF(F13="CNY",Compare!$B$9,IF(F13="HKD",Compare!$B$10,1)))</f>
        <v/>
      </c>
      <c r="I13" s="85" t="n">
        <v>537</v>
      </c>
      <c r="J13" s="91" t="n">
        <v>3</v>
      </c>
      <c r="K13" s="88">
        <f>I13*J13*IF(F13="USD",Compare!$B$8,IF(F13="CNY",Compare!$B$9,IF(F13="HKD",Compare!$B$10,1)))</f>
        <v/>
      </c>
      <c r="L13" s="90" t="inlineStr">
        <is>
          <t>Booking.com 10 Oct, 8–11 Jan: HK$1,177 (3 ppl, Triple Room) / HK$1,611 (4 ppl: Triple Room + 1 dorm bed) for 3 nights; rated 8.1 (1,242 reviews). Was HK$1,308 / HK$1,790 on 30 Sep</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everything else (via Seoul/Beijing) costs more or takes a day longer.</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Tiny guesthouse rooms; ~35 min each way to HKU. Cheap guesthouse rooms are the weak point for sleep on contest eve – see 'Hong Kong – Sleep first' and the 'Sleep check' sheet.</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B39:L39"/>
    <mergeCell ref="C48:L48"/>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Comfort</t>
        </is>
      </c>
    </row>
    <row r="2" ht="15" customHeight="1" s="56">
      <c r="A2" s="62" t="inlineStr">
        <is>
          <t>MIAT nonstop both ways; hotel in Sai Ying Pun, ~1 MTR stop / short walk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(~1 km to HKU; 3 ppl 1 room; 4 ppl 2 rooms)</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2,139 HKD (3 ppl) / 3,640 HKD (4 ppl, 2 rooms) for 3 nights; rated 7.4 (4,583 reviews)</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Walking distance to HKU, a proper hotel; flights identical to the budget plan.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Hotel costs roughly double the Kowloon guesthouse.</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Sai Ying Pun hotel.</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Express to Hong Kong stn + taxi/MTR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B39:L39"/>
    <mergeCell ref="C48:L48"/>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Value</t>
        </is>
      </c>
    </row>
    <row r="2" ht="15" customHeight="1" s="56">
      <c r="A2" s="62" t="inlineStr">
        <is>
          <t>MIAT nonstop both ways; better-rated Kowloon guesthouse (9.6) for about the same price, ~35 min MTR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Kusa Inn, Kowloon guesthouse (3 ppl Triple Room; 4 ppl Double + Triple Room)</t>
        </is>
      </c>
      <c r="C13" s="83" t="inlineStr">
        <is>
          <t>8–11 Jan (3 nights)</t>
        </is>
      </c>
      <c r="D13" s="81" t="n"/>
      <c r="E13" s="85" t="n">
        <v>398</v>
      </c>
      <c r="F13" s="86" t="inlineStr">
        <is>
          <t>HKD</t>
        </is>
      </c>
      <c r="G13" s="91" t="n">
        <v>3</v>
      </c>
      <c r="H13" s="88">
        <f>E13*G13*IF(F13="USD",Compare!$B$8,IF(F13="CNY",Compare!$B$9,IF(F13="HKD",Compare!$B$10,1)))</f>
        <v/>
      </c>
      <c r="I13" s="85" t="n">
        <v>707.33</v>
      </c>
      <c r="J13" s="91" t="n">
        <v>3</v>
      </c>
      <c r="K13" s="88">
        <f>I13*J13*IF(F13="USD",Compare!$B$8,IF(F13="CNY",Compare!$B$9,IF(F13="HKD",Compare!$B$10,1)))</f>
        <v/>
      </c>
      <c r="L13" s="90" t="inlineStr">
        <is>
          <t>Booking.com 10 Oct, 8–11 Jan: HK$1,194 (3 ppl) / HK$2,122 (4 ppl, 2 rooms) for 3 nights; rated 9.6 (only 15 reviews). Runner-up Mochi Inn 9.1 (17 reviews): 4 ppl HK$2,212; Good Fortune Inn 8.6 (715 reviews) HK$1,759 / HK$2,889</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at $583–593 return (low against the usual $708–900); everything else via Seoul/Beijing/Shenzhen costs more.</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Slightly dearer than Premium Lounge for 4 people; few reviews so far; ~35 min each way to HKU.</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3:L53"/>
    <mergeCell ref="E59:L59"/>
    <mergeCell ref="E51:L51"/>
    <mergeCell ref="C48:L48"/>
    <mergeCell ref="B39:L39"/>
    <mergeCell ref="E54:L54"/>
    <mergeCell ref="E55:L55"/>
    <mergeCell ref="E52:L52"/>
    <mergeCell ref="C46:L46"/>
    <mergeCell ref="C47:L47"/>
    <mergeCell ref="B40:L40"/>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Sleep first</t>
        </is>
      </c>
    </row>
    <row r="2" ht="15" customHeight="1" s="56">
      <c r="A2" s="62" t="inlineStr">
        <is>
          <t>MIAT nonstop both ways; two quiet hotel rooms in Sheung Wan, 2 MTR stops (~10 min) from HKU – the contest-eve sleep is protected.</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iclub AMTD Sheung Wan Hotel (2 rooms: 3 ppl 2 + 1; 4 ppl 2 + 2; 2 MTR stops to HKU station)</t>
        </is>
      </c>
      <c r="C13" s="83" t="inlineStr">
        <is>
          <t>8–11 Jan (3 nights)</t>
        </is>
      </c>
      <c r="D13" s="81" t="n"/>
      <c r="E13" s="113" t="n">
        <v>2068.67</v>
      </c>
      <c r="F13" s="86" t="inlineStr">
        <is>
          <t>HKD</t>
        </is>
      </c>
      <c r="G13" s="91" t="n">
        <v>3</v>
      </c>
      <c r="H13" s="88">
        <f>E13*G13*IF(F13="USD",Compare!$B$8,IF(F13="CNY",Compare!$B$9,IF(F13="HKD",Compare!$B$10,1)))</f>
        <v/>
      </c>
      <c r="I13" s="113" t="n">
        <v>2068.67</v>
      </c>
      <c r="J13" s="91" t="n">
        <v>3</v>
      </c>
      <c r="K13" s="88">
        <f>I13*J13*IF(F13="USD",Compare!$B$8,IF(F13="CNY",Compare!$B$9,IF(F13="HKD",Compare!$B$10,1)))</f>
        <v/>
      </c>
      <c r="L13" s="90" t="inlineStr">
        <is>
          <t>Booking.com 10 Oct, 8–11 Jan, 3 adults in 2 rooms: HK$6,206 for 3 nights; rated 8.6 (640 reviews). 4 ppl: ASSUMPTION same 2 rooms. Alternatives: Y Hotel 8.7 (846) 1 km HK$7,800; iclub Sheung Wan 8.3 (717) HK$5,016; Oasis Aurum 181 8.7 (578) 0.5 km HK$9,360</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station)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nonstop is the cheapest flight (see Budget). The extra money goes into two rooms in a quiet hotel close to HKU so everyone sleeps 7–8 h on 8 and 9 Jan.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About ₮2.6M dearer than the guesthouse plan for 3 people (HK$6,206 vs HK$1,177 for the rooms). With the coach it is ₮14.45M, over the ₮12M funding – so use it only for the unfunded trip if the team wants to pay for sleep, or drop to Value.</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 taxi/MTR, check in at the Sheung Wan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Sheung Wan hotel</t>
        </is>
      </c>
      <c r="C55" s="82" t="inlineStr">
        <is>
          <t>Airport Express to Hong Kong stn + taxi / 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(MTR Sheung Wan → HKU, 2 stops; or taxi)</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Funded 12M</t>
        </is>
      </c>
    </row>
    <row r="2" ht="15" customHeight="1" s="56">
      <c r="A2" s="62" t="inlineStr">
        <is>
          <t>For the funded regional (₮12M, coach travels): MIAT nonstop, two rooms at a hotel ~540 m from HKU (walk, no commute) so each contestant has a bed and the contest-eve sleep is protected; airport bus instead of the Airport Express to stay under the cap.</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(~540 m to HKU; 3 ppl 1 room; 4 ppl 2 rooms, 2 beds each)</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HK$2,139 (3 ppl) / HK$3,640 (4 ppl, 2 rooms) for 3 nights; rated 7.4 (4,583 reviews) on Booking.com, 8.2 (3,331) on Trip.com where 4 ppl / 2 rooms is HK$4,243. Read recent noise reviews; the cheaper guesthouses (Good Fortune Inn 8.6, 4 twin beds, HK$2,889) are ~35 min away by MTR</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bus A10 / A12 (HKG ↔ Sheung Wan / Sai Ying Pun), both ways</t>
        </is>
      </c>
      <c r="C17" s="83" t="inlineStr">
        <is>
          <t>8 &amp; 11 Jan</t>
        </is>
      </c>
      <c r="D17" s="81" t="n"/>
      <c r="E17" s="92" t="n">
        <v>90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~HK$45 per person each way on the A-route airport buses (about 45–60 min) instead of the HK$115 Airport Express (saves HK$140 pp, ~₮0.26M for 4 people)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Flights are fixed (MIAT nonstop is the cheapest way in). The only room for the ₮12M cap is the hotel and the airport transfer, so this plan uses 2 rooms at a hotel next to HKU and the airport bus.</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Fits ₮12M only before the 10% contingency (about ₮11.7M); with contingency it is ~₮0.9M over. Lock the flights first – they are 70% of the cost. Read noise reviews for the hotel before booking.</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bus, check in at the Sai Ying Pun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bus to Sheung Wan / Sai Ying Pun + walk</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Walk + airport bus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Sleep priority</t>
        </is>
      </c>
    </row>
    <row r="2" ht="15" customHeight="1" s="56">
      <c r="A2" s="62" t="inlineStr">
        <is>
          <t>Sleep over distance: MIAT nonstop, two rooms with four separate twin beds and private bathrooms in a well-reviewed guesthouse in Kowloon (~35–40 min MTR to HKU), airport bus; stays under the ₮12M cap before contingency.</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Good Fortune Inn, Kowloon (3 ppl: triple room; 4 ppl: 2 rooms, 2 twin beds each, private bathroom; ~35–40 min MTR to HKU)</t>
        </is>
      </c>
      <c r="C13" s="83" t="inlineStr">
        <is>
          <t>8–11 Jan (3 nights)</t>
        </is>
      </c>
      <c r="D13" s="81" t="n"/>
      <c r="E13" s="85" t="n">
        <v>586.33</v>
      </c>
      <c r="F13" s="86" t="inlineStr">
        <is>
          <t>HKD</t>
        </is>
      </c>
      <c r="G13" s="91" t="n">
        <v>3</v>
      </c>
      <c r="H13" s="88">
        <f>E13*G13*IF(F13="USD",Compare!$B$8,IF(F13="CNY",Compare!$B$9,IF(F13="HKD",Compare!$B$10,1)))</f>
        <v/>
      </c>
      <c r="I13" s="85" t="n">
        <v>963</v>
      </c>
      <c r="J13" s="91" t="n">
        <v>3</v>
      </c>
      <c r="K13" s="88">
        <f>I13*J13*IF(F13="USD",Compare!$B$8,IF(F13="CNY",Compare!$B$9,IF(F13="HKD",Compare!$B$10,1)))</f>
        <v/>
      </c>
      <c r="L13" s="90" t="inlineStr">
        <is>
          <t>Booking.com 10 Oct, 8–11 Jan: HK$1,759 (3 ppl, triple room) / HK$2,889 (4 ppl, 2 rooms with 4 twin beds) for 3 nights; rated 8.6 (715 reviews). Alternatives with real hotel rooms: ALVA Hotel by Royal, Tsuen Wan (8.5, 1,038 reviews) HK$3,890, two queen beds, ~50 min to HKU; Sleep Inn (8.4) HK$3,401 but one full bed per room (two people share a bed)</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bus A21 (HKG ↔ Kowloon / Yau Ma Tei), both ways</t>
        </is>
      </c>
      <c r="C17" s="83" t="inlineStr">
        <is>
          <t>8 &amp; 11 Jan</t>
        </is>
      </c>
      <c r="D17" s="81" t="n"/>
      <c r="E17" s="92" t="n">
        <v>80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~HK$40 per person each way on the A21 airport bus (~60 min) instead of the HK$115 Airport Express + walk</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on a coach's tracking page, but the 2025 regional was at HKUST (Clear Water Bay) – the site rotates, so confirm before paying for a hotel near any one campus.</t>
        </is>
      </c>
    </row>
    <row r="39" ht="15" customHeight="1" s="56">
      <c r="A39" s="75" t="inlineStr">
        <is>
          <t>Why this plan</t>
        </is>
      </c>
      <c r="B39" s="74" t="inlineStr">
        <is>
          <t>The hotel is chosen for the sleep, not the distance: every contestant has their own bed, a private bathroom and a quiet room; the flights are fixed. A guesthouse in Kowloon also keeps the team on the MTR whichever campus hosts.</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~35–40 min each way on the MTR (wake ~06:15 for a 09:00 start; still ≥7.5 h in bed with lights out at 22:30). Request a high floor away from the street, bring earplugs. Guesthouse rooms are small. Fits ₮12M before the 10% contingency (about ₮11.3M).</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bus A21 to Yau Ma Tei, leave bags, check in at the guesthouse and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Good Fortune Inn</t>
        </is>
      </c>
      <c r="C55" s="82" t="inlineStr">
        <is>
          <t>Airport bus A21 + walk</t>
        </is>
      </c>
      <c r="D55" s="104" t="n">
        <v>0.04166666666666666</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~35–40 min MTR (Yau Ma Tei → Admiralty → HKU); leave ~07:15 for a 09:00 start</t>
        </is>
      </c>
      <c r="F56" s="107" t="n"/>
      <c r="G56" s="107" t="n"/>
      <c r="H56" s="107" t="n"/>
      <c r="I56" s="107" t="n"/>
      <c r="J56" s="107" t="n"/>
      <c r="K56" s="107" t="n"/>
      <c r="L56" s="107" t="n"/>
    </row>
    <row r="57" ht="26.85" customHeight="1" s="56">
      <c r="A57" s="105" t="inlineStr">
        <is>
          <t>11 Jan</t>
        </is>
      </c>
      <c r="B57" s="105" t="inlineStr">
        <is>
          <t>Guesthouse → HKG</t>
        </is>
      </c>
      <c r="C57" s="82" t="inlineStr">
        <is>
          <t>Airport bus A21 + walk</t>
        </is>
      </c>
      <c r="D57" s="104" t="n">
        <v>0.04166666666666666</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Train</t>
        </is>
      </c>
    </row>
    <row r="2" ht="15" customHeight="1" s="56">
      <c r="A2" s="62" t="inlineStr">
        <is>
          <t>MIAT to Beijing + overnight D17 sleeper train to Hangzhou (no first hotel night); Air China through ticket Hangzhou → UB back (home on 29 Jan); hotel ~1.6 km from HZNU Cangqian.</t>
        </is>
      </c>
    </row>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08:15–10:30</t>
        </is>
      </c>
      <c r="C10" s="83" t="inlineStr">
        <is>
          <t>25 Jan</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08:15–10:30 $150 pp (SlickTrip 30 Sep: $154)</t>
        </is>
      </c>
    </row>
    <row r="11" ht="26.85" customHeight="1" s="56">
      <c r="A11" s="81" t="n"/>
      <c r="B11" s="82" t="inlineStr">
        <is>
          <t>Air China through ticket Hangzhou 08:00 → Beijing Capital (2 h 35 min transfer) → Ulaanbaatar 15:05, bags checked through</t>
        </is>
      </c>
      <c r="C11" s="83" t="inlineStr">
        <is>
          <t>29 Jan</t>
        </is>
      </c>
      <c r="D11" s="84" t="n">
        <v>0.1875</v>
      </c>
      <c r="E11" s="85" t="n">
        <v>2250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¥2,250 pp (same price for 07:00 and 09:00 departures). Replaces Hangzhou→Beijing ¥1,809 + a Beijing hotel night + MIAT on 30 Jan $219 (~¥3,280 pp + hotel)</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D-train D17 Beijing 19:10 → Hangzhou 09:15 (+1), 2nd-class sleeper</t>
        </is>
      </c>
      <c r="C13" s="83" t="inlineStr">
        <is>
          <t>25 Jan (night)</t>
        </is>
      </c>
      <c r="D13" s="84" t="n">
        <v>0.5868055555555556</v>
      </c>
      <c r="E13" s="85" t="n">
        <v>491</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 Oct (official fare, 15 Oct train): D17 2nd-class sleeper ¥491, 1st-class sleeper ¥670. Replaces the afternoon G-train (¥601–644) + the 25 Jan hotel night. Sales open 11 Jan 10:00 (Beijing station). Backups: D11 Beijing South 21:22 → Hangzhou 11:20 (sleeper ¥564), Z281 Fengtai 19:10 → 10:36 (hard sleeper ¥328), or an afternoon G-train + hotel night. ChinaTicketOnline charges ~$110 + $12 fee for the same berth.</t>
        </is>
      </c>
    </row>
    <row r="14" ht="26.85" customHeight="1" s="56">
      <c r="A14" s="81" t="n"/>
      <c r="B14" s="82" t="inlineStr">
        <is>
          <t>Taxi hotel → Hangzhou airport (~55 km), replaces the return train</t>
        </is>
      </c>
      <c r="C14" s="83" t="inlineStr">
        <is>
          <t>29 Jan</t>
        </is>
      </c>
      <c r="D14" s="84" t="n"/>
      <c r="E14" s="92" t="n">
        <v>150</v>
      </c>
      <c r="F14" s="86" t="inlineStr">
        <is>
          <t>CNY</t>
        </is>
      </c>
      <c r="G14" s="87" t="n">
        <v>1</v>
      </c>
      <c r="H14" s="88">
        <f>E14*G14*IF(F14="USD",Compare!$B$8,IF(F14="CNY",Compare!$B$9,IF(F14="HKD",Compare!$B$10,1)))</f>
        <v/>
      </c>
      <c r="I14" s="89">
        <f>E14</f>
        <v/>
      </c>
      <c r="J14" s="87" t="n">
        <v>1</v>
      </c>
      <c r="K14" s="88">
        <f>I14*J14*IF(F14="USD",Compare!$B$8,IF(F14="CNY",Compare!$B$9,IF(F14="HKD",Compare!$B$10,1)))</f>
        <v/>
      </c>
      <c r="L14" s="90" t="inlineStr">
        <is>
          <t>ASSUMPTION ~150 CNY per car. The return train (601 CNY) + Beijing night + MIAT 30 Jan cost about the same as the through ticket but take a day longer</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HanTing Hotel Future Sci-Tech Town (~1.6 km to HZNU Cangqian; 3 ppl Family Room; 4 ppl 2 twin rooms)</t>
        </is>
      </c>
      <c r="C16" s="83" t="inlineStr">
        <is>
          <t>26–29 Jan (3 nights)</t>
        </is>
      </c>
      <c r="D16" s="81" t="n"/>
      <c r="E16" s="85" t="n">
        <v>315.75</v>
      </c>
      <c r="F16" s="86" t="inlineStr">
        <is>
          <t>CNY</t>
        </is>
      </c>
      <c r="G16" s="91" t="n">
        <v>3</v>
      </c>
      <c r="H16" s="88">
        <f>E16*G16*IF(F16="USD",Compare!$B$8,IF(F16="CNY",Compare!$B$9,IF(F16="HKD",Compare!$B$10,1)))</f>
        <v/>
      </c>
      <c r="I16" s="85" t="n">
        <v>548</v>
      </c>
      <c r="J16" s="91" t="n">
        <v>3</v>
      </c>
      <c r="K16" s="88">
        <f>I16*J16*IF(F16="USD",Compare!$B$8,IF(F16="CNY",Compare!$B$9,IF(F16="HKD",Compare!$B$10,1)))</f>
        <v/>
      </c>
      <c r="L16" s="90" t="inlineStr">
        <is>
          <t>Trip.com 1 Oct: ¥1,263 (3 ppl, Family Room) / ¥2,192 (4 ppl, 2 twin rooms) for 4 nights; rated 9.9 (70 reviews, new). Was CitiGO ¥1,630 / ¥2,576 on Booking.com Plan now books 3 of these nights (average per night); the 25 Jan night is on the D17 sleeper.</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15" customHeight="1" s="56">
      <c r="A19" s="81" t="n"/>
      <c r="B19" s="82" t="inlineStr">
        <is>
          <t>Meals</t>
        </is>
      </c>
      <c r="C19" s="83" t="inlineStr">
        <is>
          <t>in China</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EC Final usually includes banquets</t>
        </is>
      </c>
    </row>
    <row r="20" ht="15" customHeight="1" s="56">
      <c r="A20" s="81" t="n"/>
      <c r="B20" s="82" t="inlineStr">
        <is>
          <t>Local transport (metro, taxis)</t>
        </is>
      </c>
      <c r="C20" s="83" t="inlineStr">
        <is>
          <t>in China</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81" t="n"/>
      <c r="B21" s="82" t="inlineStr">
        <is>
          <t>Taxi Hangzhou station ↔ Cangqian (~25 km) on 26 Jan; hotel → HGH is row 14</t>
        </is>
      </c>
      <c r="C21" s="83" t="inlineStr">
        <is>
          <t>26 Jan</t>
        </is>
      </c>
      <c r="D21" s="81" t="n"/>
      <c r="E21" s="92" t="n">
        <v>100</v>
      </c>
      <c r="F21" s="86" t="inlineStr">
        <is>
          <t>CNY</t>
        </is>
      </c>
      <c r="G21" s="91" t="n">
        <v>1</v>
      </c>
      <c r="H21" s="88">
        <f>E21*G21*IF(F21="USD",Compare!$B$8,IF(F21="CNY",Compare!$B$9,IF(F21="HKD",Compare!$B$10,1)))</f>
        <v/>
      </c>
      <c r="I21" s="93">
        <f>E21</f>
        <v/>
      </c>
      <c r="J21" s="91" t="n">
        <v>1</v>
      </c>
      <c r="K21" s="88">
        <f>I21*J21*IF(F21="USD",Compare!$B$8,IF(F21="CNY",Compare!$B$9,IF(F21="HKD",Compare!$B$10,1)))</f>
        <v/>
      </c>
      <c r="L21" s="90" t="inlineStr">
        <is>
          <t>ASSUMPTION ~100 CNY per car (4 ppl: may need XL car). Metro ~1 h is the cheap alternative</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15" customHeight="1" s="56">
      <c r="A24" s="81" t="n"/>
      <c r="B24" s="82" t="inlineStr">
        <is>
          <t>EC Final registration fee (per team)</t>
        </is>
      </c>
      <c r="C24" s="83" t="inlineStr">
        <is>
          <t>TBC</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no public figure found; 1,500 CNY/team like regionals</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1" ht="15" customHeight="1" s="56">
      <c r="A41" s="72" t="inlineStr">
        <is>
          <t>Key facts</t>
        </is>
      </c>
    </row>
    <row r="42" ht="30" customHeight="1" s="56">
      <c r="A42" s="75" t="inlineStr">
        <is>
          <t>Contest</t>
        </is>
      </c>
      <c r="B42" s="74" t="inlineStr">
        <is>
          <t>ICPC Asia East Continent Final, 26–28 Jan 2027 (provisional), Hangzhou Normal University (Cangqian campus assumed). Qualification-only: the team must earn an EC Final slot at a regional first.</t>
        </is>
      </c>
    </row>
    <row r="43" ht="15" customHeight="1" s="56">
      <c r="A43" s="75" t="inlineStr">
        <is>
          <t>Why this route</t>
        </is>
      </c>
      <c r="B43" s="74" t="inlineStr">
        <is>
          <t>MIAT to Beijing + rail is by far the cheapest. Flying UB→Hangzhou is ~$1,548 pp one way via Hong Kong.</t>
        </is>
      </c>
    </row>
    <row r="44" ht="30" customHeight="1" s="56">
      <c r="A44" s="75" t="inlineStr">
        <is>
          <t>Warning</t>
        </is>
      </c>
      <c r="B44" s="74" t="inlineStr">
        <is>
          <t>Late January is the start of the Spring Festival travel rush (Spring Festival 2027 is 6 Feb). Sleepers sell out – buy D17 on 12306 at 10:00 on 11 Jan (or put in a 候补 waitlist), fall back to D11 / Z281 / an afternoon G-train, or use the Fly variant.</t>
        </is>
      </c>
    </row>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Mon 25 Jan</t>
        </is>
      </c>
      <c r="B48" s="74" t="inlineStr">
        <is>
          <t>Train</t>
        </is>
      </c>
      <c r="C48" s="74" t="inlineStr">
        <is>
          <t>MIAT OM223 UB 08:15 → Beijing 10:30; Airport Express + metro to Beijing station (left-luggage, lunch, rest); D17 sleeper 19:10 → Hangzhou.</t>
        </is>
      </c>
    </row>
    <row r="49" ht="15" customHeight="1" s="56">
      <c r="A49" s="74" t="inlineStr">
        <is>
          <t>Tue 26 Jan</t>
        </is>
      </c>
      <c r="B49" s="74" t="inlineStr">
        <is>
          <t>Hangzhou</t>
        </is>
      </c>
      <c r="C49" s="74" t="inlineStr">
        <is>
          <t>Arrive Hangzhou station 09:15; taxi to hotel (~45 min, leave bags). EC Final day 1: check-in, opening, warm-up (pattern of recent EC Finals).</t>
        </is>
      </c>
    </row>
    <row r="50" ht="15" customHeight="1" s="56">
      <c r="A50" s="74" t="inlineStr">
        <is>
          <t>Wed 27 Jan</t>
        </is>
      </c>
      <c r="B50" s="74" t="inlineStr">
        <is>
          <t>Hangzhou</t>
        </is>
      </c>
      <c r="C50" s="74" t="inlineStr">
        <is>
          <t>EC FINAL contest day.</t>
        </is>
      </c>
    </row>
    <row r="51" ht="15" customHeight="1" s="56">
      <c r="A51" s="74" t="inlineStr">
        <is>
          <t>Thu 28 Jan</t>
        </is>
      </c>
      <c r="B51" s="74" t="inlineStr">
        <is>
          <t>Hangzhou</t>
        </is>
      </c>
      <c r="C51" s="74" t="inlineStr">
        <is>
          <t>Forums, closing ceremony &amp; awards banquet.</t>
        </is>
      </c>
    </row>
    <row r="52" ht="15" customHeight="1" s="56">
      <c r="A52" s="74" t="inlineStr">
        <is>
          <t>Fri 29 Jan</t>
        </is>
      </c>
      <c r="B52" s="74" t="inlineStr">
        <is>
          <t>Home</t>
        </is>
      </c>
      <c r="C52" s="74" t="inlineStr">
        <is>
          <t>Air China through ticket Hangzhou 08:00 → Beijing Capital 10:20 (exit immigration) → Beijing 12:55 → UB 15:05. Home the same day.</t>
        </is>
      </c>
    </row>
    <row r="53" ht="15" customHeight="1" s="56">
      <c r="A53" s="74" t="n"/>
      <c r="B53" s="74" t="n"/>
      <c r="C53" s="74" t="n"/>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25 Jan</t>
        </is>
      </c>
      <c r="B57" s="105" t="inlineStr">
        <is>
          <t>Home → Chinggis Khaan airport</t>
        </is>
      </c>
      <c r="C57" s="82" t="inlineStr">
        <is>
          <t>Taxi (~50 km)</t>
        </is>
      </c>
      <c r="D57" s="104" t="n">
        <v>0.04166666666666666</v>
      </c>
      <c r="E57" s="106" t="inlineStr">
        <is>
          <t>Leave ~05:15</t>
        </is>
      </c>
      <c r="F57" s="107" t="n"/>
      <c r="G57" s="107" t="n"/>
      <c r="H57" s="107" t="n"/>
      <c r="I57" s="107" t="n"/>
      <c r="J57" s="107" t="n"/>
      <c r="K57" s="107" t="n"/>
      <c r="L57" s="107" t="n"/>
    </row>
    <row r="58" ht="26.85" customHeight="1" s="56">
      <c r="A58" s="105" t="inlineStr">
        <is>
          <t>25 Jan</t>
        </is>
      </c>
      <c r="B58" s="105" t="inlineStr">
        <is>
          <t>Ulaanbaatar → Beijing (PEK)</t>
        </is>
      </c>
      <c r="C58" s="82" t="inlineStr">
        <is>
          <t>MIAT OM223 08:15–10:30</t>
        </is>
      </c>
      <c r="D58" s="84" t="n">
        <v>0.09375</v>
      </c>
      <c r="E58" s="106" t="n"/>
      <c r="F58" s="107" t="n"/>
      <c r="G58" s="107" t="n"/>
      <c r="H58" s="107" t="n"/>
      <c r="I58" s="107" t="n"/>
      <c r="J58" s="107" t="n"/>
      <c r="K58" s="107" t="n"/>
      <c r="L58" s="107" t="n"/>
    </row>
    <row r="59" ht="15" customHeight="1" s="56">
      <c r="A59" s="105" t="inlineStr">
        <is>
          <t>25 Jan</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39.55" customHeight="1" s="56">
      <c r="A60" s="105" t="inlineStr">
        <is>
          <t>25 Jan</t>
        </is>
      </c>
      <c r="B60" s="105" t="inlineStr">
        <is>
          <t>PEK → Beijing station</t>
        </is>
      </c>
      <c r="C60" s="82" t="inlineStr">
        <is>
          <t>Airport Express + metro line 2</t>
        </is>
      </c>
      <c r="D60" s="104" t="n">
        <v>0.04166666666666666</v>
      </c>
      <c r="E60" s="106" t="inlineStr">
        <is>
          <t>~8 h spare before D17 – buffer for a late MIAT</t>
        </is>
      </c>
      <c r="F60" s="107" t="n"/>
      <c r="G60" s="107" t="n"/>
      <c r="H60" s="107" t="n"/>
      <c r="I60" s="107" t="n"/>
      <c r="J60" s="107" t="n"/>
      <c r="K60" s="107" t="n"/>
      <c r="L60" s="107" t="n"/>
    </row>
    <row r="61" ht="15" customHeight="1" s="56">
      <c r="A61" s="105" t="inlineStr">
        <is>
          <t>25 Jan</t>
        </is>
      </c>
      <c r="B61" s="105" t="inlineStr">
        <is>
          <t>Beijing → Hangzhou</t>
        </is>
      </c>
      <c r="C61" s="82" t="inlineStr">
        <is>
          <t>D17 2nd-class sleeper</t>
        </is>
      </c>
      <c r="D61" s="84" t="n">
        <v>0.5868055555555556</v>
      </c>
      <c r="E61" s="106" t="inlineStr">
        <is>
          <t>19:10 → 09:15 (+1)</t>
        </is>
      </c>
      <c r="F61" s="107" t="n"/>
      <c r="G61" s="107" t="n"/>
      <c r="H61" s="107" t="n"/>
      <c r="I61" s="107" t="n"/>
      <c r="J61" s="107" t="n"/>
      <c r="K61" s="107" t="n"/>
      <c r="L61" s="107" t="n"/>
    </row>
    <row r="62" ht="15" customHeight="1" s="56">
      <c r="A62" s="105" t="inlineStr">
        <is>
          <t>26 Jan</t>
        </is>
      </c>
      <c r="B62" s="105" t="inlineStr">
        <is>
          <t>Hangzhou station → hotel (Cangqian)</t>
        </is>
      </c>
      <c r="C62" s="82" t="inlineStr">
        <is>
          <t>Taxi (~25 km)</t>
        </is>
      </c>
      <c r="D62" s="104" t="n">
        <v>0.03125</v>
      </c>
      <c r="E62" s="106" t="inlineStr">
        <is>
          <t>Metro ~1 h</t>
        </is>
      </c>
      <c r="F62" s="107" t="n"/>
      <c r="G62" s="107" t="n"/>
      <c r="H62" s="107" t="n"/>
      <c r="I62" s="107" t="n"/>
      <c r="J62" s="107" t="n"/>
      <c r="K62" s="107" t="n"/>
      <c r="L62" s="107" t="n"/>
    </row>
    <row r="63" ht="15" customHeight="1" s="56">
      <c r="A63" s="105" t="inlineStr">
        <is>
          <t>26–28 Jan</t>
        </is>
      </c>
      <c r="B63" s="105" t="inlineStr">
        <is>
          <t>Hotel ↔ HZNU Cangqian (each way)</t>
        </is>
      </c>
      <c r="C63" s="82" t="inlineStr">
        <is>
          <t>Walk</t>
        </is>
      </c>
      <c r="D63" s="108" t="inlineStr">
        <is>
          <t>daily</t>
        </is>
      </c>
      <c r="E63" s="106" t="inlineStr">
        <is>
          <t>~20 min walk (1.6 km)</t>
        </is>
      </c>
      <c r="F63" s="107" t="n"/>
      <c r="G63" s="107" t="n"/>
      <c r="H63" s="107" t="n"/>
      <c r="I63" s="107" t="n"/>
      <c r="J63" s="107" t="n"/>
      <c r="K63" s="107" t="n"/>
      <c r="L63" s="107" t="n"/>
    </row>
    <row r="64" ht="15" customHeight="1" s="56">
      <c r="A64" s="105" t="inlineStr">
        <is>
          <t>29 Jan</t>
        </is>
      </c>
      <c r="B64" s="105" t="inlineStr">
        <is>
          <t>Hotel → HGH</t>
        </is>
      </c>
      <c r="C64" s="82" t="inlineStr">
        <is>
          <t>Taxi (~55 km)</t>
        </is>
      </c>
      <c r="D64" s="104" t="n">
        <v>0.04166666666666666</v>
      </c>
      <c r="E64" s="106" t="inlineStr">
        <is>
          <t>Leave ~05:30</t>
        </is>
      </c>
      <c r="F64" s="107" t="n"/>
      <c r="G64" s="107" t="n"/>
      <c r="H64" s="107" t="n"/>
      <c r="I64" s="107" t="n"/>
      <c r="J64" s="107" t="n"/>
      <c r="K64" s="107" t="n"/>
      <c r="L64" s="107" t="n"/>
    </row>
    <row r="65" ht="15" customHeight="1" s="56">
      <c r="A65" s="105" t="inlineStr">
        <is>
          <t>29 Jan</t>
        </is>
      </c>
      <c r="B65" s="105" t="inlineStr">
        <is>
          <t>HGH check-in &amp; security</t>
        </is>
      </c>
      <c r="C65" s="82" t="inlineStr">
        <is>
          <t>—</t>
        </is>
      </c>
      <c r="D65" s="84" t="n">
        <v>0.0625</v>
      </c>
      <c r="E65" s="106" t="n"/>
      <c r="F65" s="107" t="n"/>
      <c r="G65" s="107" t="n"/>
      <c r="H65" s="107" t="n"/>
      <c r="I65" s="107" t="n"/>
      <c r="J65" s="107" t="n"/>
      <c r="K65" s="107" t="n"/>
      <c r="L65" s="107" t="n"/>
    </row>
    <row r="66" ht="15" customHeight="1" s="56">
      <c r="A66" s="105" t="inlineStr">
        <is>
          <t>29 Jan</t>
        </is>
      </c>
      <c r="B66" s="105" t="inlineStr">
        <is>
          <t>Hangzhou → Beijing Capital (PEK)</t>
        </is>
      </c>
      <c r="C66" s="82" t="inlineStr">
        <is>
          <t>Air China 08:00–10:20</t>
        </is>
      </c>
      <c r="D66" s="104" t="n">
        <v>0.09722222222222222</v>
      </c>
      <c r="E66" s="106" t="n"/>
      <c r="F66" s="107" t="n"/>
      <c r="G66" s="107" t="n"/>
      <c r="H66" s="107" t="n"/>
      <c r="I66" s="107" t="n"/>
      <c r="J66" s="107" t="n"/>
      <c r="K66" s="107" t="n"/>
      <c r="L66" s="107" t="n"/>
    </row>
    <row r="67" ht="15" customHeight="1" s="56">
      <c r="A67" s="105" t="inlineStr">
        <is>
          <t>29 Jan</t>
        </is>
      </c>
      <c r="B67" s="105" t="inlineStr">
        <is>
          <t>PEK: domestic-to-international transfer, exit immigration</t>
        </is>
      </c>
      <c r="C67" s="82" t="inlineStr">
        <is>
          <t>—</t>
        </is>
      </c>
      <c r="D67" s="104" t="n">
        <v>0.1076388888888889</v>
      </c>
      <c r="E67" s="106" t="n"/>
      <c r="F67" s="107" t="n"/>
      <c r="G67" s="107" t="n"/>
      <c r="H67" s="107" t="n"/>
      <c r="I67" s="107" t="n"/>
      <c r="J67" s="107" t="n"/>
      <c r="K67" s="107" t="n"/>
      <c r="L67" s="107" t="n"/>
    </row>
    <row r="68" ht="26.85" customHeight="1" s="56">
      <c r="A68" s="105" t="inlineStr">
        <is>
          <t>29 Jan</t>
        </is>
      </c>
      <c r="B68" s="105" t="inlineStr">
        <is>
          <t>Beijing Capital → Ulaanbaatar</t>
        </is>
      </c>
      <c r="C68" s="82" t="inlineStr">
        <is>
          <t>Air China 12:55–15:05</t>
        </is>
      </c>
      <c r="D68" s="84" t="n">
        <v>0.09027777777777778</v>
      </c>
      <c r="E68" s="106" t="n"/>
      <c r="F68" s="107" t="n"/>
      <c r="G68" s="107" t="n"/>
      <c r="H68" s="107" t="n"/>
      <c r="I68" s="107" t="n"/>
      <c r="J68" s="107" t="n"/>
      <c r="K68" s="107" t="n"/>
      <c r="L68" s="107" t="n"/>
    </row>
    <row r="69" ht="14.15" customHeight="1" s="56">
      <c r="A69" s="105" t="inlineStr">
        <is>
          <t>29 Jan</t>
        </is>
      </c>
      <c r="B69" s="105" t="inlineStr">
        <is>
          <t>Chinggis Khaan airport → home</t>
        </is>
      </c>
      <c r="C69" s="82" t="inlineStr">
        <is>
          <t>Taxi</t>
        </is>
      </c>
      <c r="D69" s="104" t="n">
        <v>0.04166666666666666</v>
      </c>
      <c r="E69" s="106" t="n"/>
      <c r="F69" s="107" t="n"/>
      <c r="G69" s="107" t="n"/>
      <c r="H69" s="107" t="n"/>
      <c r="I69" s="107" t="n"/>
      <c r="J69" s="107" t="n"/>
      <c r="K69" s="107" t="n"/>
      <c r="L69" s="107" t="n"/>
    </row>
    <row r="70" ht="15" customHeight="1" s="56">
      <c r="C70" s="59" t="inlineStr">
        <is>
          <t>Total door-to-door</t>
        </is>
      </c>
      <c r="D70" s="109">
        <f>SUM(D57:D69)</f>
        <v/>
      </c>
    </row>
  </sheetData>
  <mergeCells count="24">
    <mergeCell ref="E56:L56"/>
    <mergeCell ref="E58:L58"/>
    <mergeCell ref="C52:L52"/>
    <mergeCell ref="E68:L68"/>
    <mergeCell ref="C48:L48"/>
    <mergeCell ref="E62:L62"/>
    <mergeCell ref="E67:L67"/>
    <mergeCell ref="B43:L43"/>
    <mergeCell ref="C53:L53"/>
    <mergeCell ref="E64:L64"/>
    <mergeCell ref="C49:L49"/>
    <mergeCell ref="E63:L63"/>
    <mergeCell ref="B42:L42"/>
    <mergeCell ref="E60:L60"/>
    <mergeCell ref="E69:L69"/>
    <mergeCell ref="E65:L65"/>
    <mergeCell ref="B44:L44"/>
    <mergeCell ref="E59:L59"/>
    <mergeCell ref="C47:L47"/>
    <mergeCell ref="C50:L50"/>
    <mergeCell ref="E61:L61"/>
    <mergeCell ref="E57:L57"/>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Fly</t>
        </is>
      </c>
    </row>
    <row r="2" ht="15" customHeight="1" s="56">
      <c r="A2" s="62" t="inlineStr">
        <is>
          <t>Out: Aero Mongolia UB → Hohhot + Xiamen Airlines Hohhot → Hangzhou (separate tickets). Back: Air China through ticket via Beijing (home 29 Jan). Hotel ~1.7 km from HZNU Cangqian.</t>
        </is>
      </c>
    </row>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Aero Mongolia Ulaanbaatar 06:30 → Hohhot (HET) 08:00, nonstop</t>
        </is>
      </c>
      <c r="C10" s="83" t="inlineStr">
        <is>
          <t>25 Jan</t>
        </is>
      </c>
      <c r="D10" s="84" t="n">
        <v>0.0625</v>
      </c>
      <c r="E10" s="85" t="n">
        <v>892</v>
      </c>
      <c r="F10" s="86" t="inlineStr">
        <is>
          <t>CNY</t>
        </is>
      </c>
      <c r="G10" s="87">
        <f>Compare!$B$6</f>
        <v/>
      </c>
      <c r="H10" s="88">
        <f>E10*G10*IF(F10="USD",Compare!$B$8,IF(F10="CNY",Compare!$B$9,IF(F10="HKD",Compare!$B$10,1)))</f>
        <v/>
      </c>
      <c r="I10" s="89">
        <f>E10</f>
        <v/>
      </c>
      <c r="J10" s="87">
        <f>Compare!$B$7</f>
        <v/>
      </c>
      <c r="K10" s="88">
        <f>I10*J10*IF(F10="USD",Compare!$B$8,IF(F10="CNY",Compare!$B$9,IF(F10="HKD",Compare!$B$10,1)))</f>
        <v/>
      </c>
      <c r="L10" s="90" t="inlineStr">
        <is>
          <t>Trip.com 1 Oct: ¥892 pp (bag shown as included – confirm). Self-transfer at Hohhot. Together with row 11: ¥2,752 pp vs ¥3,265 for the Air China through ticket via Beijing (the backup)</t>
        </is>
      </c>
    </row>
    <row r="11" ht="43.25" customHeight="1" s="56">
      <c r="A11" s="81" t="n"/>
      <c r="B11" s="82" t="inlineStr">
        <is>
          <t>Xiamen Airlines Hohhot (HET) 11:15 → Hangzhou (HGH) 13:40, nonstop</t>
        </is>
      </c>
      <c r="C11" s="83" t="inlineStr">
        <is>
          <t>25 Jan</t>
        </is>
      </c>
      <c r="D11" s="84" t="n">
        <v>0.1006944444444444</v>
      </c>
      <c r="E11" s="85" t="n">
        <v>1860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¥1,860 pp. 3 h 15 min to clear immigration and re-check bags at HET. Air China 19:40 (lands 22:20) is ¥1,710</t>
        </is>
      </c>
    </row>
    <row r="12" ht="43.25" customHeight="1" s="56">
      <c r="A12" s="81" t="n"/>
      <c r="B12" s="82" t="inlineStr">
        <is>
          <t>Air China through ticket Hangzhou 08:00 → Beijing Capital (2 h 35 min transfer) → Ulaanbaatar 15:05, bags checked through</t>
        </is>
      </c>
      <c r="C12" s="83" t="inlineStr">
        <is>
          <t>29 Jan</t>
        </is>
      </c>
      <c r="D12" s="84" t="n">
        <v>0.1875</v>
      </c>
      <c r="E12" s="85" t="n">
        <v>2250</v>
      </c>
      <c r="F12" s="86" t="inlineStr">
        <is>
          <t>CNY</t>
        </is>
      </c>
      <c r="G12" s="87">
        <f>Compare!$B$6</f>
        <v/>
      </c>
      <c r="H12" s="88">
        <f>E12*G12*IF(F12="USD",Compare!$B$8,IF(F12="CNY",Compare!$B$9,IF(F12="HKD",Compare!$B$10,1)))</f>
        <v/>
      </c>
      <c r="I12" s="89">
        <f>E12</f>
        <v/>
      </c>
      <c r="J12" s="87">
        <f>Compare!$B$7</f>
        <v/>
      </c>
      <c r="K12" s="88">
        <f>I12*J12*IF(F12="USD",Compare!$B$8,IF(F12="CNY",Compare!$B$9,IF(F12="HKD",Compare!$B$10,1)))</f>
        <v/>
      </c>
      <c r="L12" s="90" t="inlineStr">
        <is>
          <t>Trip.com 1 Oct: ¥2,250 pp (same price for 07:00 and 09:00 departures). Replaces Hangzhou→Beijing ¥1,809 + a Beijing hotel night + MIAT on 30 Jan $219 (~¥3,280 pp + hotel)</t>
        </is>
      </c>
    </row>
    <row r="13" ht="26.85" customHeight="1" s="56">
      <c r="A13" s="81" t="n"/>
      <c r="B13" s="82" t="n"/>
      <c r="C13" s="83" t="n"/>
      <c r="D13" s="84" t="n"/>
      <c r="E13" s="85" t="n"/>
      <c r="F13" s="86" t="n"/>
      <c r="G13" s="87" t="n"/>
      <c r="H13" s="88" t="n"/>
      <c r="I13" s="89" t="n"/>
      <c r="J13" s="87" t="n"/>
      <c r="K13" s="88" t="n"/>
      <c r="L13" s="90" t="n"/>
    </row>
    <row r="14" ht="15" customHeight="1" s="56">
      <c r="A14" s="79" t="inlineStr">
        <is>
          <t>Accommodation</t>
        </is>
      </c>
      <c r="B14" s="80" t="n"/>
      <c r="C14" s="80" t="n"/>
      <c r="D14" s="80" t="n"/>
      <c r="E14" s="80" t="n"/>
      <c r="F14" s="80" t="n"/>
      <c r="G14" s="80" t="n"/>
      <c r="H14" s="80" t="n"/>
      <c r="I14" s="80" t="n"/>
      <c r="J14" s="80" t="n"/>
      <c r="K14" s="80" t="n"/>
      <c r="L14" s="80" t="n"/>
    </row>
    <row r="15" ht="26.85" customHeight="1" s="56">
      <c r="A15" s="81" t="n"/>
      <c r="B15" s="82" t="inlineStr">
        <is>
          <t>Mehood Theater Hotel, Future Sci-Tech City (~1.7 km to HZNU Cangqian; 3 ppl Family Room; 4 ppl 2 rooms)</t>
        </is>
      </c>
      <c r="C15" s="83" t="inlineStr">
        <is>
          <t>25–29 Jan (4 nights)</t>
        </is>
      </c>
      <c r="D15" s="81" t="n"/>
      <c r="E15" s="85" t="n">
        <v>450</v>
      </c>
      <c r="F15" s="86" t="inlineStr">
        <is>
          <t>CNY</t>
        </is>
      </c>
      <c r="G15" s="91" t="n">
        <v>4</v>
      </c>
      <c r="H15" s="88">
        <f>E15*G15*IF(F15="USD",Compare!$B$8,IF(F15="CNY",Compare!$B$9,IF(F15="HKD",Compare!$B$10,1)))</f>
        <v/>
      </c>
      <c r="I15" s="85" t="n">
        <v>712</v>
      </c>
      <c r="J15" s="91" t="n">
        <v>4</v>
      </c>
      <c r="K15" s="88">
        <f>I15*J15*IF(F15="USD",Compare!$B$8,IF(F15="CNY",Compare!$B$9,IF(F15="HKD",Compare!$B$10,1)))</f>
        <v/>
      </c>
      <c r="L15" s="90" t="inlineStr">
        <is>
          <t>Trip.com 1 Oct: ¥1,800 (3 ppl, Family Room) / ¥2,848 (4 ppl, 2 double rooms) for 4 nights; rated 9.6 (2,037 reviews). Was Atour S ¥2,141 / ¥3,379 on Booking.com</t>
        </is>
      </c>
    </row>
    <row r="16" ht="26.85" customHeight="1" s="56">
      <c r="A16" s="81" t="n"/>
      <c r="B16" s="82" t="n"/>
      <c r="C16" s="83" t="n"/>
      <c r="D16" s="81" t="n"/>
      <c r="E16" s="85" t="n"/>
      <c r="F16" s="86" t="n"/>
      <c r="G16" s="91" t="n"/>
      <c r="H16" s="88" t="n"/>
      <c r="I16" s="85" t="n"/>
      <c r="J16" s="91" t="n"/>
      <c r="K16" s="88" t="n"/>
      <c r="L16" s="90" t="n"/>
    </row>
    <row r="17" ht="15" customHeight="1" s="56">
      <c r="A17" s="79" t="inlineStr">
        <is>
          <t>Meals &amp; local transport</t>
        </is>
      </c>
      <c r="B17" s="80" t="n"/>
      <c r="C17" s="80" t="n"/>
      <c r="D17" s="80" t="n"/>
      <c r="E17" s="80" t="n"/>
      <c r="F17" s="80" t="n"/>
      <c r="G17" s="80" t="n"/>
      <c r="H17" s="80" t="n"/>
      <c r="I17" s="80" t="n"/>
      <c r="J17" s="80" t="n"/>
      <c r="K17" s="80" t="n"/>
      <c r="L17" s="80" t="n"/>
    </row>
    <row r="18" ht="15" customHeight="1" s="56">
      <c r="A18" s="81" t="n"/>
      <c r="B18" s="82" t="inlineStr">
        <is>
          <t>Meals</t>
        </is>
      </c>
      <c r="C18" s="83" t="inlineStr">
        <is>
          <t>in China</t>
        </is>
      </c>
      <c r="D18" s="81" t="n"/>
      <c r="E18" s="92" t="n">
        <v>80</v>
      </c>
      <c r="F18" s="86" t="inlineStr">
        <is>
          <t>CNY</t>
        </is>
      </c>
      <c r="G18" s="87">
        <f>Compare!$B$6*$B$4</f>
        <v/>
      </c>
      <c r="H18" s="88">
        <f>E18*G18*IF(F18="USD",Compare!$B$8,IF(F18="CNY",Compare!$B$9,IF(F18="HKD",Compare!$B$10,1)))</f>
        <v/>
      </c>
      <c r="I18" s="93">
        <f>E18</f>
        <v/>
      </c>
      <c r="J18" s="87">
        <f>Compare!$B$7*$B$4</f>
        <v/>
      </c>
      <c r="K18" s="88">
        <f>I18*J18*IF(F18="USD",Compare!$B$8,IF(F18="CNY",Compare!$B$9,IF(F18="HKD",Compare!$B$10,1)))</f>
        <v/>
      </c>
      <c r="L18" s="90" t="inlineStr">
        <is>
          <t>ASSUMPTION 80 CNY/person/day; EC Final usually includes banquets</t>
        </is>
      </c>
    </row>
    <row r="19" ht="15" customHeight="1" s="56">
      <c r="A19" s="81" t="n"/>
      <c r="B19" s="82" t="inlineStr">
        <is>
          <t>Local transport (metro, taxis)</t>
        </is>
      </c>
      <c r="C19" s="83" t="inlineStr">
        <is>
          <t>in China</t>
        </is>
      </c>
      <c r="D19" s="81" t="n"/>
      <c r="E19" s="92" t="n">
        <v>30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30 CNY/person/day</t>
        </is>
      </c>
    </row>
    <row r="20" ht="26.85" customHeight="1" s="56">
      <c r="A20" s="81" t="n"/>
      <c r="B20" s="82" t="inlineStr">
        <is>
          <t>Taxi Hangzhou airport ↔ Cangqian (~55 km), both ways</t>
        </is>
      </c>
      <c r="C20" s="83" t="inlineStr">
        <is>
          <t>25 &amp; 29 Jan</t>
        </is>
      </c>
      <c r="D20" s="81" t="n"/>
      <c r="E20" s="92" t="n">
        <v>150</v>
      </c>
      <c r="F20" s="86" t="inlineStr">
        <is>
          <t>CNY</t>
        </is>
      </c>
      <c r="G20" s="91" t="n">
        <v>2</v>
      </c>
      <c r="H20" s="88">
        <f>E20*G20*IF(F20="USD",Compare!$B$8,IF(F20="CNY",Compare!$B$9,IF(F20="HKD",Compare!$B$10,1)))</f>
        <v/>
      </c>
      <c r="I20" s="93">
        <f>E20</f>
        <v/>
      </c>
      <c r="J20" s="91" t="n">
        <v>2</v>
      </c>
      <c r="K20" s="88">
        <f>I20*J20*IF(F20="USD",Compare!$B$8,IF(F20="CNY",Compare!$B$9,IF(F20="HKD",Compare!$B$10,1)))</f>
        <v/>
      </c>
      <c r="L20" s="90" t="inlineStr">
        <is>
          <t>ASSUMPTION ~150 CNY per car per trip</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15" customHeight="1" s="56">
      <c r="A23" s="81" t="n"/>
      <c r="B23" s="82" t="inlineStr">
        <is>
          <t>EC Final registration fee (per team)</t>
        </is>
      </c>
      <c r="C23" s="83" t="inlineStr">
        <is>
          <t>TBC</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no public figure found; 1,500 CNY/team like regionals</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SUM(D10:D13)</f>
        <v/>
      </c>
      <c r="K38" s="104">
        <f>SUM(D10:D13)</f>
        <v/>
      </c>
    </row>
    <row r="40" ht="15" customHeight="1" s="56">
      <c r="A40" s="72" t="inlineStr">
        <is>
          <t>Key facts</t>
        </is>
      </c>
    </row>
    <row r="41" ht="30" customHeight="1" s="56">
      <c r="A41" s="75" t="inlineStr">
        <is>
          <t>Contest</t>
        </is>
      </c>
      <c r="B41" s="74" t="inlineStr">
        <is>
          <t>ICPC Asia East Continent Final, 26–28 Jan 2027 (provisional), Hangzhou Normal University (Cangqian campus assumed). Qualification-only.</t>
        </is>
      </c>
    </row>
    <row r="42" ht="30" customHeight="1" s="56">
      <c r="A42" s="75" t="inlineStr">
        <is>
          <t>Why this plan</t>
        </is>
      </c>
      <c r="B42" s="74" t="inlineStr">
        <is>
          <t>Out via Hohhot: Aero Mongolia's early flight + a nonstop Xiamen Airlines flight land in Hangzhou at 13:40 for ¥2,752 pp, ¥513 less than the Air China through ticket via Beijing (lands 18:45). Back: Air China through ticket, home on 29 Jan.</t>
        </is>
      </c>
    </row>
    <row r="43" ht="30" customHeight="1" s="56">
      <c r="A43" s="75" t="inlineStr">
        <is>
          <t>Buying tickets</t>
        </is>
      </c>
      <c r="B43" s="74" t="inlineStr">
        <is>
          <t>Book on Trip.com as soon as the EC Final slot is confirmed. The outbound is two separate tickets: if Aero Mongolia is late the domestic ticket is not protected (fallback: Air China 19:40 HET → HGH). Late January is the Spring Festival rush; re-check fares about 40 days ahead.</t>
        </is>
      </c>
    </row>
    <row r="45" ht="15" customHeight="1" s="56">
      <c r="A45" s="72" t="inlineStr">
        <is>
          <t>Day-by-day plan</t>
        </is>
      </c>
    </row>
    <row r="46" ht="15" customHeight="1" s="56">
      <c r="A46" s="96" t="inlineStr">
        <is>
          <t>Date</t>
        </is>
      </c>
      <c r="B46" s="96" t="inlineStr">
        <is>
          <t>Sleep in</t>
        </is>
      </c>
      <c r="C46" s="96" t="inlineStr">
        <is>
          <t>What happens</t>
        </is>
      </c>
    </row>
    <row r="47" ht="30" customHeight="1" s="56">
      <c r="A47" s="74" t="inlineStr">
        <is>
          <t>Mon 25 Jan</t>
        </is>
      </c>
      <c r="B47" s="74" t="inlineStr">
        <is>
          <t>Hangzhou</t>
        </is>
      </c>
      <c r="C47" s="74" t="inlineStr">
        <is>
          <t>Aero Mongolia UB 06:30 → Hohhot 08:00 (immigration, collect bags, re-check) → Xiamen Airlines 11:15 → Hangzhou 13:40. Taxi to hotel.</t>
        </is>
      </c>
    </row>
    <row r="48" ht="15" customHeight="1" s="56">
      <c r="A48" s="74" t="inlineStr">
        <is>
          <t>Tue 26 Jan</t>
        </is>
      </c>
      <c r="B48" s="74" t="inlineStr">
        <is>
          <t>Hangzhou</t>
        </is>
      </c>
      <c r="C48" s="74" t="inlineStr">
        <is>
          <t>EC Final day 1: check-in, opening, warm-up.</t>
        </is>
      </c>
    </row>
    <row r="49" ht="15" customHeight="1" s="56">
      <c r="A49" s="74" t="inlineStr">
        <is>
          <t>Wed 27 Jan</t>
        </is>
      </c>
      <c r="B49" s="74" t="inlineStr">
        <is>
          <t>Hangzhou</t>
        </is>
      </c>
      <c r="C49" s="74" t="inlineStr">
        <is>
          <t>EC FINAL contest day.</t>
        </is>
      </c>
    </row>
    <row r="50" ht="15" customHeight="1" s="56">
      <c r="A50" s="74" t="inlineStr">
        <is>
          <t>Thu 28 Jan</t>
        </is>
      </c>
      <c r="B50" s="74" t="inlineStr">
        <is>
          <t>Hangzhou</t>
        </is>
      </c>
      <c r="C50" s="74" t="inlineStr">
        <is>
          <t>Forums, closing ceremony &amp; awards banquet.</t>
        </is>
      </c>
    </row>
    <row r="51" ht="15" customHeight="1" s="56">
      <c r="A51" s="74" t="inlineStr">
        <is>
          <t>Fri 29 Jan</t>
        </is>
      </c>
      <c r="B51" s="74" t="inlineStr">
        <is>
          <t>Home</t>
        </is>
      </c>
      <c r="C51" s="74" t="inlineStr">
        <is>
          <t>Air China through ticket Hangzhou 08:00 → Beijing Capital 10:20 (exit immigration) → Beijing 12:55 → UB 15:05. Home the same day.</t>
        </is>
      </c>
    </row>
    <row r="52" ht="15" customHeight="1" s="56">
      <c r="A52" s="74" t="n"/>
      <c r="B52" s="74" t="n"/>
      <c r="C52" s="74" t="n"/>
    </row>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25 Jan</t>
        </is>
      </c>
      <c r="B56" s="105" t="inlineStr">
        <is>
          <t>Home → Chinggis Khaan airport</t>
        </is>
      </c>
      <c r="C56" s="82" t="inlineStr">
        <is>
          <t>Taxi (~50 km)</t>
        </is>
      </c>
      <c r="D56" s="104" t="n">
        <v>0.04166666666666666</v>
      </c>
      <c r="E56" s="106" t="inlineStr">
        <is>
          <t>Leave ~03:30 for the 06:30 flight</t>
        </is>
      </c>
      <c r="F56" s="107" t="n"/>
      <c r="G56" s="107" t="n"/>
      <c r="H56" s="107" t="n"/>
      <c r="I56" s="107" t="n"/>
      <c r="J56" s="107" t="n"/>
      <c r="K56" s="107" t="n"/>
      <c r="L56" s="107" t="n"/>
    </row>
    <row r="57" ht="26.85" customHeight="1" s="56">
      <c r="A57" s="105" t="inlineStr">
        <is>
          <t>25 Jan</t>
        </is>
      </c>
      <c r="B57" s="105" t="inlineStr">
        <is>
          <t>Ulaanbaatar → Hohhot (HET)</t>
        </is>
      </c>
      <c r="C57" s="82" t="inlineStr">
        <is>
          <t>Aero Mongolia 06:30–08:00</t>
        </is>
      </c>
      <c r="D57" s="84" t="n">
        <v>0.0625</v>
      </c>
      <c r="E57" s="106" t="n"/>
      <c r="F57" s="107" t="n"/>
      <c r="G57" s="107" t="n"/>
      <c r="H57" s="107" t="n"/>
      <c r="I57" s="107" t="n"/>
      <c r="J57" s="107" t="n"/>
      <c r="K57" s="107" t="n"/>
      <c r="L57" s="107" t="n"/>
    </row>
    <row r="58" ht="15" customHeight="1" s="56">
      <c r="A58" s="105" t="inlineStr">
        <is>
          <t>25 Jan</t>
        </is>
      </c>
      <c r="B58" s="105" t="inlineStr">
        <is>
          <t>HET: immigration, collect bags, check in for the domestic flight</t>
        </is>
      </c>
      <c r="C58" s="82" t="inlineStr">
        <is>
          <t>—</t>
        </is>
      </c>
      <c r="D58" s="104" t="n">
        <v>0.1354166666666667</v>
      </c>
      <c r="E58" s="106" t="inlineStr">
        <is>
          <t>Self-transfer on separate tickets</t>
        </is>
      </c>
      <c r="F58" s="107" t="n"/>
      <c r="G58" s="107" t="n"/>
      <c r="H58" s="107" t="n"/>
      <c r="I58" s="107" t="n"/>
      <c r="J58" s="107" t="n"/>
      <c r="K58" s="107" t="n"/>
      <c r="L58" s="107" t="n"/>
    </row>
    <row r="59" ht="15" customHeight="1" s="56">
      <c r="A59" s="105" t="inlineStr">
        <is>
          <t>25 Jan</t>
        </is>
      </c>
      <c r="B59" s="105" t="inlineStr">
        <is>
          <t>Hohhot → Hangzhou (HGH)</t>
        </is>
      </c>
      <c r="C59" s="82" t="inlineStr">
        <is>
          <t>Xiamen Airlines 11:15–13:40</t>
        </is>
      </c>
      <c r="D59" s="104" t="n">
        <v>0.1006944444444444</v>
      </c>
      <c r="E59" s="106" t="n"/>
      <c r="F59" s="107" t="n"/>
      <c r="G59" s="107" t="n"/>
      <c r="H59" s="107" t="n"/>
      <c r="I59" s="107" t="n"/>
      <c r="J59" s="107" t="n"/>
      <c r="K59" s="107" t="n"/>
      <c r="L59" s="107" t="n"/>
    </row>
    <row r="60" ht="39.55" customHeight="1" s="56">
      <c r="A60" s="105" t="inlineStr">
        <is>
          <t>25 Jan</t>
        </is>
      </c>
      <c r="B60" s="105" t="inlineStr">
        <is>
          <t>HGH → hotel (Cangqian)</t>
        </is>
      </c>
      <c r="C60" s="82" t="inlineStr">
        <is>
          <t>Taxi (~55 km)</t>
        </is>
      </c>
      <c r="D60" s="104" t="n">
        <v>0.04166666666666666</v>
      </c>
      <c r="E60" s="106" t="inlineStr">
        <is>
          <t>Estimate</t>
        </is>
      </c>
      <c r="F60" s="107" t="n"/>
      <c r="G60" s="107" t="n"/>
      <c r="H60" s="107" t="n"/>
      <c r="I60" s="107" t="n"/>
      <c r="J60" s="107" t="n"/>
      <c r="K60" s="107" t="n"/>
      <c r="L60" s="107" t="n"/>
    </row>
    <row r="61" ht="15" customHeight="1" s="56">
      <c r="A61" s="105" t="inlineStr">
        <is>
          <t>26–28 Jan</t>
        </is>
      </c>
      <c r="B61" s="105" t="inlineStr">
        <is>
          <t>Hotel ↔ HZNU Cangqian (each way)</t>
        </is>
      </c>
      <c r="C61" s="82" t="inlineStr">
        <is>
          <t>Walk</t>
        </is>
      </c>
      <c r="D61" s="104" t="inlineStr">
        <is>
          <t>daily</t>
        </is>
      </c>
      <c r="E61" s="106" t="inlineStr">
        <is>
          <t>~20 min walk (1.7 km)</t>
        </is>
      </c>
      <c r="F61" s="107" t="n"/>
      <c r="G61" s="107" t="n"/>
      <c r="H61" s="107" t="n"/>
      <c r="I61" s="107" t="n"/>
      <c r="J61" s="107" t="n"/>
      <c r="K61" s="107" t="n"/>
      <c r="L61" s="107" t="n"/>
    </row>
    <row r="62" ht="15" customHeight="1" s="56">
      <c r="A62" s="105" t="inlineStr">
        <is>
          <t>29 Jan</t>
        </is>
      </c>
      <c r="B62" s="105" t="inlineStr">
        <is>
          <t>Hotel → HGH</t>
        </is>
      </c>
      <c r="C62" s="82" t="inlineStr">
        <is>
          <t>Taxi</t>
        </is>
      </c>
      <c r="D62" s="110" t="n">
        <v>0.04166666666666666</v>
      </c>
      <c r="E62" s="106" t="inlineStr">
        <is>
          <t>Leave ~05:30</t>
        </is>
      </c>
      <c r="F62" s="107" t="n"/>
      <c r="G62" s="107" t="n"/>
      <c r="H62" s="107" t="n"/>
      <c r="I62" s="107" t="n"/>
      <c r="J62" s="107" t="n"/>
      <c r="K62" s="107" t="n"/>
      <c r="L62" s="107" t="n"/>
    </row>
    <row r="63" ht="15" customHeight="1" s="56">
      <c r="A63" s="105" t="inlineStr">
        <is>
          <t>29 Jan</t>
        </is>
      </c>
      <c r="B63" s="105" t="inlineStr">
        <is>
          <t>HGH check-in &amp; security</t>
        </is>
      </c>
      <c r="C63" s="82" t="inlineStr">
        <is>
          <t>—</t>
        </is>
      </c>
      <c r="D63" s="104" t="n">
        <v>0.0625</v>
      </c>
      <c r="E63" s="106" t="n"/>
      <c r="F63" s="107" t="n"/>
      <c r="G63" s="107" t="n"/>
      <c r="H63" s="107" t="n"/>
      <c r="I63" s="107" t="n"/>
      <c r="J63" s="107" t="n"/>
      <c r="K63" s="107" t="n"/>
      <c r="L63" s="107" t="n"/>
    </row>
    <row r="64" ht="15" customHeight="1" s="56">
      <c r="A64" s="105" t="inlineStr">
        <is>
          <t>29 Jan</t>
        </is>
      </c>
      <c r="B64" s="105" t="inlineStr">
        <is>
          <t>Hangzhou → Beijing Capital (PEK)</t>
        </is>
      </c>
      <c r="C64" s="82" t="inlineStr">
        <is>
          <t>Air China 08:00–10:20</t>
        </is>
      </c>
      <c r="D64" s="104" t="n">
        <v>0.09722222222222222</v>
      </c>
      <c r="E64" s="106" t="n"/>
      <c r="F64" s="107" t="n"/>
      <c r="G64" s="107" t="n"/>
      <c r="H64" s="107" t="n"/>
      <c r="I64" s="107" t="n"/>
      <c r="J64" s="107" t="n"/>
      <c r="K64" s="107" t="n"/>
      <c r="L64" s="107" t="n"/>
    </row>
    <row r="65" ht="39.55" customHeight="1" s="56">
      <c r="A65" s="105" t="inlineStr">
        <is>
          <t>29 Jan</t>
        </is>
      </c>
      <c r="B65" s="105" t="inlineStr">
        <is>
          <t>PEK: domestic-to-international transfer, exit immigration</t>
        </is>
      </c>
      <c r="C65" s="82" t="inlineStr">
        <is>
          <t>—</t>
        </is>
      </c>
      <c r="D65" s="104" t="n">
        <v>0.1076388888888889</v>
      </c>
      <c r="E65" s="106" t="n"/>
      <c r="F65" s="107" t="n"/>
      <c r="G65" s="107" t="n"/>
      <c r="H65" s="107" t="n"/>
      <c r="I65" s="107" t="n"/>
      <c r="J65" s="107" t="n"/>
      <c r="K65" s="107" t="n"/>
      <c r="L65" s="107" t="n"/>
    </row>
    <row r="66" ht="15" customHeight="1" s="56">
      <c r="A66" s="105" t="inlineStr">
        <is>
          <t>29 Jan</t>
        </is>
      </c>
      <c r="B66" s="105" t="inlineStr">
        <is>
          <t>Beijing Capital → Ulaanbaatar</t>
        </is>
      </c>
      <c r="C66" s="82" t="inlineStr">
        <is>
          <t>Air China 12:55–15:05</t>
        </is>
      </c>
      <c r="D66" s="104" t="n">
        <v>0.09027777777777778</v>
      </c>
      <c r="E66" s="106" t="n"/>
      <c r="F66" s="107" t="n"/>
      <c r="G66" s="107" t="n"/>
      <c r="H66" s="107" t="n"/>
      <c r="I66" s="107" t="n"/>
      <c r="J66" s="107" t="n"/>
      <c r="K66" s="107" t="n"/>
      <c r="L66" s="107" t="n"/>
    </row>
    <row r="67" ht="15" customHeight="1" s="56">
      <c r="A67" s="105" t="inlineStr">
        <is>
          <t>29 Jan</t>
        </is>
      </c>
      <c r="B67" s="105" t="inlineStr">
        <is>
          <t>Chinggis Khaan airport → home</t>
        </is>
      </c>
      <c r="C67" s="82" t="inlineStr">
        <is>
          <t>Taxi</t>
        </is>
      </c>
      <c r="D67" s="104" t="n">
        <v>0.04166666666666666</v>
      </c>
      <c r="E67" s="106" t="n"/>
      <c r="F67" s="107" t="n"/>
      <c r="G67" s="107" t="n"/>
      <c r="H67" s="107" t="n"/>
      <c r="I67" s="107" t="n"/>
      <c r="J67" s="107" t="n"/>
      <c r="K67" s="107" t="n"/>
      <c r="L67" s="107" t="n"/>
    </row>
    <row r="68" ht="26.85" customHeight="1" s="56">
      <c r="A68" s="105" t="n"/>
      <c r="B68" s="105" t="n"/>
      <c r="C68" s="82" t="n"/>
      <c r="D68" s="84" t="n"/>
      <c r="E68" s="106" t="n"/>
      <c r="F68" s="107" t="n"/>
      <c r="G68" s="107" t="n"/>
      <c r="H68" s="107" t="n"/>
      <c r="I68" s="107" t="n"/>
      <c r="J68" s="107" t="n"/>
      <c r="K68" s="107" t="n"/>
      <c r="L68" s="107" t="n"/>
    </row>
    <row r="69" ht="14.15" customHeight="1" s="56">
      <c r="A69" s="105" t="n"/>
      <c r="B69" s="105" t="n"/>
      <c r="C69" s="82" t="n"/>
      <c r="D69" s="104" t="n"/>
      <c r="E69" s="106" t="n"/>
      <c r="F69" s="107" t="n"/>
      <c r="G69" s="107" t="n"/>
      <c r="H69" s="107" t="n"/>
      <c r="I69" s="107" t="n"/>
      <c r="J69" s="107" t="n"/>
      <c r="K69" s="107" t="n"/>
      <c r="L69" s="107" t="n"/>
    </row>
    <row r="70" ht="15" customHeight="1" s="56">
      <c r="C70" s="59" t="inlineStr">
        <is>
          <t>Total door-to-door</t>
        </is>
      </c>
      <c r="D70" s="109">
        <f>SUM(D56:D69)</f>
        <v/>
      </c>
    </row>
  </sheetData>
  <mergeCells count="25">
    <mergeCell ref="E56:L56"/>
    <mergeCell ref="E58:L58"/>
    <mergeCell ref="C52:L52"/>
    <mergeCell ref="E68:L68"/>
    <mergeCell ref="C48:L48"/>
    <mergeCell ref="E55:L55"/>
    <mergeCell ref="E62:L62"/>
    <mergeCell ref="E67:L67"/>
    <mergeCell ref="B43:L43"/>
    <mergeCell ref="E64:L64"/>
    <mergeCell ref="C49:L49"/>
    <mergeCell ref="E63:L63"/>
    <mergeCell ref="B42:L42"/>
    <mergeCell ref="E60:L60"/>
    <mergeCell ref="E69:L69"/>
    <mergeCell ref="E65:L65"/>
    <mergeCell ref="E59:L59"/>
    <mergeCell ref="C47:L47"/>
    <mergeCell ref="C50:L50"/>
    <mergeCell ref="E61:L61"/>
    <mergeCell ref="E57:L57"/>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2026-09-30T14:38:02Z</dcterms:created>
  <dcterms:modified xmlns:dcterms="http://purl.org/dc/terms/" xmlns:xsi="http://www.w3.org/2001/XMLSchema-instance" xsi:type="dcterms:W3CDTF">2026-10-10T14:51:00Z</dcterms:modified>
  <cp:revision>0</cp:revision>
</cp:coreProperties>
</file>