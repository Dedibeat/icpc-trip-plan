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mpare" sheetId="1" state="visible" r:id="rId1"/>
    <sheet name="Shenyang – Budget" sheetId="2" state="visible" r:id="rId2"/>
    <sheet name="Shenyang – Comfort" sheetId="3" state="visible" r:id="rId3"/>
    <sheet name="Hong Kong – Budget" sheetId="4" state="visible" r:id="rId4"/>
    <sheet name="Hong Kong – Comfort" sheetId="5" state="visible" r:id="rId5"/>
    <sheet name="EC Final Hangzhou – Train" sheetId="6" state="visible" r:id="rId6"/>
    <sheet name="EC Final Hangzhou – Fl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&quot; ₮&quot;;\(#,##0&quot; ₮)&quot;;\-"/>
    <numFmt numFmtId="165" formatCode="[h]&quot; h &quot;mm&quot; min&quot;"/>
    <numFmt numFmtId="166" formatCode="#,##0.00;\(#,##0.00\);\-"/>
    <numFmt numFmtId="167" formatCode="0.#"/>
    <numFmt numFmtId="168" formatCode="[hh]:mm:ss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2"/>
    </font>
    <font>
      <name val="Arial"/>
      <charset val="1"/>
      <family val="0"/>
      <color rgb="FF595959"/>
      <sz val="9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9E1F2"/>
        <bgColor rgb="FFDDEBF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0" fillId="0" borderId="4" pivotButton="0" quotePrefix="0" xfId="0"/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  <xf numFmtId="168" fontId="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55" min="1" max="1"/>
    <col width="17" customWidth="1" style="55" min="2" max="11"/>
  </cols>
  <sheetData>
    <row r="1" ht="17.35" customHeight="1" s="56">
      <c r="A1" s="57" t="inlineStr">
        <is>
          <t>ICPC single-contest trip plans — Shenyang, Hong Kong, EC Final Hangzhou</t>
        </is>
      </c>
    </row>
    <row r="2" ht="42" customHeight="1" s="56">
      <c r="A2" s="58" t="inlineStr">
        <is>
          <t>Each trip planned as if it is the only contest attended. Two variants per contest, costed for 3 people (contestants, 1 room) and 4 people (3 contestants + coach, 2 rooms). University pays flights, trains, hotels, meals &amp; local transport; contest fees and 'Other' are personal. Prices checked 30 Sep 2026; flights re-priced on Trip.com 30 Sep – 1 Oct 2026. Blue = inputs; yellow = key assumptions; green = links.</t>
        </is>
      </c>
    </row>
    <row r="4" ht="15" customHeight="1" s="56">
      <c r="A4" s="59" t="inlineStr">
        <is>
          <t>Shared inputs</t>
        </is>
      </c>
    </row>
    <row r="5" ht="15" customHeight="1" s="56">
      <c r="A5" s="60" t="inlineStr">
        <is>
          <t>University funding per regional (MNT)</t>
        </is>
      </c>
      <c r="B5" s="61" t="n">
        <v>15000000</v>
      </c>
      <c r="C5" s="62" t="inlineStr">
        <is>
          <t>Team: ₮15M for each regional; two separate trips with home in between</t>
        </is>
      </c>
    </row>
    <row r="6" ht="15" customHeight="1" s="56">
      <c r="A6" s="60" t="inlineStr">
        <is>
          <t>Travelers – small team</t>
        </is>
      </c>
      <c r="B6" s="63" t="n">
        <v>3</v>
      </c>
      <c r="C6" s="62" t="inlineStr">
        <is>
          <t>3 contestants, one room</t>
        </is>
      </c>
    </row>
    <row r="7" ht="15" customHeight="1" s="56">
      <c r="A7" s="60" t="inlineStr">
        <is>
          <t>Travelers – with coach</t>
        </is>
      </c>
      <c r="B7" s="63" t="n">
        <v>4</v>
      </c>
      <c r="C7" s="62" t="inlineStr">
        <is>
          <t>3 contestants + coach, two rooms</t>
        </is>
      </c>
    </row>
    <row r="8" ht="15" customHeight="1" s="56">
      <c r="A8" s="60" t="inlineStr">
        <is>
          <t>USD → MNT</t>
        </is>
      </c>
      <c r="B8" s="64" t="n">
        <v>3598</v>
      </c>
      <c r="C8" s="62" t="inlineStr">
        <is>
          <t>Mid-market, Xe/Investing.com, 29–30 Sep 2026</t>
        </is>
      </c>
    </row>
    <row r="9" ht="15" customHeight="1" s="56">
      <c r="A9" s="60" t="inlineStr">
        <is>
          <t>CNY → MNT</t>
        </is>
      </c>
      <c r="B9" s="64" t="n">
        <v>536</v>
      </c>
      <c r="C9" s="62" t="inlineStr">
        <is>
          <t>Mid-market, Xe/currency.wiki, late Sep 2026</t>
        </is>
      </c>
    </row>
    <row r="10" ht="15" customHeight="1" s="56">
      <c r="A10" s="60" t="inlineStr">
        <is>
          <t>HKD → MNT</t>
        </is>
      </c>
      <c r="B10" s="64" t="n">
        <v>461</v>
      </c>
      <c r="C10" s="62" t="inlineStr">
        <is>
          <t>Derived from USD rate and the HKD peg (~7.8 HKD per USD)</t>
        </is>
      </c>
    </row>
    <row r="11" ht="15" customHeight="1" s="56">
      <c r="A11" s="60" t="inlineStr">
        <is>
          <t>Contingency % (on university-paid part)</t>
        </is>
      </c>
      <c r="B11" s="65" t="n">
        <v>0.1</v>
      </c>
      <c r="C11" s="62" t="inlineStr">
        <is>
          <t>Buffer for fare changes, FX spread, extras</t>
        </is>
      </c>
    </row>
    <row r="13" ht="15" customHeight="1" s="56">
      <c r="A13" s="59" t="inlineStr">
        <is>
          <t>Side-by-side (all figures incl. 10% contingency on the university part)</t>
        </is>
      </c>
    </row>
    <row r="14" ht="45" customHeight="1" s="56">
      <c r="A14" s="66" t="inlineStr">
        <is>
          <t>Plan</t>
        </is>
      </c>
      <c r="B14" s="66" t="inlineStr">
        <is>
          <t>Univ.-paid total – 3 ppl</t>
        </is>
      </c>
      <c r="C14" s="66" t="inlineStr">
        <is>
          <t>Funding left – 3 ppl</t>
        </is>
      </c>
      <c r="D14" s="66" t="inlineStr">
        <is>
          <t>Out-of-pocket per person – 3 ppl</t>
        </is>
      </c>
      <c r="E14" s="66" t="inlineStr">
        <is>
          <t>Univ.-paid total – 4 ppl</t>
        </is>
      </c>
      <c r="F14" s="66" t="inlineStr">
        <is>
          <t>Funding left – 4 ppl</t>
        </is>
      </c>
      <c r="G14" s="66" t="inlineStr">
        <is>
          <t>Out-of-pocket per person – 4 ppl</t>
        </is>
      </c>
      <c r="H14" s="66" t="inlineStr">
        <is>
          <t>Whole trip – 3 ppl</t>
        </is>
      </c>
      <c r="I14" s="66" t="inlineStr">
        <is>
          <t>Whole trip – 4 ppl</t>
        </is>
      </c>
      <c r="J14" s="66" t="inlineStr">
        <is>
          <t>Planes &amp; trains</t>
        </is>
      </c>
      <c r="K14" s="66" t="inlineStr">
        <is>
          <t>Door-to-door</t>
        </is>
      </c>
    </row>
    <row r="15" ht="15" customHeight="1" s="56">
      <c r="A15" s="67" t="inlineStr">
        <is>
          <t>Shenyang – Budget</t>
        </is>
      </c>
      <c r="B15" s="68">
        <f>'Shenyang – Budget'!H34</f>
        <v/>
      </c>
      <c r="C15" s="68">
        <f>'Shenyang – Budget'!H35</f>
        <v/>
      </c>
      <c r="D15" s="69">
        <f>'Shenyang – Budget'!H37</f>
        <v/>
      </c>
      <c r="E15" s="68">
        <f>'Shenyang – Budget'!K34</f>
        <v/>
      </c>
      <c r="F15" s="68">
        <f>'Shenyang – Budget'!K35</f>
        <v/>
      </c>
      <c r="G15" s="69">
        <f>'Shenyang – Budget'!K37</f>
        <v/>
      </c>
      <c r="H15" s="70">
        <f>'Shenyang – Budget'!H38</f>
        <v/>
      </c>
      <c r="I15" s="70">
        <f>'Shenyang – Budget'!K38</f>
        <v/>
      </c>
      <c r="J15" s="71">
        <f>'Shenyang – Budget'!H39</f>
        <v/>
      </c>
      <c r="K15" s="71">
        <f>'Shenyang – Budget'!D69</f>
        <v/>
      </c>
    </row>
    <row r="16" ht="15" customHeight="1" s="56">
      <c r="A16" s="67" t="inlineStr">
        <is>
          <t>Shenyang – Comfort</t>
        </is>
      </c>
      <c r="B16" s="68">
        <f>'Shenyang – Comfort'!H33</f>
        <v/>
      </c>
      <c r="C16" s="68">
        <f>'Shenyang – Comfort'!H34</f>
        <v/>
      </c>
      <c r="D16" s="69">
        <f>'Shenyang – Comfort'!H36</f>
        <v/>
      </c>
      <c r="E16" s="68">
        <f>'Shenyang – Comfort'!K33</f>
        <v/>
      </c>
      <c r="F16" s="68">
        <f>'Shenyang – Comfort'!K34</f>
        <v/>
      </c>
      <c r="G16" s="69">
        <f>'Shenyang – Comfort'!K36</f>
        <v/>
      </c>
      <c r="H16" s="70">
        <f>'Shenyang – Comfort'!H37</f>
        <v/>
      </c>
      <c r="I16" s="70">
        <f>'Shenyang – Comfort'!K37</f>
        <v/>
      </c>
      <c r="J16" s="71">
        <f>'Shenyang – Comfort'!H38</f>
        <v/>
      </c>
      <c r="K16" s="71">
        <f>'Shenyang – Comfort'!D68</f>
        <v/>
      </c>
    </row>
    <row r="17" ht="15" customHeight="1" s="56">
      <c r="A17" s="67" t="inlineStr">
        <is>
          <t>Hong Kong – Budget</t>
        </is>
      </c>
      <c r="B17" s="68">
        <f>'Hong Kong – Budget'!H30</f>
        <v/>
      </c>
      <c r="C17" s="68">
        <f>'Hong Kong – Budget'!H31</f>
        <v/>
      </c>
      <c r="D17" s="69">
        <f>'Hong Kong – Budget'!H33</f>
        <v/>
      </c>
      <c r="E17" s="68">
        <f>'Hong Kong – Budget'!K30</f>
        <v/>
      </c>
      <c r="F17" s="68">
        <f>'Hong Kong – Budget'!K31</f>
        <v/>
      </c>
      <c r="G17" s="69">
        <f>'Hong Kong – Budget'!K33</f>
        <v/>
      </c>
      <c r="H17" s="70">
        <f>'Hong Kong – Budget'!H34</f>
        <v/>
      </c>
      <c r="I17" s="70">
        <f>'Hong Kong – Budget'!K34</f>
        <v/>
      </c>
      <c r="J17" s="71">
        <f>'Hong Kong – Budget'!H35</f>
        <v/>
      </c>
      <c r="K17" s="71">
        <f>'Hong Kong – Budget'!D60</f>
        <v/>
      </c>
    </row>
    <row r="18" ht="15" customHeight="1" s="56">
      <c r="A18" s="67" t="inlineStr">
        <is>
          <t>Hong Kong – Comfort</t>
        </is>
      </c>
      <c r="B18" s="68">
        <f>'Hong Kong – Comfort'!H30</f>
        <v/>
      </c>
      <c r="C18" s="68">
        <f>'Hong Kong – Comfort'!H31</f>
        <v/>
      </c>
      <c r="D18" s="69">
        <f>'Hong Kong – Comfort'!H33</f>
        <v/>
      </c>
      <c r="E18" s="68">
        <f>'Hong Kong – Comfort'!K30</f>
        <v/>
      </c>
      <c r="F18" s="68">
        <f>'Hong Kong – Comfort'!K31</f>
        <v/>
      </c>
      <c r="G18" s="69">
        <f>'Hong Kong – Comfort'!K33</f>
        <v/>
      </c>
      <c r="H18" s="70">
        <f>'Hong Kong – Comfort'!H34</f>
        <v/>
      </c>
      <c r="I18" s="70">
        <f>'Hong Kong – Comfort'!K34</f>
        <v/>
      </c>
      <c r="J18" s="71">
        <f>'Hong Kong – Comfort'!H35</f>
        <v/>
      </c>
      <c r="K18" s="71">
        <f>'Hong Kong – Comfort'!D60</f>
        <v/>
      </c>
    </row>
    <row r="19" ht="15" customHeight="1" s="56">
      <c r="A19" s="67" t="inlineStr">
        <is>
          <t>EC Final Hangzhou – Train</t>
        </is>
      </c>
      <c r="B19" s="68">
        <f>'EC Final Hangzhou – Train'!H34</f>
        <v/>
      </c>
      <c r="C19" s="68">
        <f>'EC Final Hangzhou – Train'!H35</f>
        <v/>
      </c>
      <c r="D19" s="69">
        <f>'EC Final Hangzhou – Train'!H37</f>
        <v/>
      </c>
      <c r="E19" s="68">
        <f>'EC Final Hangzhou – Train'!K34</f>
        <v/>
      </c>
      <c r="F19" s="68">
        <f>'EC Final Hangzhou – Train'!K35</f>
        <v/>
      </c>
      <c r="G19" s="69">
        <f>'EC Final Hangzhou – Train'!K37</f>
        <v/>
      </c>
      <c r="H19" s="70">
        <f>'EC Final Hangzhou – Train'!H38</f>
        <v/>
      </c>
      <c r="I19" s="70">
        <f>'EC Final Hangzhou – Train'!K38</f>
        <v/>
      </c>
      <c r="J19" s="71">
        <f>'EC Final Hangzhou – Train'!H39</f>
        <v/>
      </c>
      <c r="K19" s="71">
        <f>'EC Final Hangzhou – Train'!D70</f>
        <v/>
      </c>
    </row>
    <row r="20" ht="15" customHeight="1" s="56">
      <c r="A20" s="67" t="inlineStr">
        <is>
          <t>EC Final Hangzhou – Fly</t>
        </is>
      </c>
      <c r="B20" s="68">
        <f>'EC Final Hangzhou – Fly'!H33</f>
        <v/>
      </c>
      <c r="C20" s="68">
        <f>'EC Final Hangzhou – Fly'!H34</f>
        <v/>
      </c>
      <c r="D20" s="69">
        <f>'EC Final Hangzhou – Fly'!H36</f>
        <v/>
      </c>
      <c r="E20" s="68">
        <f>'EC Final Hangzhou – Fly'!K33</f>
        <v/>
      </c>
      <c r="F20" s="68">
        <f>'EC Final Hangzhou – Fly'!K34</f>
        <v/>
      </c>
      <c r="G20" s="69">
        <f>'EC Final Hangzhou – Fly'!K36</f>
        <v/>
      </c>
      <c r="H20" s="70">
        <f>'EC Final Hangzhou – Fly'!H37</f>
        <v/>
      </c>
      <c r="I20" s="70">
        <f>'EC Final Hangzhou – Fly'!K37</f>
        <v/>
      </c>
      <c r="J20" s="71">
        <f>'EC Final Hangzhou – Fly'!H38</f>
        <v/>
      </c>
      <c r="K20" s="71">
        <f>'EC Final Hangzhou – Fly'!D70</f>
        <v/>
      </c>
    </row>
    <row r="22" ht="15" customHeight="1" s="56">
      <c r="A22" s="72" t="inlineStr">
        <is>
          <t>Recommended picks (not the expensive ones)</t>
        </is>
      </c>
    </row>
    <row r="23" ht="30" customHeight="1" s="56">
      <c r="A23" s="73" t="inlineStr">
        <is>
          <t>Regional 1 – Shenyang (14–15 Nov)</t>
        </is>
      </c>
      <c r="B23" s="74" t="inlineStr">
        <is>
          <t>Shenyang – Comfort: rest day + hotel near NEU, still leaves ~₮8.0M (3 ppl) / ~₮5.4M (with coach) of the ₮15M. Shenyang – Budget saves another ~₮1.1M if needed. Fly home on Air China 12:55 ($171) instead of MIAT 11:30.</t>
        </is>
      </c>
    </row>
    <row r="24" ht="30" customHeight="1" s="56">
      <c r="A24" s="73" t="inlineStr">
        <is>
          <t>Regional 2 – Hong Kong (9–10 Jan)</t>
        </is>
      </c>
      <c r="B24" s="74" t="inlineStr">
        <is>
          <t>Hong Kong – Budget: same MIAT nonstop ($583 return on Trip.com), Kowloon guesthouse; leaves ~₮5.9M (3 ppl) / ~₮2.8M (with coach). Comfort only makes sense without a coach.</t>
        </is>
      </c>
    </row>
    <row r="25" ht="30" customHeight="1" s="56">
      <c r="A25" s="73" t="inlineStr">
        <is>
          <t>EC Final (only if qualified)</t>
        </is>
      </c>
      <c r="B25" s="74" t="inlineStr">
        <is>
          <t>Train is cheapest (~₮8.9M / ~₮12.0M with coach): MIAT + high-speed rail out, Air China through ticket Hangzhou → UB home on 29 Jan. Fly (Air China through tickets both ways) is ~₮12.1M for 3 but ~₮16.3M with the coach – ₮1.3M over ₮15M. The ~¥700 domestic fares assumed earlier are not on sale for 25 Jan (Spring Festival rush). Buy the 25 Jan train the day sales open (~10 Jan).</t>
        </is>
      </c>
    </row>
    <row r="27" ht="30" customHeight="1" s="56">
      <c r="A27" s="75" t="inlineStr">
        <is>
          <t>Note</t>
        </is>
      </c>
      <c r="B27" s="74" t="inlineStr">
        <is>
          <t>Dates are provisional (ICPC Beijing HQ summary, 5 Aug 2026). Hong Kong host (HKU) and EC Final venue (HZNU Cangqian) are from secondary sources – confirm in each invitation.</t>
        </is>
      </c>
    </row>
    <row r="28" ht="30" customHeight="1" s="56">
      <c r="A28" s="75" t="inlineStr">
        <is>
          <t>Note</t>
        </is>
      </c>
      <c r="B28" s="74" t="inlineStr">
        <is>
          <t>EC Final is qualification-only: plan it only once the team has earned a slot at a regional.</t>
        </is>
      </c>
    </row>
    <row r="29" ht="30" customHeight="1" s="56">
      <c r="A29" s="75" t="inlineStr">
        <is>
          <t>Note</t>
        </is>
      </c>
      <c r="B29" s="74" t="inlineStr">
        <is>
          <t>4-person plans were priced on Booking.com as 4 adults / 2 rooms (e.g. two twin rooms). A single room for the coach plus a triple for the students costs about the same or slightly more. Taxi costs assume one car; with luggage 4 people may need an XL car.</t>
        </is>
      </c>
    </row>
    <row r="30" ht="30" customHeight="1" s="56">
      <c r="A30" s="75" t="inlineStr">
        <is>
          <t>Note</t>
        </is>
      </c>
      <c r="B30" s="74" t="inlineStr">
        <is>
          <t>EC Final plans no longer need a Beijing hotel night: the Air China through ticket gets the team home on 29 Jan. Shenyang plans still use November Beijing hotel rates.</t>
        </is>
      </c>
    </row>
  </sheetData>
  <mergeCells count="8">
    <mergeCell ref="B23:K23"/>
    <mergeCell ref="B27:K27"/>
    <mergeCell ref="B30:K30"/>
    <mergeCell ref="A2:K2"/>
    <mergeCell ref="B29:K29"/>
    <mergeCell ref="B25:K25"/>
    <mergeCell ref="B24:K24"/>
    <mergeCell ref="B28:K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Budget</t>
        </is>
      </c>
    </row>
    <row r="2" ht="15" customHeight="1" s="56">
      <c r="A2" s="62" t="inlineStr">
        <is>
          <t>Arrive the evening before check-in, hostels/budget rooms, one night in Shenyang.</t>
        </is>
      </c>
    </row>
    <row r="4" ht="15" customHeight="1" s="56">
      <c r="A4" s="60" t="inlineStr">
        <is>
          <t>Days in destination (meals &amp; local transport)</t>
        </is>
      </c>
      <c r="B4" s="76" t="n">
        <v>3</v>
      </c>
      <c r="C4" s="62" t="inlineStr">
        <is>
          <t>Evening 13 Nov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17:15–19:30</t>
        </is>
      </c>
      <c r="C10" s="83" t="inlineStr">
        <is>
          <t>13 Nov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17:15–19:30 $150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High-speed rail Beijing Chaoyang → Shenyang North, 2nd class</t>
        </is>
      </c>
      <c r="C13" s="83" t="inlineStr">
        <is>
          <t>14 Nov (morning)</t>
        </is>
      </c>
      <c r="D13" s="84" t="n">
        <v>0.1138888888888889</v>
      </c>
      <c r="E13" s="85" t="n">
        <v>339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12306: 339 CNY; fastest 2 h 44 min</t>
        </is>
      </c>
    </row>
    <row r="14" ht="26.85" customHeight="1" s="56">
      <c r="A14" s="81" t="n"/>
      <c r="B14" s="82" t="inlineStr">
        <is>
          <t>High-speed rail Shenyang North → Beijing Chaoyang, 2nd class</t>
        </is>
      </c>
      <c r="C14" s="83" t="inlineStr">
        <is>
          <t>15 Nov (eve)</t>
        </is>
      </c>
      <c r="D14" s="84" t="n">
        <v>0.1138888888888889</v>
      </c>
      <c r="E14" s="85" t="n">
        <v>339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12306: 339 CNY; fastest 2 h 44 min Through ticket Shenyang 09:00 → Beijing → UB 15:05 (Air China, 16 Nov) is $286 pp on Trip.com 1 Oct – ~$50 pp dearer than train + Beijing night + Air China, but worth it if the closing ceremony runs late.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Beijing budget hostel/hotel (3 ppl: LeftBank Youth Hostel; 4 ppl: 7Days Inn Beijing South, 2 rooms)</t>
        </is>
      </c>
      <c r="C16" s="83" t="inlineStr">
        <is>
          <t>13 Nov (1 night)</t>
        </is>
      </c>
      <c r="D16" s="81" t="n"/>
      <c r="E16" s="85" t="n">
        <v>227</v>
      </c>
      <c r="F16" s="86" t="inlineStr">
        <is>
          <t>CNY</t>
        </is>
      </c>
      <c r="G16" s="91" t="n">
        <v>1</v>
      </c>
      <c r="H16" s="88">
        <f>E16*G16*IF(F16="USD",Compare!$B$8,IF(F16="CNY",Compare!$B$9,IF(F16="HKD",Compare!$B$10,1)))</f>
        <v/>
      </c>
      <c r="I16" s="85" t="n">
        <v>736</v>
      </c>
      <c r="J16" s="91" t="n">
        <v>1</v>
      </c>
      <c r="K16" s="88">
        <f>I16*J16*IF(F16="USD",Compare!$B$8,IF(F16="CNY",Compare!$B$9,IF(F16="HKD",Compare!$B$10,1)))</f>
        <v/>
      </c>
      <c r="L16" s="90" t="inlineStr">
        <is>
          <t>Booking.com: 226.80 CNY (3 ppl, 1 room); 736 CNY for 2 rooms on 13 Nov</t>
        </is>
      </c>
    </row>
    <row r="17" ht="26.85" customHeight="1" s="56">
      <c r="A17" s="81" t="n"/>
      <c r="B17" s="82" t="inlineStr">
        <is>
          <t>Bestay Hotel Express Shenyang (Huaiyuanmen; ~25 min metro to NEU Nanhu)</t>
        </is>
      </c>
      <c r="C17" s="83" t="inlineStr">
        <is>
          <t>14 Nov (1 night)</t>
        </is>
      </c>
      <c r="D17" s="81" t="n"/>
      <c r="E17" s="85" t="n">
        <v>86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85" t="n">
        <v>134</v>
      </c>
      <c r="J17" s="91" t="n">
        <v>1</v>
      </c>
      <c r="K17" s="88">
        <f>I17*J17*IF(F17="USD",Compare!$B$8,IF(F17="CNY",Compare!$B$9,IF(F17="HKD",Compare!$B$10,1)))</f>
        <v/>
      </c>
      <c r="L17" s="90" t="inlineStr">
        <is>
          <t>Booking.com: 86/night (3 ppl, 1 room); 134 CNY for 2 rooms on 14 Nov. Unusually cheap – re-check</t>
        </is>
      </c>
    </row>
    <row r="18" ht="15" customHeight="1" s="56">
      <c r="A18" s="81" t="n"/>
      <c r="B18" s="82" t="inlineStr">
        <is>
          <t>Beijing budget hostel/hotel (same as 13 Nov)</t>
        </is>
      </c>
      <c r="C18" s="83" t="inlineStr">
        <is>
          <t>15 Nov (1 night)</t>
        </is>
      </c>
      <c r="D18" s="81" t="n"/>
      <c r="E18" s="85" t="n">
        <v>227</v>
      </c>
      <c r="F18" s="86" t="inlineStr">
        <is>
          <t>CNY</t>
        </is>
      </c>
      <c r="G18" s="91" t="n">
        <v>1</v>
      </c>
      <c r="H18" s="88">
        <f>E18*G18*IF(F18="USD",Compare!$B$8,IF(F18="CNY",Compare!$B$9,IF(F18="HKD",Compare!$B$10,1)))</f>
        <v/>
      </c>
      <c r="I18" s="85" t="n">
        <v>736</v>
      </c>
      <c r="J18" s="91" t="n">
        <v>1</v>
      </c>
      <c r="K18" s="88">
        <f>I18*J18*IF(F18="USD",Compare!$B$8,IF(F18="CNY",Compare!$B$9,IF(F18="HKD",Compare!$B$10,1)))</f>
        <v/>
      </c>
      <c r="L18" s="90" t="inlineStr">
        <is>
          <t>Same rates as 13 Nov</t>
        </is>
      </c>
    </row>
    <row r="19" ht="15" customHeight="1" s="56">
      <c r="A19" s="79" t="inlineStr">
        <is>
          <t>Meals &amp; local transport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Meals</t>
        </is>
      </c>
      <c r="C20" s="83" t="inlineStr">
        <is>
          <t>in destination</t>
        </is>
      </c>
      <c r="D20" s="81" t="n"/>
      <c r="E20" s="92" t="n">
        <v>80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80 CNY/person/day; hosts usually provide some meals on contest days</t>
        </is>
      </c>
    </row>
    <row r="21" ht="15" customHeight="1" s="56">
      <c r="A21" s="81" t="n"/>
      <c r="B21" s="82" t="inlineStr">
        <is>
          <t>Local transport (metro, taxis)</t>
        </is>
      </c>
      <c r="C21" s="83" t="inlineStr">
        <is>
          <t>in destination</t>
        </is>
      </c>
      <c r="D21" s="81" t="n"/>
      <c r="E21" s="92" t="n">
        <v>30</v>
      </c>
      <c r="F21" s="86" t="inlineStr">
        <is>
          <t>CNY</t>
        </is>
      </c>
      <c r="G21" s="87">
        <f>Compare!$B$6*$B$4</f>
        <v/>
      </c>
      <c r="H21" s="88">
        <f>E21*G21*IF(F21="USD",Compare!$B$8,IF(F21="CNY",Compare!$B$9,IF(F21="HKD",Compare!$B$10,1)))</f>
        <v/>
      </c>
      <c r="I21" s="93">
        <f>E21</f>
        <v/>
      </c>
      <c r="J21" s="87">
        <f>Compare!$B$7*$B$4</f>
        <v/>
      </c>
      <c r="K21" s="88">
        <f>I21*J21*IF(F21="USD",Compare!$B$8,IF(F21="CNY",Compare!$B$9,IF(F21="HKD",Compare!$B$10,1)))</f>
        <v/>
      </c>
      <c r="L21" s="90" t="inlineStr">
        <is>
          <t>ASSUMPTION 30 CNY/person/day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22.35" customHeight="1" s="56">
      <c r="A24" s="81" t="n"/>
      <c r="B24" s="82" t="inlineStr">
        <is>
          <t>Shenyang regional registration fee (per team)</t>
        </is>
      </c>
      <c r="C24" s="83" t="inlineStr">
        <is>
          <t>pay by mid-Oct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1,500 CNY/team like recent EC regionals; 2026 Shenyang invitation not yet out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Asia Shenyang Regional, 14–15 Nov 2026 (provisional), Northeastern University – 2025 edition was on the Nanhu campus.</t>
        </is>
      </c>
    </row>
    <row r="43" ht="30" customHeight="1" s="56">
      <c r="A43" s="75" t="inlineStr">
        <is>
          <t>Why this route</t>
        </is>
      </c>
      <c r="B43" s="74" t="inlineStr">
        <is>
          <t>Cheapest way from UB: MIAT to Beijing ($150) + 2 h 44 min high-speed rail, Air China home ($171). Flying UB→Shenyang direct means an overnight in Seoul (~$514 pp one way) or a 1-stop via Beijing/Hohhot ($219–233, 8–15 h).</t>
        </is>
      </c>
    </row>
    <row r="44" ht="15" customHeight="1" s="56">
      <c r="A44" s="75" t="inlineStr">
        <is>
          <t>Trade-off</t>
        </is>
      </c>
      <c r="B44" s="74" t="inlineStr">
        <is>
          <t>Arrive only the evening before registration; very basic rooms; ~25 min metro to the venue.</t>
        </is>
      </c>
    </row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Fri 13 Nov</t>
        </is>
      </c>
      <c r="B48" s="74" t="inlineStr">
        <is>
          <t>Beijing</t>
        </is>
      </c>
      <c r="C48" s="74" t="inlineStr">
        <is>
          <t>Fly MIAT OM223 UB 17:15 → Beijing Capital 19:30. Budget hostel/hotel in Beijing.</t>
        </is>
      </c>
    </row>
    <row r="49" ht="30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Early G-train Beijing Chaoyang → Shenyang North (2 h 44 min). Registration &amp; practice at Northeastern University Nanhu campus.</t>
        </is>
      </c>
    </row>
    <row r="50" ht="15" customHeight="1" s="56">
      <c r="A50" s="74" t="inlineStr">
        <is>
          <t>Sun 15 Nov</t>
        </is>
      </c>
      <c r="B50" s="74" t="inlineStr">
        <is>
          <t>Beijing</t>
        </is>
      </c>
      <c r="C50" s="74" t="inlineStr">
        <is>
          <t>SHENYANG REGIONAL contest day. Evening G-train back to Beijing Chaoyang (2 h 44 min).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Air China Beijing Capital 12:55 → UB 15:05 (nonstop).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13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~14:15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13 Nov</t>
        </is>
      </c>
      <c r="B56" s="105" t="inlineStr">
        <is>
          <t>Ulaanbaatar → Beijing (PEK)</t>
        </is>
      </c>
      <c r="C56" s="82" t="inlineStr">
        <is>
          <t>MIAT OM223 17:15–19:30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13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13 Nov</t>
        </is>
      </c>
      <c r="B58" s="105" t="inlineStr">
        <is>
          <t>PEK → hostel</t>
        </is>
      </c>
      <c r="C58" s="82" t="inlineStr">
        <is>
          <t>Taxi / Airport Express + metro</t>
        </is>
      </c>
      <c r="D58" s="104" t="n">
        <v>0.03472222222222222</v>
      </c>
      <c r="E58" s="106" t="inlineStr">
        <is>
          <t>Estimate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14 Nov</t>
        </is>
      </c>
      <c r="B59" s="105" t="inlineStr">
        <is>
          <t>Hostel → Beijing Chaoyang station</t>
        </is>
      </c>
      <c r="C59" s="82" t="inlineStr">
        <is>
          <t>Metro / taxi</t>
        </is>
      </c>
      <c r="D59" s="104" t="n">
        <v>0.01736111111111111</v>
      </c>
      <c r="E59" s="106" t="inlineStr">
        <is>
          <t>Be at station 30–45 min early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14 Nov</t>
        </is>
      </c>
      <c r="B60" s="105" t="inlineStr">
        <is>
          <t>Beijing Chaoyang → Shenyang North</t>
        </is>
      </c>
      <c r="C60" s="82" t="inlineStr">
        <is>
          <t>G-train 2nd class</t>
        </is>
      </c>
      <c r="D60" s="84" t="n">
        <v>0.1138888888888889</v>
      </c>
      <c r="E60" s="106" t="inlineStr">
        <is>
          <t>e.g. ~07:00 → ~09:45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14 Nov</t>
        </is>
      </c>
      <c r="B61" s="105" t="inlineStr">
        <is>
          <t>Shenyang North → NEU Nanhu</t>
        </is>
      </c>
      <c r="C61" s="82" t="inlineStr">
        <is>
          <t>Taxi (~7 km)</t>
        </is>
      </c>
      <c r="D61" s="104" t="n">
        <v>0.01736111111111111</v>
      </c>
      <c r="E61" s="106" t="inlineStr">
        <is>
          <t>Estimate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14–15 Nov</t>
        </is>
      </c>
      <c r="B62" s="105" t="inlineStr">
        <is>
          <t>Bestay hotel ↔ NEU Nanhu (each way)</t>
        </is>
      </c>
      <c r="C62" s="82" t="inlineStr">
        <is>
          <t>Metro</t>
        </is>
      </c>
      <c r="D62" s="108" t="inlineStr">
        <is>
          <t>daily</t>
        </is>
      </c>
      <c r="E62" s="106" t="inlineStr">
        <is>
          <t>~25 min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 Nov</t>
        </is>
      </c>
      <c r="B63" s="105" t="inlineStr">
        <is>
          <t>NEU Nanhu → Shenyang North</t>
        </is>
      </c>
      <c r="C63" s="82" t="inlineStr">
        <is>
          <t>Taxi</t>
        </is>
      </c>
      <c r="D63" s="104" t="n">
        <v>0.01736111111111111</v>
      </c>
      <c r="E63" s="106" t="inlineStr">
        <is>
          <t>Estimate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15 Nov</t>
        </is>
      </c>
      <c r="B64" s="105" t="inlineStr">
        <is>
          <t>Shenyang North → Beijing Chaoyang</t>
        </is>
      </c>
      <c r="C64" s="82" t="inlineStr">
        <is>
          <t>G-train 2nd class</t>
        </is>
      </c>
      <c r="D64" s="84" t="n">
        <v>0.1138888888888889</v>
      </c>
      <c r="E64" s="106" t="inlineStr">
        <is>
          <t>Evening train after contest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15 Nov</t>
        </is>
      </c>
      <c r="B65" s="105" t="inlineStr">
        <is>
          <t>Beijing Chaoyang → hostel</t>
        </is>
      </c>
      <c r="C65" s="82" t="inlineStr">
        <is>
          <t>Taxi / metro</t>
        </is>
      </c>
      <c r="D65" s="104" t="n">
        <v>0.01388888888888889</v>
      </c>
      <c r="E65" s="106" t="inlineStr">
        <is>
          <t>Estimate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16 Nov</t>
        </is>
      </c>
      <c r="B66" s="105" t="inlineStr">
        <is>
          <t>Hostel → PEK</t>
        </is>
      </c>
      <c r="C66" s="82" t="inlineStr">
        <is>
          <t>Taxi</t>
        </is>
      </c>
      <c r="D66" s="104" t="n">
        <v>0.03125</v>
      </c>
      <c r="E66" s="106" t="inlineStr">
        <is>
          <t>Be at PEK by ~10:55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26.85" customHeight="1" s="56">
      <c r="A67" s="105" t="inlineStr">
        <is>
          <t>16 Nov</t>
        </is>
      </c>
      <c r="B67" s="105" t="inlineStr">
        <is>
          <t>Beijing (PEK) → Ulaanbaatar</t>
        </is>
      </c>
      <c r="C67" s="82" t="inlineStr">
        <is>
          <t>Air China 12:55–15:05</t>
        </is>
      </c>
      <c r="D67" s="84" t="n">
        <v>0.09027777777777778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4.15" customHeight="1" s="56">
      <c r="A68" s="105" t="inlineStr">
        <is>
          <t>16 Nov</t>
        </is>
      </c>
      <c r="B68" s="105" t="inlineStr">
        <is>
          <t>Chinggis Khaan airport → home</t>
        </is>
      </c>
      <c r="C68" s="82" t="inlineStr">
        <is>
          <t>Taxi</t>
        </is>
      </c>
      <c r="D68" s="104" t="n">
        <v>0.04166666666666666</v>
      </c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C69" s="59" t="inlineStr">
        <is>
          <t>Total door-to-door</t>
        </is>
      </c>
      <c r="D69" s="109">
        <f>SUM(D55:D68)</f>
        <v/>
      </c>
    </row>
  </sheetData>
  <mergeCells count="23">
    <mergeCell ref="E56:L56"/>
    <mergeCell ref="E58:L58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B44:L44"/>
    <mergeCell ref="E59:L59"/>
    <mergeCell ref="C47:L47"/>
    <mergeCell ref="C50:L50"/>
    <mergeCell ref="E61:L61"/>
    <mergeCell ref="E57:L57"/>
    <mergeCell ref="E54:L54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Comfort</t>
        </is>
      </c>
    </row>
    <row r="2" ht="15" customHeight="1" s="56">
      <c r="A2" s="62" t="inlineStr">
        <is>
          <t>Arrive a day early for rest, hotel near the venue, same MIAT + fast train route.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12 Nov morning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07:30–09:45</t>
        </is>
      </c>
      <c r="C10" s="83" t="inlineStr">
        <is>
          <t>12 Nov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07:30–09:45 $151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High-speed rail Beijing Chaoyang → Shenyang North, 2nd class</t>
        </is>
      </c>
      <c r="C13" s="83" t="inlineStr">
        <is>
          <t>12 Nov (midday)</t>
        </is>
      </c>
      <c r="D13" s="84" t="n">
        <v>0.1138888888888889</v>
      </c>
      <c r="E13" s="85" t="n">
        <v>339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12306: 339 CNY; fastest 2 h 44 min</t>
        </is>
      </c>
    </row>
    <row r="14" ht="26.85" customHeight="1" s="56">
      <c r="A14" s="81" t="n"/>
      <c r="B14" s="82" t="inlineStr">
        <is>
          <t>High-speed rail Shenyang North → Beijing Chaoyang, 2nd class</t>
        </is>
      </c>
      <c r="C14" s="83" t="inlineStr">
        <is>
          <t>15 Nov (eve)</t>
        </is>
      </c>
      <c r="D14" s="84" t="n">
        <v>0.1138888888888889</v>
      </c>
      <c r="E14" s="85" t="n">
        <v>339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12306: 339 CNY; fastest 2 h 44 min Through ticket Shenyang 09:00 → Beijing → UB 15:05 (Air China, 16 Nov) is $286 pp on Trip.com 1 Oct – ~$50 pp dearer than train + Beijing night + Air China, but worth it if the closing ceremony runs late.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Near NEU Nanhu (3 ppl: Atour Youth Street, ~1.4 km; 4 ppl: Mehood Lestie Qingnian St, ~2.2 km, 2 rooms)</t>
        </is>
      </c>
      <c r="C16" s="83" t="inlineStr">
        <is>
          <t>12–15 Nov (3 nights)</t>
        </is>
      </c>
      <c r="D16" s="81" t="n"/>
      <c r="E16" s="85" t="n">
        <v>527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718</v>
      </c>
      <c r="J16" s="91" t="n">
        <v>3</v>
      </c>
      <c r="K16" s="88">
        <f>I16*J16*IF(F16="USD",Compare!$B$8,IF(F16="CNY",Compare!$B$9,IF(F16="HKD",Compare!$B$10,1)))</f>
        <v/>
      </c>
      <c r="L16" s="90" t="inlineStr">
        <is>
          <t>Booking.com 12–15 Nov: Atour 1,581 CNY/3 nights (3 ppl); Mehood Lestie 2,154 CNY/3 nights for 2 rooms</t>
        </is>
      </c>
    </row>
    <row r="17" ht="26.85" customHeight="1" s="56">
      <c r="A17" s="81" t="n"/>
      <c r="B17" s="82" t="inlineStr">
        <is>
          <t>Beijing hotel near Chaoyang station / airport (3 ppl 1 room; 4 ppl 2 rooms)</t>
        </is>
      </c>
      <c r="C17" s="83" t="inlineStr">
        <is>
          <t>15 Nov (1 night)</t>
        </is>
      </c>
      <c r="D17" s="81" t="n"/>
      <c r="E17" s="85" t="n">
        <v>300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85" t="n">
        <v>736</v>
      </c>
      <c r="J17" s="91" t="n">
        <v>1</v>
      </c>
      <c r="K17" s="88">
        <f>I17*J17*IF(F17="USD",Compare!$B$8,IF(F17="CNY",Compare!$B$9,IF(F17="HKD",Compare!$B$10,1)))</f>
        <v/>
      </c>
      <c r="L17" s="90" t="inlineStr">
        <is>
          <t>Booking.com Beijing budget hotels: ~227–366 CNY (1 room); 736+ CNY for 2 rooms</t>
        </is>
      </c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22.35" customHeight="1" s="56">
      <c r="A19" s="81" t="n"/>
      <c r="B19" s="82" t="inlineStr">
        <is>
          <t>Meals</t>
        </is>
      </c>
      <c r="C19" s="83" t="inlineStr">
        <is>
          <t>in destination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hosts usually provide some meals on contest days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destination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22.35" customHeight="1" s="56">
      <c r="A23" s="81" t="n"/>
      <c r="B23" s="82" t="inlineStr">
        <is>
          <t>Shenyang regional registration fee (per team)</t>
        </is>
      </c>
      <c r="C23" s="83" t="inlineStr">
        <is>
          <t>pay by mid-Oct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1,500 CNY/team like recent EC regionals; 2026 Shenyang invitation not yet out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SUM(D10:D11)+SUM(D13:D14)</f>
        <v/>
      </c>
      <c r="K38" s="104">
        <f>SUM(D10:D11)+SUM(D13:D14)</f>
        <v/>
      </c>
    </row>
    <row r="40" ht="15" customHeight="1" s="56">
      <c r="A40" s="72" t="inlineStr">
        <is>
          <t>Key facts</t>
        </is>
      </c>
    </row>
    <row r="41" ht="15" customHeight="1" s="56">
      <c r="A41" s="75" t="inlineStr">
        <is>
          <t>Contest</t>
        </is>
      </c>
      <c r="B41" s="74" t="inlineStr">
        <is>
          <t>Asia Shenyang Regional, 14–15 Nov 2026 (provisional), Northeastern University Nanhu campus (2025 venue).</t>
        </is>
      </c>
    </row>
    <row r="42" ht="15" customHeight="1" s="56">
      <c r="A42" s="75" t="inlineStr">
        <is>
          <t>Why this plan</t>
        </is>
      </c>
      <c r="B42" s="74" t="inlineStr">
        <is>
          <t>A full rest day before registration, hotel close to the venue, same cheap MIAT + rail route.</t>
        </is>
      </c>
    </row>
    <row r="43" ht="15" customHeight="1" s="56">
      <c r="A43" s="75" t="inlineStr">
        <is>
          <t>Trade-off</t>
        </is>
      </c>
      <c r="B43" s="74" t="inlineStr">
        <is>
          <t>Two extra hotel nights and meals; very early flight from UB on 12 Nov.</t>
        </is>
      </c>
    </row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15" customHeight="1" s="56">
      <c r="A47" s="74" t="inlineStr">
        <is>
          <t>Thu 12 Nov</t>
        </is>
      </c>
      <c r="B47" s="74" t="inlineStr">
        <is>
          <t>Shenyang</t>
        </is>
      </c>
      <c r="C47" s="74" t="inlineStr">
        <is>
          <t>MIAT OM223 UB 07:30 → Beijing 09:45; G-train Beijing Chaoyang → Shenyang North (~12:30 → ~15:15). Hotel near NEU.</t>
        </is>
      </c>
    </row>
    <row r="48" ht="15" customHeight="1" s="56">
      <c r="A48" s="74" t="inlineStr">
        <is>
          <t>Fri 13 Nov</t>
        </is>
      </c>
      <c r="B48" s="74" t="inlineStr">
        <is>
          <t>Shenyang</t>
        </is>
      </c>
      <c r="C48" s="74" t="inlineStr">
        <is>
          <t>Rest / practice day in Shenyang.</t>
        </is>
      </c>
    </row>
    <row r="49" ht="15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Registration &amp; practice at NEU Nanhu (walkable from hotel).</t>
        </is>
      </c>
    </row>
    <row r="50" ht="15" customHeight="1" s="56">
      <c r="A50" s="74" t="inlineStr">
        <is>
          <t>Sun 15 Nov</t>
        </is>
      </c>
      <c r="B50" s="74" t="inlineStr">
        <is>
          <t>Beijing</t>
        </is>
      </c>
      <c r="C50" s="74" t="inlineStr">
        <is>
          <t>SHENYANG REGIONAL contest day. Evening G-train to Beijing Chaoyang.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Air China Beijing Capital 12:55 → UB 15:05 (nonstop).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12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~04:30 for 07:30 flight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12 Nov</t>
        </is>
      </c>
      <c r="B56" s="105" t="inlineStr">
        <is>
          <t>Ulaanbaatar → Beijing (PEK)</t>
        </is>
      </c>
      <c r="C56" s="82" t="inlineStr">
        <is>
          <t>MIAT OM223 07:30–09:45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12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12 Nov</t>
        </is>
      </c>
      <c r="B58" s="105" t="inlineStr">
        <is>
          <t>PEK → Beijing Chaoyang station</t>
        </is>
      </c>
      <c r="C58" s="82" t="inlineStr">
        <is>
          <t>Taxi (~20 km)</t>
        </is>
      </c>
      <c r="D58" s="104" t="n">
        <v>0.02777777777777778</v>
      </c>
      <c r="E58" s="106" t="inlineStr">
        <is>
          <t>Estimate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12 Nov</t>
        </is>
      </c>
      <c r="B59" s="105" t="inlineStr">
        <is>
          <t>Beijing Chaoyang → Shenyang North</t>
        </is>
      </c>
      <c r="C59" s="82" t="inlineStr">
        <is>
          <t>G-train 2nd class</t>
        </is>
      </c>
      <c r="D59" s="84" t="n">
        <v>0.1138888888888889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12 Nov</t>
        </is>
      </c>
      <c r="B60" s="105" t="inlineStr">
        <is>
          <t>Shenyang North → hotel near NEU</t>
        </is>
      </c>
      <c r="C60" s="82" t="inlineStr">
        <is>
          <t>Taxi</t>
        </is>
      </c>
      <c r="D60" s="104" t="n">
        <v>0.01736111111111111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13–15 Nov</t>
        </is>
      </c>
      <c r="B61" s="105" t="inlineStr">
        <is>
          <t>Hotel ↔ NEU Nanhu (each way)</t>
        </is>
      </c>
      <c r="C61" s="82" t="inlineStr">
        <is>
          <t>Walk</t>
        </is>
      </c>
      <c r="D61" s="108" t="inlineStr">
        <is>
          <t>daily</t>
        </is>
      </c>
      <c r="E61" s="106" t="inlineStr">
        <is>
          <t>~18 min walk (Atour) / ~10 min taxi (Mehood Lestie)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15 Nov</t>
        </is>
      </c>
      <c r="B62" s="105" t="inlineStr">
        <is>
          <t>NEU Nanhu → Shenyang North</t>
        </is>
      </c>
      <c r="C62" s="82" t="inlineStr">
        <is>
          <t>Taxi</t>
        </is>
      </c>
      <c r="D62" s="104" t="n">
        <v>0.01736111111111111</v>
      </c>
      <c r="E62" s="106" t="n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 Nov</t>
        </is>
      </c>
      <c r="B63" s="105" t="inlineStr">
        <is>
          <t>Shenyang North → Beijing Chaoyang</t>
        </is>
      </c>
      <c r="C63" s="82" t="inlineStr">
        <is>
          <t>G-train 2nd class</t>
        </is>
      </c>
      <c r="D63" s="84" t="n">
        <v>0.1138888888888889</v>
      </c>
      <c r="E63" s="106" t="n"/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15 Nov</t>
        </is>
      </c>
      <c r="B64" s="105" t="inlineStr">
        <is>
          <t>Beijing Chaoyang → hotel</t>
        </is>
      </c>
      <c r="C64" s="82" t="inlineStr">
        <is>
          <t>Taxi</t>
        </is>
      </c>
      <c r="D64" s="104" t="n">
        <v>0.01041666666666667</v>
      </c>
      <c r="E64" s="106" t="n"/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16 Nov</t>
        </is>
      </c>
      <c r="B65" s="105" t="inlineStr">
        <is>
          <t>Hotel → PEK</t>
        </is>
      </c>
      <c r="C65" s="82" t="inlineStr">
        <is>
          <t>Taxi</t>
        </is>
      </c>
      <c r="D65" s="104" t="n">
        <v>0.02430555555555556</v>
      </c>
      <c r="E65" s="106" t="inlineStr">
        <is>
          <t>Be at PEK by ~10:55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26.85" customHeight="1" s="56">
      <c r="A66" s="105" t="inlineStr">
        <is>
          <t>16 Nov</t>
        </is>
      </c>
      <c r="B66" s="105" t="inlineStr">
        <is>
          <t>Beijing (PEK) → Ulaanbaatar</t>
        </is>
      </c>
      <c r="C66" s="82" t="inlineStr">
        <is>
          <t>Air China 12:55–15:05</t>
        </is>
      </c>
      <c r="D66" s="84" t="n">
        <v>0.09027777777777778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4.15" customHeight="1" s="56">
      <c r="A67" s="105" t="inlineStr">
        <is>
          <t>16 Nov</t>
        </is>
      </c>
      <c r="B67" s="105" t="inlineStr">
        <is>
          <t>Chinggis Khaan airport → home</t>
        </is>
      </c>
      <c r="C67" s="82" t="inlineStr">
        <is>
          <t>Taxi</t>
        </is>
      </c>
      <c r="D67" s="104" t="n">
        <v>0.04166666666666666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C68" s="59" t="inlineStr">
        <is>
          <t>Total door-to-door</t>
        </is>
      </c>
      <c r="D68" s="109">
        <f>SUM(D55:D67)</f>
        <v/>
      </c>
    </row>
  </sheetData>
  <mergeCells count="23">
    <mergeCell ref="E56:L56"/>
    <mergeCell ref="E58:L5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E59:L59"/>
    <mergeCell ref="C47:L47"/>
    <mergeCell ref="C50:L50"/>
    <mergeCell ref="E61:L61"/>
    <mergeCell ref="E57:L57"/>
    <mergeCell ref="E54:L54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Budget</t>
        </is>
      </c>
    </row>
    <row r="2" ht="15" customHeight="1" s="56">
      <c r="A2" s="62" t="inlineStr">
        <is>
          <t>MIAT nonstop both ways; guesthouse rooms in Tsim Sha Tsui (Kowloon), ~35 min MTR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291.5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return $583 pp, split half each way (SlickTrip 30 Sep: $590.50 pp)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291.5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$583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Premium Lounge guesthouse, Chungking Mansion, Tsim Sha Tsui (3 ppl 1 room; 4 ppl 2 rooms)</t>
        </is>
      </c>
      <c r="C13" s="83" t="inlineStr">
        <is>
          <t>8–11 Jan (3 nights)</t>
        </is>
      </c>
      <c r="D13" s="81" t="n"/>
      <c r="E13" s="85" t="n">
        <v>435.96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596.61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8–11 Jan: 1,307.88 HKD (3 ppl) / 1,789.83 HKD (4 ppl, 2 rooms) for 3 nights; rated 8.1 (1,228 reviews)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Kowloon)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30" customHeight="1" s="56">
      <c r="A38" s="75" t="inlineStr">
        <is>
          <t>Contest</t>
        </is>
      </c>
      <c r="B38" s="74" t="inlineStr">
        <is>
          <t>Asia Hong Kong Regional, 9–10 Jan 2027 (provisional). Host listed as HKU on a coach's tracking page; the site rotates, so confirm.</t>
        </is>
      </c>
    </row>
    <row r="39" ht="15" customHeight="1" s="56">
      <c r="A39" s="75" t="inlineStr">
        <is>
          <t>Why this route</t>
        </is>
      </c>
      <c r="B39" s="74" t="inlineStr">
        <is>
          <t>MIAT flies UB–Hong Kong nonstop; everything else (via Seoul/Beijing) costs more or takes a day longer.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Tiny guesthouse rooms; ~35 min each way to HKU.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Tsim Sha Tsui guesthouse.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Tsim Sha Tsui guesthouse</t>
        </is>
      </c>
      <c r="C55" s="82" t="inlineStr">
        <is>
          <t>Airport Express to Kowloon + walk/shuttle</t>
        </is>
      </c>
      <c r="D55" s="104" t="n">
        <v>0.03125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~35 min MTR (Tsim Sha Tsui → Admiralty → HKU)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Guesthouse → HKG</t>
        </is>
      </c>
      <c r="C57" s="82" t="inlineStr">
        <is>
          <t>Airport Express from Kowloon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9:L59"/>
    <mergeCell ref="E51:L51"/>
    <mergeCell ref="B39:L39"/>
    <mergeCell ref="C48:L48"/>
    <mergeCell ref="E54:L54"/>
    <mergeCell ref="C44:L44"/>
    <mergeCell ref="E55:L55"/>
    <mergeCell ref="E52:L52"/>
    <mergeCell ref="C46:L46"/>
    <mergeCell ref="C47:L47"/>
    <mergeCell ref="E53:L53"/>
    <mergeCell ref="B41:L41"/>
    <mergeCell ref="B40:L4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Comfort</t>
        </is>
      </c>
    </row>
    <row r="2" ht="15" customHeight="1" s="56">
      <c r="A2" s="62" t="inlineStr">
        <is>
          <t>MIAT nonstop both ways; hotel in Sai Ying Pun, ~1 MTR stop / short walk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291.5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return $583 pp, split half each way (SlickTrip 30 Sep: $590.50 pp)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291.5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$583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Best Western Plus Hotel Hong Kong, Sai Ying Pun (~1 km to HKU; 3 ppl 1 room; 4 ppl 2 rooms)</t>
        </is>
      </c>
      <c r="C13" s="83" t="inlineStr">
        <is>
          <t>8–11 Jan (3 nights)</t>
        </is>
      </c>
      <c r="D13" s="81" t="n"/>
      <c r="E13" s="85" t="n">
        <v>713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1213.33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8–11 Jan: 2,139 HKD (3 ppl) / 3,640 HKD (4 ppl, 2 rooms) for 3 nights; rated 7.4 (4,583 reviews)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Hong Kong stn)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15" customHeight="1" s="56">
      <c r="A38" s="75" t="inlineStr">
        <is>
          <t>Contest</t>
        </is>
      </c>
      <c r="B38" s="74" t="inlineStr">
        <is>
          <t>Asia Hong Kong Regional, 9–10 Jan 2027 (provisional), host listed as HKU – confirm.</t>
        </is>
      </c>
    </row>
    <row r="39" ht="15" customHeight="1" s="56">
      <c r="A39" s="75" t="inlineStr">
        <is>
          <t>Why this plan</t>
        </is>
      </c>
      <c r="B39" s="74" t="inlineStr">
        <is>
          <t>Walking distance to HKU, a proper hotel; flights identical to the budget plan.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Hotel costs roughly double the Kowloon guesthouse.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Sai Ying Pun hotel.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Sai Ying Pun hotel</t>
        </is>
      </c>
      <c r="C55" s="82" t="inlineStr">
        <is>
          <t>Airport Express to Hong Kong stn + taxi/MTR</t>
        </is>
      </c>
      <c r="D55" s="104" t="n">
        <v>0.03472222222222222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~10–15 min (walk or 1 MTR stop to HKU station)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Hotel → HKG</t>
        </is>
      </c>
      <c r="C57" s="82" t="inlineStr">
        <is>
          <t>Taxi/MTR + Airport Express</t>
        </is>
      </c>
      <c r="D57" s="104" t="n">
        <v>0.03472222222222222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9:L59"/>
    <mergeCell ref="E51:L51"/>
    <mergeCell ref="B39:L39"/>
    <mergeCell ref="C48:L48"/>
    <mergeCell ref="E54:L54"/>
    <mergeCell ref="C44:L44"/>
    <mergeCell ref="E55:L55"/>
    <mergeCell ref="E52:L52"/>
    <mergeCell ref="C46:L46"/>
    <mergeCell ref="C47:L47"/>
    <mergeCell ref="E53:L53"/>
    <mergeCell ref="B41:L41"/>
    <mergeCell ref="B40:L4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Train</t>
        </is>
      </c>
    </row>
    <row r="2" ht="15" customHeight="1" s="56">
      <c r="A2" s="62" t="inlineStr">
        <is>
          <t>MIAT to Beijing + high-speed rail to Hangzhou; Air China through ticket Hangzhou → UB back (home on 29 Jan); hotel ~1 km from HZNU Cangqian.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25 Jan → morning 29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08:15–10:30</t>
        </is>
      </c>
      <c r="C10" s="83" t="inlineStr">
        <is>
          <t>25 Jan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08:15–10:30 $150 pp (SlickTrip 30 Sep: $154)</t>
        </is>
      </c>
    </row>
    <row r="11" ht="26.85" customHeight="1" s="56">
      <c r="A11" s="81" t="n"/>
      <c r="B11" s="82" t="inlineStr">
        <is>
          <t>Air China through ticket Hangzhou 08:00 → Beijing Capital (2 h 35 min transfer) → Ulaanbaatar 15:05, bags checked through</t>
        </is>
      </c>
      <c r="C11" s="83" t="inlineStr">
        <is>
          <t>29 Jan</t>
        </is>
      </c>
      <c r="D11" s="84" t="n">
        <v>0.1875</v>
      </c>
      <c r="E11" s="85" t="n">
        <v>2250</v>
      </c>
      <c r="F11" s="86" t="inlineStr">
        <is>
          <t>CNY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1 Oct: ¥2,250 pp (same price for 07:00 and 09:00 departures). Replaces Hangzhou→Beijing ¥1,809 + a Beijing hotel night + MIAT on 30 Jan $219 (~¥3,280 pp + hotel)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High-speed rail Beijing South → Hangzhou East, 2nd class</t>
        </is>
      </c>
      <c r="C13" s="83" t="inlineStr">
        <is>
          <t>25 Jan (afternoon)</t>
        </is>
      </c>
      <c r="D13" s="84" t="n">
        <v>0.2291666666666667</v>
      </c>
      <c r="E13" s="85" t="n">
        <v>601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Ctrip: from 601 CNY (~6 h trains); fastest G39 4 h 37 min is 673 CNY</t>
        </is>
      </c>
    </row>
    <row r="14" ht="26.85" customHeight="1" s="56">
      <c r="A14" s="81" t="n"/>
      <c r="B14" s="82" t="inlineStr">
        <is>
          <t>Taxi hotel → Hangzhou airport (~55 km), replaces the return train</t>
        </is>
      </c>
      <c r="C14" s="83" t="inlineStr">
        <is>
          <t>29 Jan</t>
        </is>
      </c>
      <c r="D14" s="84" t="n"/>
      <c r="E14" s="92" t="n">
        <v>150</v>
      </c>
      <c r="F14" s="86" t="inlineStr">
        <is>
          <t>CNY</t>
        </is>
      </c>
      <c r="G14" s="87" t="n">
        <v>1</v>
      </c>
      <c r="H14" s="88">
        <f>E14*G14*IF(F14="USD",Compare!$B$8,IF(F14="CNY",Compare!$B$9,IF(F14="HKD",Compare!$B$10,1)))</f>
        <v/>
      </c>
      <c r="I14" s="89">
        <f>E14</f>
        <v/>
      </c>
      <c r="J14" s="87" t="n">
        <v>1</v>
      </c>
      <c r="K14" s="88">
        <f>I14*J14*IF(F14="USD",Compare!$B$8,IF(F14="CNY",Compare!$B$9,IF(F14="HKD",Compare!$B$10,1)))</f>
        <v/>
      </c>
      <c r="L14" s="90" t="inlineStr">
        <is>
          <t>ASSUMPTION ~150 CNY per car. The return train (601 CNY) + Beijing night + MIAT 30 Jan cost about the same as the through ticket but take a day longer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CitiGO HuanGe Hotel, Future Sci-Tech City (~1 km to HZNU Cangqian; 3 ppl 1 room; 4 ppl 2 rooms)</t>
        </is>
      </c>
      <c r="C16" s="83" t="inlineStr">
        <is>
          <t>25–29 Jan (4 nights)</t>
        </is>
      </c>
      <c r="D16" s="81" t="n"/>
      <c r="E16" s="85" t="n">
        <v>407.55</v>
      </c>
      <c r="F16" s="86" t="inlineStr">
        <is>
          <t>CNY</t>
        </is>
      </c>
      <c r="G16" s="91" t="n">
        <v>4</v>
      </c>
      <c r="H16" s="88">
        <f>E16*G16*IF(F16="USD",Compare!$B$8,IF(F16="CNY",Compare!$B$9,IF(F16="HKD",Compare!$B$10,1)))</f>
        <v/>
      </c>
      <c r="I16" s="85" t="n">
        <v>644.1</v>
      </c>
      <c r="J16" s="91" t="n">
        <v>4</v>
      </c>
      <c r="K16" s="88">
        <f>I16*J16*IF(F16="USD",Compare!$B$8,IF(F16="CNY",Compare!$B$9,IF(F16="HKD",Compare!$B$10,1)))</f>
        <v/>
      </c>
      <c r="L16" s="90" t="inlineStr">
        <is>
          <t>Booking.com 25–29 Jan: 1,630.20 CNY (3 ppl) / 2,576.40 CNY (4 ppl, 2 rooms) for 4 nights; rated 9.0</t>
        </is>
      </c>
    </row>
    <row r="17" ht="26.85" customHeight="1" s="56">
      <c r="A17" s="81" t="n"/>
      <c r="B17" s="82" t="n"/>
      <c r="C17" s="83" t="n"/>
      <c r="D17" s="81" t="n"/>
      <c r="E17" s="85" t="n"/>
      <c r="F17" s="86" t="n"/>
      <c r="G17" s="91" t="n"/>
      <c r="H17" s="88" t="n"/>
      <c r="I17" s="85" t="n"/>
      <c r="J17" s="91" t="n"/>
      <c r="K17" s="88" t="n"/>
      <c r="L17" s="90" t="n"/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15" customHeight="1" s="56">
      <c r="A19" s="81" t="n"/>
      <c r="B19" s="82" t="inlineStr">
        <is>
          <t>Meals</t>
        </is>
      </c>
      <c r="C19" s="83" t="inlineStr">
        <is>
          <t>in China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EC Final usually includes banquets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China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81" t="n"/>
      <c r="B21" s="82" t="inlineStr">
        <is>
          <t>Taxi Hangzhou East ↔ Cangqian (~30 km), both ways</t>
        </is>
      </c>
      <c r="C21" s="83" t="inlineStr">
        <is>
          <t>25 &amp; 29 Jan</t>
        </is>
      </c>
      <c r="D21" s="81" t="n"/>
      <c r="E21" s="92" t="n">
        <v>100</v>
      </c>
      <c r="F21" s="86" t="inlineStr">
        <is>
          <t>CNY</t>
        </is>
      </c>
      <c r="G21" s="91" t="n">
        <v>2</v>
      </c>
      <c r="H21" s="88">
        <f>E21*G21*IF(F21="USD",Compare!$B$8,IF(F21="CNY",Compare!$B$9,IF(F21="HKD",Compare!$B$10,1)))</f>
        <v/>
      </c>
      <c r="I21" s="93">
        <f>E21</f>
        <v/>
      </c>
      <c r="J21" s="91" t="n">
        <v>2</v>
      </c>
      <c r="K21" s="88">
        <f>I21*J21*IF(F21="USD",Compare!$B$8,IF(F21="CNY",Compare!$B$9,IF(F21="HKD",Compare!$B$10,1)))</f>
        <v/>
      </c>
      <c r="L21" s="90" t="inlineStr">
        <is>
          <t>ASSUMPTION ~100 CNY per car per trip (4 ppl: may need XL car)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15" customHeight="1" s="56">
      <c r="A24" s="81" t="n"/>
      <c r="B24" s="82" t="inlineStr">
        <is>
          <t>EC Final registration fee (per team)</t>
        </is>
      </c>
      <c r="C24" s="83" t="inlineStr">
        <is>
          <t>TBC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no public figure found; 1,500 CNY/team like regionals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ICPC Asia East Continent Final, 26–28 Jan 2027 (provisional), Hangzhou Normal University (Cangqian campus assumed). Qualification-only: the team must earn an EC Final slot at a regional first.</t>
        </is>
      </c>
    </row>
    <row r="43" ht="15" customHeight="1" s="56">
      <c r="A43" s="75" t="inlineStr">
        <is>
          <t>Why this route</t>
        </is>
      </c>
      <c r="B43" s="74" t="inlineStr">
        <is>
          <t>MIAT to Beijing + rail is by far the cheapest. Flying UB→Hangzhou is ~$1,548 pp one way via Hong Kong.</t>
        </is>
      </c>
    </row>
    <row r="44" ht="30" customHeight="1" s="56">
      <c r="A44" s="75" t="inlineStr">
        <is>
          <t>Warning</t>
        </is>
      </c>
      <c r="B44" s="74" t="inlineStr">
        <is>
          <t>Late January is the start of the Spring Festival travel rush (Spring Festival 2027 is 6 Feb). Trains sell out – buy the moment sales open (~15 days ahead) or use the Fly variant.</t>
        </is>
      </c>
    </row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Mon 25 Jan</t>
        </is>
      </c>
      <c r="B48" s="74" t="inlineStr">
        <is>
          <t>Hangzhou</t>
        </is>
      </c>
      <c r="C48" s="74" t="inlineStr">
        <is>
          <t>MIAT OM223 UB 08:15 → Beijing 10:30; to Beijing South; afternoon G-train to Hangzhou East (~5–6 h); taxi to hotel.</t>
        </is>
      </c>
    </row>
    <row r="49" ht="15" customHeight="1" s="56">
      <c r="A49" s="74" t="inlineStr">
        <is>
          <t>Tue 26 Jan</t>
        </is>
      </c>
      <c r="B49" s="74" t="inlineStr">
        <is>
          <t>Hangzhou</t>
        </is>
      </c>
      <c r="C49" s="74" t="inlineStr">
        <is>
          <t>EC Final day 1: check-in, opening, warm-up (pattern of recent EC Finals).</t>
        </is>
      </c>
    </row>
    <row r="50" ht="15" customHeight="1" s="56">
      <c r="A50" s="74" t="inlineStr">
        <is>
          <t>Wed 27 Jan</t>
        </is>
      </c>
      <c r="B50" s="74" t="inlineStr">
        <is>
          <t>Hangzhou</t>
        </is>
      </c>
      <c r="C50" s="74" t="inlineStr">
        <is>
          <t>EC FINAL contest day.</t>
        </is>
      </c>
    </row>
    <row r="51" ht="15" customHeight="1" s="56">
      <c r="A51" s="74" t="inlineStr">
        <is>
          <t>Thu 28 Jan</t>
        </is>
      </c>
      <c r="B51" s="74" t="inlineStr">
        <is>
          <t>Hangzhou</t>
        </is>
      </c>
      <c r="C51" s="74" t="inlineStr">
        <is>
          <t>Forums, closing ceremony &amp; awards banquet.</t>
        </is>
      </c>
    </row>
    <row r="52" ht="15" customHeight="1" s="56">
      <c r="A52" s="74" t="inlineStr">
        <is>
          <t>Fri 29 Jan</t>
        </is>
      </c>
      <c r="B52" s="74" t="inlineStr">
        <is>
          <t>Home</t>
        </is>
      </c>
      <c r="C52" s="74" t="inlineStr">
        <is>
          <t>Air China through ticket Hangzhou 08:00 → Beijing Capital 10:20 (exit immigration) → Beijing 12:55 → UB 15:05. Home the same day.</t>
        </is>
      </c>
    </row>
    <row r="53" ht="15" customHeight="1" s="56">
      <c r="A53" s="74" t="n"/>
      <c r="B53" s="74" t="n"/>
      <c r="C53" s="74" t="n"/>
    </row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25 Jan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~05:15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25 Jan</t>
        </is>
      </c>
      <c r="B58" s="105" t="inlineStr">
        <is>
          <t>Ulaanbaatar → Beijing (PEK)</t>
        </is>
      </c>
      <c r="C58" s="82" t="inlineStr">
        <is>
          <t>MIAT OM223 08:15–10:30</t>
        </is>
      </c>
      <c r="D58" s="84" t="n">
        <v>0.09375</v>
      </c>
      <c r="E58" s="106" t="n"/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PEK arrival: immigration, bags</t>
        </is>
      </c>
      <c r="C59" s="82" t="inlineStr">
        <is>
          <t>—</t>
        </is>
      </c>
      <c r="D59" s="104" t="n">
        <v>0.03125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PEK → Beijing South</t>
        </is>
      </c>
      <c r="C60" s="82" t="inlineStr">
        <is>
          <t>Taxi (~35 km) / Airport Express + metro</t>
        </is>
      </c>
      <c r="D60" s="104" t="n">
        <v>0.04166666666666666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25 Jan</t>
        </is>
      </c>
      <c r="B61" s="105" t="inlineStr">
        <is>
          <t>Beijing South → Hangzhou East</t>
        </is>
      </c>
      <c r="C61" s="82" t="inlineStr">
        <is>
          <t>G-train 2nd class</t>
        </is>
      </c>
      <c r="D61" s="84" t="n">
        <v>0.2291666666666667</v>
      </c>
      <c r="E61" s="106" t="inlineStr">
        <is>
          <t>~13:00 → ~18:30; fastest trains 4 h 37 min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25 Jan</t>
        </is>
      </c>
      <c r="B62" s="105" t="inlineStr">
        <is>
          <t>Hangzhou East → hotel (Cangqian)</t>
        </is>
      </c>
      <c r="C62" s="82" t="inlineStr">
        <is>
          <t>Taxi (~30 km)</t>
        </is>
      </c>
      <c r="D62" s="104" t="n">
        <v>0.03125</v>
      </c>
      <c r="E62" s="106" t="inlineStr">
        <is>
          <t>Metro ~1 h 10 min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26–28 Jan</t>
        </is>
      </c>
      <c r="B63" s="105" t="inlineStr">
        <is>
          <t>Hotel ↔ HZNU Cangqian (each way)</t>
        </is>
      </c>
      <c r="C63" s="82" t="inlineStr">
        <is>
          <t>Walk</t>
        </is>
      </c>
      <c r="D63" s="108" t="inlineStr">
        <is>
          <t>daily</t>
        </is>
      </c>
      <c r="E63" s="106" t="inlineStr">
        <is>
          <t>~12 min walk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Hotel → HGH</t>
        </is>
      </c>
      <c r="C64" s="82" t="inlineStr">
        <is>
          <t>Taxi (~55 km)</t>
        </is>
      </c>
      <c r="D64" s="104" t="n">
        <v>0.04166666666666666</v>
      </c>
      <c r="E64" s="106" t="inlineStr">
        <is>
          <t>Leave ~05:30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29 Jan</t>
        </is>
      </c>
      <c r="B65" s="105" t="inlineStr">
        <is>
          <t>HGH check-in &amp; security</t>
        </is>
      </c>
      <c r="C65" s="82" t="inlineStr">
        <is>
          <t>—</t>
        </is>
      </c>
      <c r="D65" s="84" t="n">
        <v>0.0625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Hangzhou → Beijing Capital (PEK)</t>
        </is>
      </c>
      <c r="C66" s="82" t="inlineStr">
        <is>
          <t>Air China 08:00–10:20</t>
        </is>
      </c>
      <c r="D66" s="104" t="n">
        <v>0.09722222222222222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29 Jan</t>
        </is>
      </c>
      <c r="B67" s="105" t="inlineStr">
        <is>
          <t>PEK: domestic-to-international transfer, exit immigration</t>
        </is>
      </c>
      <c r="C67" s="82" t="inlineStr">
        <is>
          <t>—</t>
        </is>
      </c>
      <c r="D67" s="104" t="n">
        <v>0.1076388888888889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inlineStr">
        <is>
          <t>29 Jan</t>
        </is>
      </c>
      <c r="B68" s="105" t="inlineStr">
        <is>
          <t>Beijing Capital → Ulaanbaatar</t>
        </is>
      </c>
      <c r="C68" s="82" t="inlineStr">
        <is>
          <t>Air China 12:55–15:05</t>
        </is>
      </c>
      <c r="D68" s="84" t="n">
        <v>0.09027777777777778</v>
      </c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inlineStr">
        <is>
          <t>29 Jan</t>
        </is>
      </c>
      <c r="B69" s="105" t="inlineStr">
        <is>
          <t>Chinggis Khaan airport → home</t>
        </is>
      </c>
      <c r="C69" s="82" t="inlineStr">
        <is>
          <t>Taxi</t>
        </is>
      </c>
      <c r="D69" s="104" t="n">
        <v>0.04166666666666666</v>
      </c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SUM(D57:D69)</f>
        <v/>
      </c>
    </row>
  </sheetData>
  <mergeCells count="24">
    <mergeCell ref="E56:L56"/>
    <mergeCell ref="E58:L58"/>
    <mergeCell ref="C52:L52"/>
    <mergeCell ref="E68:L68"/>
    <mergeCell ref="C48:L48"/>
    <mergeCell ref="E62:L62"/>
    <mergeCell ref="E67:L67"/>
    <mergeCell ref="B43:L43"/>
    <mergeCell ref="C53:L53"/>
    <mergeCell ref="E64:L64"/>
    <mergeCell ref="C49:L49"/>
    <mergeCell ref="E63:L63"/>
    <mergeCell ref="B42:L42"/>
    <mergeCell ref="E60:L60"/>
    <mergeCell ref="E69:L69"/>
    <mergeCell ref="E65:L65"/>
    <mergeCell ref="B44:L44"/>
    <mergeCell ref="E59:L59"/>
    <mergeCell ref="C47:L47"/>
    <mergeCell ref="C50:L50"/>
    <mergeCell ref="E61:L61"/>
    <mergeCell ref="E57:L57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Fly</t>
        </is>
      </c>
    </row>
    <row r="2" ht="15" customHeight="1" s="56">
      <c r="A2" s="62" t="inlineStr">
        <is>
          <t>Air China through tickets UB ⇄ Hangzhou via Beijing Capital (one ticket, bags checked through, home on 29 Jan); hotel ~800 m from HZNU Cangqian.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25 Jan → morning 29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Air China through ticket Ulaanbaatar 11:50 → Beijing Capital (2 h 35 min transfer) → Hangzhou 18:45, bags checked through</t>
        </is>
      </c>
      <c r="C10" s="83" t="inlineStr">
        <is>
          <t>25 Jan</t>
        </is>
      </c>
      <c r="D10" s="84" t="n">
        <v>0.1805555555555556</v>
      </c>
      <c r="E10" s="85" t="n">
        <v>3265</v>
      </c>
      <c r="F10" s="86" t="inlineStr">
        <is>
          <t>CNY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¥3,265 pp (same price for the 17:45 arrival with a 1 h 45 min transfer). Separate tickets the same day cost about the same: MIAT $150 + Air China PEK→HGH 21:30 ¥2,265 (lands 00:05); the cheaper ~¥700 domestic fare the plan assumed is not on sale for 25 Jan</t>
        </is>
      </c>
    </row>
    <row r="11" ht="43.25" customHeight="1" s="56">
      <c r="A11" s="81" t="n"/>
      <c r="B11" s="82" t="inlineStr">
        <is>
          <t>Air China through ticket Hangzhou 08:00 → Beijing Capital (2 h 35 min transfer) → Ulaanbaatar 15:05, bags checked through</t>
        </is>
      </c>
      <c r="C11" s="83" t="inlineStr">
        <is>
          <t>29 Jan</t>
        </is>
      </c>
      <c r="D11" s="84" t="n">
        <v>0.1875</v>
      </c>
      <c r="E11" s="85" t="n">
        <v>2250</v>
      </c>
      <c r="F11" s="86" t="inlineStr">
        <is>
          <t>CNY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1 Oct: ¥2,250 pp (same price for 07:00 and 09:00 departures). Replaces Hangzhou→Beijing ¥1,809 + a Beijing hotel night + MIAT on 30 Jan $219 (~¥3,280 pp + hotel)</t>
        </is>
      </c>
    </row>
    <row r="12" ht="43.25" customHeight="1" s="56">
      <c r="A12" s="81" t="n"/>
      <c r="B12" s="82" t="n"/>
      <c r="C12" s="83" t="n"/>
      <c r="D12" s="84" t="n"/>
      <c r="E12" s="85" t="n"/>
      <c r="F12" s="86" t="n"/>
      <c r="G12" s="87" t="n"/>
      <c r="H12" s="88" t="n"/>
      <c r="I12" s="89" t="n"/>
      <c r="J12" s="87" t="n"/>
      <c r="K12" s="88" t="n"/>
      <c r="L12" s="90" t="n"/>
    </row>
    <row r="13" ht="26.85" customHeight="1" s="56">
      <c r="A13" s="81" t="n"/>
      <c r="B13" s="82" t="n"/>
      <c r="C13" s="83" t="n"/>
      <c r="D13" s="84" t="n"/>
      <c r="E13" s="85" t="n"/>
      <c r="F13" s="86" t="n"/>
      <c r="G13" s="87" t="n"/>
      <c r="H13" s="88" t="n"/>
      <c r="I13" s="89" t="n"/>
      <c r="J13" s="87" t="n"/>
      <c r="K13" s="88" t="n"/>
      <c r="L13" s="90" t="n"/>
    </row>
    <row r="14" ht="15" customHeight="1" s="56">
      <c r="A14" s="79" t="inlineStr">
        <is>
          <t>Accommodation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26.85" customHeight="1" s="56">
      <c r="A15" s="81" t="n"/>
      <c r="B15" s="82" t="inlineStr">
        <is>
          <t>Atour S Hotel Hangzhou Future Tech City (~800 m to HZNU Cangqian; 3 ppl 1 room; 4 ppl 2 rooms)</t>
        </is>
      </c>
      <c r="C15" s="83" t="inlineStr">
        <is>
          <t>25–29 Jan (4 nights)</t>
        </is>
      </c>
      <c r="D15" s="81" t="n"/>
      <c r="E15" s="85" t="n">
        <v>535.28</v>
      </c>
      <c r="F15" s="86" t="inlineStr">
        <is>
          <t>CNY</t>
        </is>
      </c>
      <c r="G15" s="91" t="n">
        <v>4</v>
      </c>
      <c r="H15" s="88">
        <f>E15*G15*IF(F15="USD",Compare!$B$8,IF(F15="CNY",Compare!$B$9,IF(F15="HKD",Compare!$B$10,1)))</f>
        <v/>
      </c>
      <c r="I15" s="85" t="n">
        <v>844.65</v>
      </c>
      <c r="J15" s="91" t="n">
        <v>4</v>
      </c>
      <c r="K15" s="88">
        <f>I15*J15*IF(F15="USD",Compare!$B$8,IF(F15="CNY",Compare!$B$9,IF(F15="HKD",Compare!$B$10,1)))</f>
        <v/>
      </c>
      <c r="L15" s="90" t="inlineStr">
        <is>
          <t>Booking.com 25–29 Jan: 2,141.10 CNY (3 ppl) / 3,378.60 CNY (4 ppl, 2 rooms) for 4 nights; rated 9.4</t>
        </is>
      </c>
    </row>
    <row r="16" ht="26.85" customHeight="1" s="56">
      <c r="A16" s="81" t="n"/>
      <c r="B16" s="82" t="n"/>
      <c r="C16" s="83" t="n"/>
      <c r="D16" s="81" t="n"/>
      <c r="E16" s="85" t="n"/>
      <c r="F16" s="86" t="n"/>
      <c r="G16" s="91" t="n"/>
      <c r="H16" s="88" t="n"/>
      <c r="I16" s="85" t="n"/>
      <c r="J16" s="91" t="n"/>
      <c r="K16" s="88" t="n"/>
      <c r="L16" s="90" t="n"/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15" customHeight="1" s="56">
      <c r="A18" s="81" t="n"/>
      <c r="B18" s="82" t="inlineStr">
        <is>
          <t>Meals</t>
        </is>
      </c>
      <c r="C18" s="83" t="inlineStr">
        <is>
          <t>in China</t>
        </is>
      </c>
      <c r="D18" s="81" t="n"/>
      <c r="E18" s="92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93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90" t="inlineStr">
        <is>
          <t>ASSUMPTION 80 CNY/person/day; EC Final usually includes banquets</t>
        </is>
      </c>
    </row>
    <row r="19" ht="15" customHeight="1" s="56">
      <c r="A19" s="81" t="n"/>
      <c r="B19" s="82" t="inlineStr">
        <is>
          <t>Local transport (metro, taxis)</t>
        </is>
      </c>
      <c r="C19" s="83" t="inlineStr">
        <is>
          <t>in China</t>
        </is>
      </c>
      <c r="D19" s="81" t="n"/>
      <c r="E19" s="92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30 CNY/person/day</t>
        </is>
      </c>
    </row>
    <row r="20" ht="26.85" customHeight="1" s="56">
      <c r="A20" s="81" t="n"/>
      <c r="B20" s="82" t="inlineStr">
        <is>
          <t>Taxi Hangzhou airport ↔ Cangqian (~55 km), both ways</t>
        </is>
      </c>
      <c r="C20" s="83" t="inlineStr">
        <is>
          <t>25 &amp; 29 Jan</t>
        </is>
      </c>
      <c r="D20" s="81" t="n"/>
      <c r="E20" s="92" t="n">
        <v>150</v>
      </c>
      <c r="F20" s="86" t="inlineStr">
        <is>
          <t>CNY</t>
        </is>
      </c>
      <c r="G20" s="91" t="n">
        <v>2</v>
      </c>
      <c r="H20" s="88">
        <f>E20*G20*IF(F20="USD",Compare!$B$8,IF(F20="CNY",Compare!$B$9,IF(F20="HKD",Compare!$B$10,1)))</f>
        <v/>
      </c>
      <c r="I20" s="93">
        <f>E20</f>
        <v/>
      </c>
      <c r="J20" s="91" t="n">
        <v>2</v>
      </c>
      <c r="K20" s="88">
        <f>I20*J20*IF(F20="USD",Compare!$B$8,IF(F20="CNY",Compare!$B$9,IF(F20="HKD",Compare!$B$10,1)))</f>
        <v/>
      </c>
      <c r="L20" s="90" t="inlineStr">
        <is>
          <t>ASSUMPTION ~150 CNY per car per trip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15" customHeight="1" s="56">
      <c r="A23" s="81" t="n"/>
      <c r="B23" s="82" t="inlineStr">
        <is>
          <t>EC Final registration fee (per team)</t>
        </is>
      </c>
      <c r="C23" s="83" t="inlineStr">
        <is>
          <t>TBC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no public figure found; 1,500 CNY/team like regionals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SUM(D10:D13)</f>
        <v/>
      </c>
      <c r="K38" s="104">
        <f>SUM(D10:D13)</f>
        <v/>
      </c>
    </row>
    <row r="40" ht="15" customHeight="1" s="56">
      <c r="A40" s="72" t="inlineStr">
        <is>
          <t>Key facts</t>
        </is>
      </c>
    </row>
    <row r="41" ht="30" customHeight="1" s="56">
      <c r="A41" s="75" t="inlineStr">
        <is>
          <t>Contest</t>
        </is>
      </c>
      <c r="B41" s="74" t="inlineStr">
        <is>
          <t>ICPC Asia East Continent Final, 26–28 Jan 2027 (provisional), Hangzhou Normal University (Cangqian campus assumed). Qualification-only.</t>
        </is>
      </c>
    </row>
    <row r="42" ht="30" customHeight="1" s="56">
      <c r="A42" s="75" t="inlineStr">
        <is>
          <t>Why this plan</t>
        </is>
      </c>
      <c r="B42" s="74" t="inlineStr">
        <is>
          <t>One Air China ticket each way via Beijing Capital: bags go through, a missed connection is the airline's problem, and the team is home on 29 Jan (no Beijing night, one day less of meals). At 1 Oct prices this beats separate MIAT + domestic tickets.</t>
        </is>
      </c>
    </row>
    <row r="43" ht="30" customHeight="1" s="56">
      <c r="A43" s="75" t="inlineStr">
        <is>
          <t>Buying tickets</t>
        </is>
      </c>
      <c r="B43" s="74" t="inlineStr">
        <is>
          <t>Book on Trip.com (check its student fares) or airchina.com as UB–HGH one-way or return tickets, as soon as the EC Final slot is confirmed. Fares were checked 4 months ahead; late January is the Spring Festival rush. Re-check separate MIAT + domestic tickets about 40 days ahead in case cheap domestic fares appear.</t>
        </is>
      </c>
    </row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30" customHeight="1" s="56">
      <c r="A47" s="74" t="inlineStr">
        <is>
          <t>Mon 25 Jan</t>
        </is>
      </c>
      <c r="B47" s="74" t="inlineStr">
        <is>
          <t>Hangzhou</t>
        </is>
      </c>
      <c r="C47" s="74" t="inlineStr">
        <is>
          <t>Air China through ticket: UB 11:50 → Beijing Capital 13:50 (immigration + customs, international-to-domestic transfer) → 16:25 → Hangzhou 18:45. Taxi to hotel.</t>
        </is>
      </c>
    </row>
    <row r="48" ht="15" customHeight="1" s="56">
      <c r="A48" s="74" t="inlineStr">
        <is>
          <t>Tue 26 Jan</t>
        </is>
      </c>
      <c r="B48" s="74" t="inlineStr">
        <is>
          <t>Hangzhou</t>
        </is>
      </c>
      <c r="C48" s="74" t="inlineStr">
        <is>
          <t>EC Final day 1: check-in, opening, warm-up.</t>
        </is>
      </c>
    </row>
    <row r="49" ht="15" customHeight="1" s="56">
      <c r="A49" s="74" t="inlineStr">
        <is>
          <t>Wed 27 Jan</t>
        </is>
      </c>
      <c r="B49" s="74" t="inlineStr">
        <is>
          <t>Hangzhou</t>
        </is>
      </c>
      <c r="C49" s="74" t="inlineStr">
        <is>
          <t>EC FINAL contest day.</t>
        </is>
      </c>
    </row>
    <row r="50" ht="15" customHeight="1" s="56">
      <c r="A50" s="74" t="inlineStr">
        <is>
          <t>Thu 28 Jan</t>
        </is>
      </c>
      <c r="B50" s="74" t="inlineStr">
        <is>
          <t>Hangzhou</t>
        </is>
      </c>
      <c r="C50" s="74" t="inlineStr">
        <is>
          <t>Forums, closing ceremony &amp; awards banquet.</t>
        </is>
      </c>
    </row>
    <row r="51" ht="15" customHeight="1" s="56">
      <c r="A51" s="74" t="inlineStr">
        <is>
          <t>Fri 29 Jan</t>
        </is>
      </c>
      <c r="B51" s="74" t="inlineStr">
        <is>
          <t>Home</t>
        </is>
      </c>
      <c r="C51" s="74" t="inlineStr">
        <is>
          <t>Air China through ticket Hangzhou 08:00 → Beijing Capital 10:20 (exit immigration) → Beijing 12:55 → UB 15:05. Home the same day.</t>
        </is>
      </c>
    </row>
    <row r="52" ht="15" customHeight="1" s="56">
      <c r="A52" s="74" t="n"/>
      <c r="B52" s="74" t="n"/>
      <c r="C52" s="74" t="n"/>
    </row>
    <row r="54" ht="15" customHeight="1" s="56">
      <c r="A54" s="72" t="inlineStr">
        <is>
          <t>Door-to-door travel times</t>
        </is>
      </c>
    </row>
    <row r="55" ht="15" customHeight="1" s="56">
      <c r="A55" s="96" t="inlineStr">
        <is>
          <t>Date</t>
        </is>
      </c>
      <c r="B55" s="96" t="inlineStr">
        <is>
          <t>Leg</t>
        </is>
      </c>
      <c r="C55" s="96" t="inlineStr">
        <is>
          <t>Mode</t>
        </is>
      </c>
      <c r="D55" s="96" t="inlineStr">
        <is>
          <t>Expected time</t>
        </is>
      </c>
      <c r="E55" s="96" t="inlineStr">
        <is>
          <t>Notes</t>
        </is>
      </c>
    </row>
    <row r="56" ht="15" customHeight="1" s="56">
      <c r="A56" s="105" t="inlineStr">
        <is>
          <t>25 Jan</t>
        </is>
      </c>
      <c r="B56" s="105" t="inlineStr">
        <is>
          <t>Home → Chinggis Khaan airport</t>
        </is>
      </c>
      <c r="C56" s="82" t="inlineStr">
        <is>
          <t>Taxi (~50 km)</t>
        </is>
      </c>
      <c r="D56" s="104" t="n">
        <v>0.04166666666666666</v>
      </c>
      <c r="E56" s="106" t="inlineStr">
        <is>
          <t>Leave ~08:50 for the 11:50 flight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25 Jan</t>
        </is>
      </c>
      <c r="B57" s="105" t="inlineStr">
        <is>
          <t>Ulaanbaatar → Beijing Capital (PEK)</t>
        </is>
      </c>
      <c r="C57" s="82" t="inlineStr">
        <is>
          <t>Air China 11:50–13:50</t>
        </is>
      </c>
      <c r="D57" s="84" t="n">
        <v>0.08333333333333333</v>
      </c>
      <c r="E57" s="106" t="n"/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25 Jan</t>
        </is>
      </c>
      <c r="B58" s="105" t="inlineStr">
        <is>
          <t>PEK: immigration, customs, international-to-domestic transfer</t>
        </is>
      </c>
      <c r="C58" s="82" t="inlineStr">
        <is>
          <t>—</t>
        </is>
      </c>
      <c r="D58" s="104" t="n">
        <v>0.1076388888888889</v>
      </c>
      <c r="E58" s="106" t="inlineStr">
        <is>
          <t>Bags may need to be collected and re-dropped at the transfer counter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Beijing Capital → Hangzhou (HGH)</t>
        </is>
      </c>
      <c r="C59" s="82" t="inlineStr">
        <is>
          <t>Air China 16:25–18:45</t>
        </is>
      </c>
      <c r="D59" s="104" t="n">
        <v>0.09722222222222222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HGH → hotel (Cangqian)</t>
        </is>
      </c>
      <c r="C60" s="82" t="inlineStr">
        <is>
          <t>Taxi (~55 km)</t>
        </is>
      </c>
      <c r="D60" s="104" t="n">
        <v>0.04166666666666666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26–28 Jan</t>
        </is>
      </c>
      <c r="B61" s="105" t="inlineStr">
        <is>
          <t>Hotel ↔ HZNU Cangqian (each way)</t>
        </is>
      </c>
      <c r="C61" s="82" t="inlineStr">
        <is>
          <t>Walk</t>
        </is>
      </c>
      <c r="D61" s="104" t="inlineStr">
        <is>
          <t>daily</t>
        </is>
      </c>
      <c r="E61" s="106" t="inlineStr">
        <is>
          <t>~10 min walk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29 Jan</t>
        </is>
      </c>
      <c r="B62" s="105" t="inlineStr">
        <is>
          <t>Hotel → HGH</t>
        </is>
      </c>
      <c r="C62" s="82" t="inlineStr">
        <is>
          <t>Taxi</t>
        </is>
      </c>
      <c r="D62" s="110" t="n">
        <v>0.04166666666666666</v>
      </c>
      <c r="E62" s="106" t="inlineStr">
        <is>
          <t>Leave ~05:30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29 Jan</t>
        </is>
      </c>
      <c r="B63" s="105" t="inlineStr">
        <is>
          <t>HGH check-in &amp; security</t>
        </is>
      </c>
      <c r="C63" s="82" t="inlineStr">
        <is>
          <t>—</t>
        </is>
      </c>
      <c r="D63" s="104" t="n">
        <v>0.0625</v>
      </c>
      <c r="E63" s="106" t="n"/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Hangzhou → Beijing Capital (PEK)</t>
        </is>
      </c>
      <c r="C64" s="82" t="inlineStr">
        <is>
          <t>Air China 08:00–10:20</t>
        </is>
      </c>
      <c r="D64" s="104" t="n">
        <v>0.09722222222222222</v>
      </c>
      <c r="E64" s="106" t="n"/>
      <c r="F64" s="107" t="n"/>
      <c r="G64" s="107" t="n"/>
      <c r="H64" s="107" t="n"/>
      <c r="I64" s="107" t="n"/>
      <c r="J64" s="107" t="n"/>
      <c r="K64" s="107" t="n"/>
      <c r="L64" s="107" t="n"/>
    </row>
    <row r="65" ht="39.55" customHeight="1" s="56">
      <c r="A65" s="105" t="inlineStr">
        <is>
          <t>29 Jan</t>
        </is>
      </c>
      <c r="B65" s="105" t="inlineStr">
        <is>
          <t>PEK: domestic-to-international transfer, exit immigration</t>
        </is>
      </c>
      <c r="C65" s="82" t="inlineStr">
        <is>
          <t>—</t>
        </is>
      </c>
      <c r="D65" s="104" t="n">
        <v>0.1076388888888889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Beijing Capital → Ulaanbaatar</t>
        </is>
      </c>
      <c r="C66" s="82" t="inlineStr">
        <is>
          <t>Air China 12:55–15:05</t>
        </is>
      </c>
      <c r="D66" s="104" t="n">
        <v>0.09027777777777778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29 Jan</t>
        </is>
      </c>
      <c r="B67" s="105" t="inlineStr">
        <is>
          <t>Chinggis Khaan airport → home</t>
        </is>
      </c>
      <c r="C67" s="82" t="inlineStr">
        <is>
          <t>Taxi</t>
        </is>
      </c>
      <c r="D67" s="104" t="n">
        <v>0.04166666666666666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n"/>
      <c r="B68" s="105" t="n"/>
      <c r="C68" s="82" t="n"/>
      <c r="D68" s="84" t="n"/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n"/>
      <c r="B69" s="105" t="n"/>
      <c r="C69" s="82" t="n"/>
      <c r="D69" s="104" t="n"/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SUM(D56:D69)</f>
        <v/>
      </c>
    </row>
  </sheetData>
  <mergeCells count="25">
    <mergeCell ref="E56:L56"/>
    <mergeCell ref="E58:L58"/>
    <mergeCell ref="C52:L52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9:L69"/>
    <mergeCell ref="E65:L65"/>
    <mergeCell ref="E59:L59"/>
    <mergeCell ref="C47:L47"/>
    <mergeCell ref="C50:L50"/>
    <mergeCell ref="E61:L61"/>
    <mergeCell ref="E57:L57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2026-09-30T14:38:02Z</dcterms:created>
  <dcterms:modified xsi:type="dcterms:W3CDTF">2026-10-01T05:24:09Z</dcterms:modified>
  <cp:revision>0</cp:revision>
</cp:coreProperties>
</file>