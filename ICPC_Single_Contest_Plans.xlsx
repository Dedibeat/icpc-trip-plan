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mpare" sheetId="1" state="visible" r:id="rId1"/>
    <sheet name="Shenyang – Budget" sheetId="2" state="visible" r:id="rId2"/>
    <sheet name="Shenyang – Comfort" sheetId="3" state="visible" r:id="rId3"/>
    <sheet name="Hong Kong – Budget" sheetId="4" state="visible" r:id="rId4"/>
    <sheet name="Hong Kong – Comfort" sheetId="5" state="visible" r:id="rId5"/>
    <sheet name="EC Final Hangzhou – Train" sheetId="6" state="visible" r:id="rId6"/>
    <sheet name="EC Final Hangzhou – Fly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#,##0&quot; ₮&quot;;\(#,##0&quot; ₮)&quot;;\-"/>
    <numFmt numFmtId="165" formatCode="[h]&quot; h &quot;mm&quot; min&quot;"/>
    <numFmt numFmtId="166" formatCode="#,##0.00;\(#,##0.00\);\-"/>
    <numFmt numFmtId="167" formatCode="0.#"/>
    <numFmt numFmtId="168" formatCode="[hh]:mm:ss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sz val="12"/>
    </font>
    <font>
      <name val="Arial"/>
      <charset val="1"/>
      <family val="0"/>
      <color rgb="FF595959"/>
      <sz val="9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DEBF7"/>
        <bgColor rgb="FFD9E1F2"/>
      </patternFill>
    </fill>
    <fill>
      <patternFill patternType="solid">
        <fgColor rgb="FFFCE4D6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D9E1F2"/>
        <bgColor rgb="FFDDEBF7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" fontId="8" fillId="2" borderId="1" applyAlignment="1" pivotButton="0" quotePrefix="0" xfId="0">
      <alignment horizontal="general" vertical="bottom"/>
    </xf>
    <xf numFmtId="3" fontId="8" fillId="2" borderId="1" applyAlignment="1" pivotButton="0" quotePrefix="0" xfId="0">
      <alignment horizontal="general" vertical="bottom"/>
    </xf>
    <xf numFmtId="9" fontId="8" fillId="2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bottom"/>
    </xf>
    <xf numFmtId="164" fontId="10" fillId="4" borderId="1" applyAlignment="1" pivotButton="0" quotePrefix="0" xfId="0">
      <alignment horizontal="general" vertical="bottom"/>
    </xf>
    <xf numFmtId="164" fontId="10" fillId="5" borderId="1" applyAlignment="1" pivotButton="0" quotePrefix="0" xfId="0">
      <alignment horizontal="general" vertical="bottom"/>
    </xf>
    <xf numFmtId="164" fontId="10" fillId="6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7" fontId="1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 wrapText="1"/>
    </xf>
    <xf numFmtId="167" fontId="8" fillId="0" borderId="1" applyAlignment="1" pivotButton="0" quotePrefix="0" xfId="0">
      <alignment horizontal="general" vertical="bottom"/>
    </xf>
    <xf numFmtId="166" fontId="8" fillId="2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right" vertical="bottom"/>
    </xf>
    <xf numFmtId="164" fontId="6" fillId="4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right" vertical="bottom"/>
    </xf>
    <xf numFmtId="164" fontId="7" fillId="4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164" fontId="6" fillId="6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12" fillId="0" borderId="2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165" fontId="6" fillId="6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" fontId="8" fillId="2" borderId="1" applyAlignment="1" pivotButton="0" quotePrefix="0" xfId="0">
      <alignment horizontal="general" vertical="bottom"/>
    </xf>
    <xf numFmtId="3" fontId="8" fillId="2" borderId="1" applyAlignment="1" pivotButton="0" quotePrefix="0" xfId="0">
      <alignment horizontal="general" vertical="bottom"/>
    </xf>
    <xf numFmtId="9" fontId="8" fillId="2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bottom"/>
    </xf>
    <xf numFmtId="164" fontId="10" fillId="4" borderId="1" applyAlignment="1" pivotButton="0" quotePrefix="0" xfId="0">
      <alignment horizontal="general" vertical="bottom"/>
    </xf>
    <xf numFmtId="164" fontId="10" fillId="5" borderId="1" applyAlignment="1" pivotButton="0" quotePrefix="0" xfId="0">
      <alignment horizontal="general" vertical="bottom"/>
    </xf>
    <xf numFmtId="164" fontId="10" fillId="6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7" fontId="1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 wrapText="1"/>
    </xf>
    <xf numFmtId="167" fontId="8" fillId="0" borderId="1" applyAlignment="1" pivotButton="0" quotePrefix="0" xfId="0">
      <alignment horizontal="general" vertical="bottom"/>
    </xf>
    <xf numFmtId="166" fontId="8" fillId="2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right" vertical="bottom"/>
    </xf>
    <xf numFmtId="164" fontId="6" fillId="4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right" vertical="bottom"/>
    </xf>
    <xf numFmtId="164" fontId="7" fillId="4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164" fontId="6" fillId="6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12" fillId="0" borderId="2" applyAlignment="1" pivotButton="0" quotePrefix="0" xfId="0">
      <alignment horizontal="general" vertical="bottom"/>
    </xf>
    <xf numFmtId="0" fontId="0" fillId="0" borderId="4" pivotButton="0" quotePrefix="0" xfId="0"/>
    <xf numFmtId="0" fontId="5" fillId="0" borderId="1" applyAlignment="1" pivotButton="0" quotePrefix="0" xfId="0">
      <alignment horizontal="general" vertical="bottom"/>
    </xf>
    <xf numFmtId="165" fontId="6" fillId="6" borderId="0" applyAlignment="1" pivotButton="0" quotePrefix="0" xfId="0">
      <alignment horizontal="general" vertical="bottom"/>
    </xf>
    <xf numFmtId="168" fontId="5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55" min="1" max="1"/>
    <col width="17" customWidth="1" style="55" min="2" max="11"/>
  </cols>
  <sheetData>
    <row r="1" ht="17.35" customHeight="1" s="56">
      <c r="A1" s="57" t="inlineStr">
        <is>
          <t>ICPC single-contest trip plans — Shenyang, Hong Kong, EC Final Hangzhou</t>
        </is>
      </c>
    </row>
    <row r="2" ht="42" customHeight="1" s="56">
      <c r="A2" s="58" t="inlineStr">
        <is>
          <t>Each trip planned as if it is the only contest attended. Two variants per contest, costed for 3 people (contestants, 1 room) and 4 people (3 contestants + coach). University pays flights, trains, hotels, meals &amp; local transport; contest fees and 'Other' are personal. Prices checked 30 Sep 2026; flights re-priced on Trip.com 30 Sep – 1 Oct 2026; trains (Ctrip) and hotels (Trip.com) re-checked 1 Oct; official train fares and sale times from 12306 on 3 Oct. Blue = inputs; yellow = key assumptions; green = links.</t>
        </is>
      </c>
    </row>
    <row r="3"/>
    <row r="4" ht="15" customHeight="1" s="56">
      <c r="A4" s="59" t="inlineStr">
        <is>
          <t>Shared inputs</t>
        </is>
      </c>
    </row>
    <row r="5" ht="15" customHeight="1" s="56">
      <c r="A5" s="60" t="inlineStr">
        <is>
          <t>University funding per regional (MNT)</t>
        </is>
      </c>
      <c r="B5" s="61" t="n">
        <v>15000000</v>
      </c>
      <c r="C5" s="62" t="inlineStr">
        <is>
          <t>Team: ₮15M for each regional; two separate trips with home in between</t>
        </is>
      </c>
    </row>
    <row r="6" ht="15" customHeight="1" s="56">
      <c r="A6" s="60" t="inlineStr">
        <is>
          <t>Travelers – small team</t>
        </is>
      </c>
      <c r="B6" s="63" t="n">
        <v>3</v>
      </c>
      <c r="C6" s="62" t="inlineStr">
        <is>
          <t>3 contestants, one room</t>
        </is>
      </c>
    </row>
    <row r="7" ht="15" customHeight="1" s="56">
      <c r="A7" s="60" t="inlineStr">
        <is>
          <t>Travelers – with coach</t>
        </is>
      </c>
      <c r="B7" s="63" t="n">
        <v>4</v>
      </c>
      <c r="C7" s="62" t="inlineStr">
        <is>
          <t>3 contestants + coach, two rooms</t>
        </is>
      </c>
    </row>
    <row r="8" ht="15" customHeight="1" s="56">
      <c r="A8" s="60" t="inlineStr">
        <is>
          <t>USD → MNT</t>
        </is>
      </c>
      <c r="B8" s="64" t="n">
        <v>3598</v>
      </c>
      <c r="C8" s="62" t="inlineStr">
        <is>
          <t>Mid-market, Xe/Investing.com, 29–30 Sep 2026</t>
        </is>
      </c>
    </row>
    <row r="9" ht="15" customHeight="1" s="56">
      <c r="A9" s="60" t="inlineStr">
        <is>
          <t>CNY → MNT</t>
        </is>
      </c>
      <c r="B9" s="64" t="n">
        <v>536</v>
      </c>
      <c r="C9" s="62" t="inlineStr">
        <is>
          <t>Mid-market, Xe/currency.wiki, late Sep 2026</t>
        </is>
      </c>
    </row>
    <row r="10" ht="15" customHeight="1" s="56">
      <c r="A10" s="60" t="inlineStr">
        <is>
          <t>HKD → MNT</t>
        </is>
      </c>
      <c r="B10" s="64" t="n">
        <v>461</v>
      </c>
      <c r="C10" s="62" t="inlineStr">
        <is>
          <t>Derived from USD rate and the HKD peg (~7.8 HKD per USD)</t>
        </is>
      </c>
    </row>
    <row r="11" ht="15" customHeight="1" s="56">
      <c r="A11" s="60" t="inlineStr">
        <is>
          <t>Contingency % (on university-paid part)</t>
        </is>
      </c>
      <c r="B11" s="65" t="n">
        <v>0.1</v>
      </c>
      <c r="C11" s="62" t="inlineStr">
        <is>
          <t>Buffer for fare changes, FX spread, extras</t>
        </is>
      </c>
    </row>
    <row r="12"/>
    <row r="13" ht="15" customHeight="1" s="56">
      <c r="A13" s="59" t="inlineStr">
        <is>
          <t>Side-by-side (all figures incl. 10% contingency on the university part)</t>
        </is>
      </c>
    </row>
    <row r="14" ht="45" customHeight="1" s="56">
      <c r="A14" s="66" t="inlineStr">
        <is>
          <t>Plan</t>
        </is>
      </c>
      <c r="B14" s="66" t="inlineStr">
        <is>
          <t>Univ.-paid total – 3 ppl</t>
        </is>
      </c>
      <c r="C14" s="66" t="inlineStr">
        <is>
          <t>Funding left – 3 ppl</t>
        </is>
      </c>
      <c r="D14" s="66" t="inlineStr">
        <is>
          <t>Out-of-pocket per person – 3 ppl</t>
        </is>
      </c>
      <c r="E14" s="66" t="inlineStr">
        <is>
          <t>Univ.-paid total – 4 ppl</t>
        </is>
      </c>
      <c r="F14" s="66" t="inlineStr">
        <is>
          <t>Funding left – 4 ppl</t>
        </is>
      </c>
      <c r="G14" s="66" t="inlineStr">
        <is>
          <t>Out-of-pocket per person – 4 ppl</t>
        </is>
      </c>
      <c r="H14" s="66" t="inlineStr">
        <is>
          <t>Whole trip – 3 ppl</t>
        </is>
      </c>
      <c r="I14" s="66" t="inlineStr">
        <is>
          <t>Whole trip – 4 ppl</t>
        </is>
      </c>
      <c r="J14" s="66" t="inlineStr">
        <is>
          <t>Planes &amp; trains</t>
        </is>
      </c>
      <c r="K14" s="66" t="inlineStr">
        <is>
          <t>Door-to-door</t>
        </is>
      </c>
    </row>
    <row r="15" ht="15" customHeight="1" s="56">
      <c r="A15" s="67" t="inlineStr">
        <is>
          <t>Shenyang – Budget</t>
        </is>
      </c>
      <c r="B15" s="68">
        <f>'Shenyang – Budget'!H34</f>
        <v/>
      </c>
      <c r="C15" s="68">
        <f>'Shenyang – Budget'!H35</f>
        <v/>
      </c>
      <c r="D15" s="69">
        <f>'Shenyang – Budget'!H37</f>
        <v/>
      </c>
      <c r="E15" s="68">
        <f>'Shenyang – Budget'!K34</f>
        <v/>
      </c>
      <c r="F15" s="68">
        <f>'Shenyang – Budget'!K35</f>
        <v/>
      </c>
      <c r="G15" s="69">
        <f>'Shenyang – Budget'!K37</f>
        <v/>
      </c>
      <c r="H15" s="70">
        <f>'Shenyang – Budget'!H38</f>
        <v/>
      </c>
      <c r="I15" s="70">
        <f>'Shenyang – Budget'!K38</f>
        <v/>
      </c>
      <c r="J15" s="71">
        <f>'Shenyang – Budget'!H39</f>
        <v/>
      </c>
      <c r="K15" s="71">
        <f>'Shenyang – Budget'!D69</f>
        <v/>
      </c>
    </row>
    <row r="16" ht="15" customHeight="1" s="56">
      <c r="A16" s="67" t="inlineStr">
        <is>
          <t>Shenyang – Comfort</t>
        </is>
      </c>
      <c r="B16" s="68">
        <f>'Shenyang – Comfort'!H33</f>
        <v/>
      </c>
      <c r="C16" s="68">
        <f>'Shenyang – Comfort'!H34</f>
        <v/>
      </c>
      <c r="D16" s="69">
        <f>'Shenyang – Comfort'!H36</f>
        <v/>
      </c>
      <c r="E16" s="68">
        <f>'Shenyang – Comfort'!K33</f>
        <v/>
      </c>
      <c r="F16" s="68">
        <f>'Shenyang – Comfort'!K34</f>
        <v/>
      </c>
      <c r="G16" s="69">
        <f>'Shenyang – Comfort'!K36</f>
        <v/>
      </c>
      <c r="H16" s="70">
        <f>'Shenyang – Comfort'!H37</f>
        <v/>
      </c>
      <c r="I16" s="70">
        <f>'Shenyang – Comfort'!K37</f>
        <v/>
      </c>
      <c r="J16" s="71">
        <f>'Shenyang – Comfort'!H38</f>
        <v/>
      </c>
      <c r="K16" s="71">
        <f>'Shenyang – Comfort'!D68</f>
        <v/>
      </c>
    </row>
    <row r="17" ht="15" customHeight="1" s="56">
      <c r="A17" s="67" t="inlineStr">
        <is>
          <t>Hong Kong – Budget</t>
        </is>
      </c>
      <c r="B17" s="68">
        <f>'Hong Kong – Budget'!H30</f>
        <v/>
      </c>
      <c r="C17" s="68">
        <f>'Hong Kong – Budget'!H31</f>
        <v/>
      </c>
      <c r="D17" s="69">
        <f>'Hong Kong – Budget'!H33</f>
        <v/>
      </c>
      <c r="E17" s="68">
        <f>'Hong Kong – Budget'!K30</f>
        <v/>
      </c>
      <c r="F17" s="68">
        <f>'Hong Kong – Budget'!K31</f>
        <v/>
      </c>
      <c r="G17" s="69">
        <f>'Hong Kong – Budget'!K33</f>
        <v/>
      </c>
      <c r="H17" s="70">
        <f>'Hong Kong – Budget'!H34</f>
        <v/>
      </c>
      <c r="I17" s="70">
        <f>'Hong Kong – Budget'!K34</f>
        <v/>
      </c>
      <c r="J17" s="71">
        <f>'Hong Kong – Budget'!H35</f>
        <v/>
      </c>
      <c r="K17" s="71">
        <f>'Hong Kong – Budget'!D60</f>
        <v/>
      </c>
    </row>
    <row r="18" ht="15" customHeight="1" s="56">
      <c r="A18" s="67" t="inlineStr">
        <is>
          <t>Hong Kong – Comfort</t>
        </is>
      </c>
      <c r="B18" s="68">
        <f>'Hong Kong – Comfort'!H30</f>
        <v/>
      </c>
      <c r="C18" s="68">
        <f>'Hong Kong – Comfort'!H31</f>
        <v/>
      </c>
      <c r="D18" s="69">
        <f>'Hong Kong – Comfort'!H33</f>
        <v/>
      </c>
      <c r="E18" s="68">
        <f>'Hong Kong – Comfort'!K30</f>
        <v/>
      </c>
      <c r="F18" s="68">
        <f>'Hong Kong – Comfort'!K31</f>
        <v/>
      </c>
      <c r="G18" s="69">
        <f>'Hong Kong – Comfort'!K33</f>
        <v/>
      </c>
      <c r="H18" s="70">
        <f>'Hong Kong – Comfort'!H34</f>
        <v/>
      </c>
      <c r="I18" s="70">
        <f>'Hong Kong – Comfort'!K34</f>
        <v/>
      </c>
      <c r="J18" s="71">
        <f>'Hong Kong – Comfort'!H35</f>
        <v/>
      </c>
      <c r="K18" s="71">
        <f>'Hong Kong – Comfort'!D60</f>
        <v/>
      </c>
    </row>
    <row r="19" ht="15" customHeight="1" s="56">
      <c r="A19" s="67" t="inlineStr">
        <is>
          <t>EC Final Hangzhou – Train</t>
        </is>
      </c>
      <c r="B19" s="68">
        <f>'EC Final Hangzhou – Train'!H34</f>
        <v/>
      </c>
      <c r="C19" s="68">
        <f>'EC Final Hangzhou – Train'!H35</f>
        <v/>
      </c>
      <c r="D19" s="69">
        <f>'EC Final Hangzhou – Train'!H37</f>
        <v/>
      </c>
      <c r="E19" s="68">
        <f>'EC Final Hangzhou – Train'!K34</f>
        <v/>
      </c>
      <c r="F19" s="68">
        <f>'EC Final Hangzhou – Train'!K35</f>
        <v/>
      </c>
      <c r="G19" s="69">
        <f>'EC Final Hangzhou – Train'!K37</f>
        <v/>
      </c>
      <c r="H19" s="70">
        <f>'EC Final Hangzhou – Train'!H38</f>
        <v/>
      </c>
      <c r="I19" s="70">
        <f>'EC Final Hangzhou – Train'!K38</f>
        <v/>
      </c>
      <c r="J19" s="71">
        <f>'EC Final Hangzhou – Train'!H39</f>
        <v/>
      </c>
      <c r="K19" s="71">
        <f>'EC Final Hangzhou – Train'!D70</f>
        <v/>
      </c>
    </row>
    <row r="20" ht="15" customHeight="1" s="56">
      <c r="A20" s="67" t="inlineStr">
        <is>
          <t>EC Final Hangzhou – Fly</t>
        </is>
      </c>
      <c r="B20" s="68">
        <f>'EC Final Hangzhou – Fly'!H33</f>
        <v/>
      </c>
      <c r="C20" s="68">
        <f>'EC Final Hangzhou – Fly'!H34</f>
        <v/>
      </c>
      <c r="D20" s="69">
        <f>'EC Final Hangzhou – Fly'!H36</f>
        <v/>
      </c>
      <c r="E20" s="68">
        <f>'EC Final Hangzhou – Fly'!K33</f>
        <v/>
      </c>
      <c r="F20" s="68">
        <f>'EC Final Hangzhou – Fly'!K34</f>
        <v/>
      </c>
      <c r="G20" s="69">
        <f>'EC Final Hangzhou – Fly'!K36</f>
        <v/>
      </c>
      <c r="H20" s="70">
        <f>'EC Final Hangzhou – Fly'!H37</f>
        <v/>
      </c>
      <c r="I20" s="70">
        <f>'EC Final Hangzhou – Fly'!K37</f>
        <v/>
      </c>
      <c r="J20" s="71">
        <f>'EC Final Hangzhou – Fly'!H38</f>
        <v/>
      </c>
      <c r="K20" s="71">
        <f>'EC Final Hangzhou – Fly'!D70</f>
        <v/>
      </c>
    </row>
    <row r="21"/>
    <row r="22" ht="15" customHeight="1" s="56">
      <c r="A22" s="72" t="inlineStr">
        <is>
          <t>Recommended picks (not the expensive ones)</t>
        </is>
      </c>
    </row>
    <row r="23" ht="30" customHeight="1" s="56">
      <c r="A23" s="73" t="inlineStr">
        <is>
          <t>Regional 1 – Shenyang (14–15 Nov)</t>
        </is>
      </c>
      <c r="B23" s="74" t="inlineStr">
        <is>
          <t>Shenyang – Comfort: rest day, RiCH Hotel family room 1.3 km from NEU, overnight soft sleeper back to Beijing; leaves ~₮8.7M (3 ppl) / ~₮6.7M (with coach) of the ₮15M. Shenyang – Budget (sleepers both ways, no Beijing hotel) saves another ~₮1.3M. Fly home on Air China 12:55 ($171).</t>
        </is>
      </c>
    </row>
    <row r="24" ht="30" customHeight="1" s="56">
      <c r="A24" s="73" t="inlineStr">
        <is>
          <t>Regional 2 – Hong Kong (9–10 Jan)</t>
        </is>
      </c>
      <c r="B24" s="74" t="inlineStr">
        <is>
          <t>Hong Kong – Budget: same MIAT nonstop ($583 return on Trip.com), Kowloon guesthouse; leaves ~₮5.9M (3 ppl) / ~₮2.8M (with coach). Comfort only makes sense without a coach.</t>
        </is>
      </c>
    </row>
    <row r="25" ht="30" customHeight="1" s="56">
      <c r="A25" s="73" t="inlineStr">
        <is>
          <t>EC Final (only if qualified)</t>
        </is>
      </c>
      <c r="B25" s="74" t="inlineStr">
        <is>
          <t>Train is cheapest (~₮8.2M / ~₮11.1M with coach): MIAT to Beijing, D17 overnight sleeper Beijing 19:10 → Hangzhou 09:15 (¥491, saves the 25 Jan hotel night), Air China through ticket Hangzhou → UB home on 29 Jan. Fly is ~₮11.0M / ~₮14.8M with the coach (just inside ₮15M): Aero Mongolia UB → Hohhot 06:30 + Xiamen Airlines → Hangzhou 13:40 (¥2,752, separate tickets), Air China through ticket home. Buy D17 on 12306 at 10:00 on 11 Jan, the day sales open.</t>
        </is>
      </c>
    </row>
    <row r="26"/>
    <row r="27" ht="30" customHeight="1" s="56">
      <c r="A27" s="75" t="inlineStr">
        <is>
          <t>Note</t>
        </is>
      </c>
      <c r="B27" s="74" t="inlineStr">
        <is>
          <t>Dates are provisional (ICPC Beijing HQ summary, 5 Aug 2026). Hong Kong host (HKU) and EC Final venue (HZNU Cangqian) are from secondary sources – confirm in each invitation.</t>
        </is>
      </c>
    </row>
    <row r="28" ht="30" customHeight="1" s="56">
      <c r="A28" s="75" t="inlineStr">
        <is>
          <t>Note</t>
        </is>
      </c>
      <c r="B28" s="74" t="inlineStr">
        <is>
          <t>EC Final is qualification-only: plan it only once the team has earned a slot at a regional.</t>
        </is>
      </c>
    </row>
    <row r="29" ht="30" customHeight="1" s="56">
      <c r="A29" s="75" t="inlineStr">
        <is>
          <t>Note</t>
        </is>
      </c>
      <c r="B29" s="74" t="inlineStr">
        <is>
          <t>4-person plans use whatever split is cheapest on Trip.com/Booking.com: one family room for 4 (Shenyang RiCH), or two rooms. Taxi costs assume one car; with luggage 4 people may need an XL car.</t>
        </is>
      </c>
    </row>
    <row r="30" ht="30" customHeight="1" s="56">
      <c r="A30" s="75" t="inlineStr">
        <is>
          <t>Note</t>
        </is>
      </c>
      <c r="B30" s="74" t="inlineStr">
        <is>
          <t>No plan needs a Beijing hotel night any more: Shenyang plans use overnight sleeper trains, EC Final plans use the Air China through ticket home on 29 Jan. EC Final – Train also sleeps on the D17 overnight train on 25 Jan instead of a hotel.</t>
        </is>
      </c>
    </row>
  </sheetData>
  <mergeCells count="8">
    <mergeCell ref="B23:K23"/>
    <mergeCell ref="B27:K27"/>
    <mergeCell ref="B30:K30"/>
    <mergeCell ref="A2:K2"/>
    <mergeCell ref="B29:K29"/>
    <mergeCell ref="B25:K25"/>
    <mergeCell ref="B24:K24"/>
    <mergeCell ref="B28:K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Shenyang – Budget</t>
        </is>
      </c>
    </row>
    <row r="2" ht="15" customHeight="1" s="56">
      <c r="A2" s="62" t="inlineStr">
        <is>
          <t>Overnight sleeper trains Beijing ⇄ Shenyang (no Beijing hotel nights), budget room, one night in Shenyang.</t>
        </is>
      </c>
    </row>
    <row r="3"/>
    <row r="4" ht="15" customHeight="1" s="56">
      <c r="A4" s="60" t="inlineStr">
        <is>
          <t>Days in destination (meals &amp; local transport)</t>
        </is>
      </c>
      <c r="B4" s="76" t="n">
        <v>3</v>
      </c>
      <c r="C4" s="62" t="inlineStr">
        <is>
          <t>Evening 13 Nov → midday 16 Nov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6"/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OM223 Ulaanbaatar → Beijing (PEK), 17:15–19:30</t>
        </is>
      </c>
      <c r="C10" s="83" t="inlineStr">
        <is>
          <t>13 Nov</t>
        </is>
      </c>
      <c r="D10" s="84" t="n">
        <v>0.09375</v>
      </c>
      <c r="E10" s="85" t="n">
        <v>150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1 Oct: MIAT 17:15–19:30 $150 pp (SlickTrip 30 Sep: $154)</t>
        </is>
      </c>
    </row>
    <row r="11" ht="26.85" customHeight="1" s="56">
      <c r="A11" s="81" t="n"/>
      <c r="B11" s="82" t="inlineStr">
        <is>
          <t>Air China Beijing (PEK) → Ulaanbaatar, nonstop 12:55–15:05</t>
        </is>
      </c>
      <c r="C11" s="83" t="inlineStr">
        <is>
          <t>16 Nov</t>
        </is>
      </c>
      <c r="D11" s="84" t="n">
        <v>0.09027777777777778</v>
      </c>
      <c r="E11" s="85" t="n">
        <v>171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Trip.com 30 Sep: Air China nonstop $171 pp (MIAT OM224 11:30 was $194 on Trip.com, $196.33 on SlickTrip)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Overnight train K53 Beijing 22:35 → Shenyang North 07:00, hard sleeper</t>
        </is>
      </c>
      <c r="C13" s="83" t="inlineStr">
        <is>
          <t>13 Nov (night)</t>
        </is>
      </c>
      <c r="D13" s="84" t="n">
        <v>0.3506944444444444</v>
      </c>
      <c r="E13" s="85" t="n">
        <v>171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90" t="inlineStr">
        <is>
          <t>Ctrip 1 Oct: K53 hard sleeper ¥171 (soft ¥263). Replaces the Beijing night + morning G-train (¥339). MIAT lands 19:30, so ~1 h 20 min spare after immigration + Airport Express; if MIAT is late, change the ticket (1 free change) to the 14 Nov G-train. 12306 3 Oct: same official fares; sales open 30 Oct 10:00 (Beijing station). Backup if K53 is sold out: K341 Beijing 23:00 → Shenyang 08:47, hard sleeper ¥194.</t>
        </is>
      </c>
    </row>
    <row r="14" ht="26.85" customHeight="1" s="56">
      <c r="A14" s="81" t="n"/>
      <c r="B14" s="82" t="inlineStr">
        <is>
          <t>Overnight train K54 Shenyang North 22:00 → Beijing 06:58, hard sleeper</t>
        </is>
      </c>
      <c r="C14" s="83" t="inlineStr">
        <is>
          <t>15 Nov (night)</t>
        </is>
      </c>
      <c r="D14" s="84" t="n">
        <v>0.3736111111111111</v>
      </c>
      <c r="E14" s="85" t="n">
        <v>171</v>
      </c>
      <c r="F14" s="86" t="inlineStr">
        <is>
          <t>CNY</t>
        </is>
      </c>
      <c r="G14" s="87">
        <f>Compare!$B$6</f>
        <v/>
      </c>
      <c r="H14" s="88">
        <f>E14*G14*IF(F14="USD",Compare!$B$8,IF(F14="CNY",Compare!$B$9,IF(F14="HKD",Compare!$B$10,1)))</f>
        <v/>
      </c>
      <c r="I14" s="89">
        <f>E14</f>
        <v/>
      </c>
      <c r="J14" s="87">
        <f>Compare!$B$7</f>
        <v/>
      </c>
      <c r="K14" s="88">
        <f>I14*J14*IF(F14="USD",Compare!$B$8,IF(F14="CNY",Compare!$B$9,IF(F14="HKD",Compare!$B$10,1)))</f>
        <v/>
      </c>
      <c r="L14" s="90" t="inlineStr">
        <is>
          <t>Ctrip 1 Oct: K54 hard sleeper ¥171, soft sleeper ¥263 (4-berth cabin). Leaves 22:00, so a late closing ceremony is fine; replaces the evening G-train (¥339) + a Beijing hotel night. Air China through ticket SHE 09:00 → UB 15:05 ($286) is the fallback. 12306 3 Oct: same official fares; sales open 1 Nov 09:00 (Shenyang North).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26.85" customHeight="1" s="56">
      <c r="A16" s="81" t="n"/>
      <c r="B16" s="82" t="n"/>
      <c r="C16" s="83" t="n"/>
      <c r="D16" s="81" t="n"/>
      <c r="E16" s="85" t="n"/>
      <c r="F16" s="86" t="n"/>
      <c r="G16" s="91" t="n"/>
      <c r="H16" s="88" t="n"/>
      <c r="I16" s="85" t="n"/>
      <c r="J16" s="91" t="n"/>
      <c r="K16" s="88" t="n"/>
      <c r="L16" s="90" t="n"/>
    </row>
    <row r="17" ht="26.85" customHeight="1" s="56">
      <c r="A17" s="81" t="n"/>
      <c r="B17" s="82" t="inlineStr">
        <is>
          <t>Bestay Hotel Express Shenyang (Huaiyuanmen; ~25 min metro to NEU Nanhu)</t>
        </is>
      </c>
      <c r="C17" s="83" t="inlineStr">
        <is>
          <t>14 Nov (1 night)</t>
        </is>
      </c>
      <c r="D17" s="81" t="n"/>
      <c r="E17" s="85" t="n">
        <v>86</v>
      </c>
      <c r="F17" s="86" t="inlineStr">
        <is>
          <t>CNY</t>
        </is>
      </c>
      <c r="G17" s="91" t="n">
        <v>1</v>
      </c>
      <c r="H17" s="88">
        <f>E17*G17*IF(F17="USD",Compare!$B$8,IF(F17="CNY",Compare!$B$9,IF(F17="HKD",Compare!$B$10,1)))</f>
        <v/>
      </c>
      <c r="I17" s="85" t="n">
        <v>134</v>
      </c>
      <c r="J17" s="91" t="n">
        <v>1</v>
      </c>
      <c r="K17" s="88">
        <f>I17*J17*IF(F17="USD",Compare!$B$8,IF(F17="CNY",Compare!$B$9,IF(F17="HKD",Compare!$B$10,1)))</f>
        <v/>
      </c>
      <c r="L17" s="90" t="inlineStr">
        <is>
          <t>Booking.com: 86/night (3 ppl, 1 room); 134 CNY for 2 rooms on 14 Nov.. Trip.com 1 Oct: rated 8.2 from 1,062 reviews (¥284 for 2 rooms × 2 nights) – the low price is real. Arrive 07:00 off the sleeper: leave bags until check-in</t>
        </is>
      </c>
    </row>
    <row r="18" ht="15" customHeight="1" s="56">
      <c r="A18" s="81" t="n"/>
      <c r="B18" s="82" t="n"/>
      <c r="C18" s="83" t="n"/>
      <c r="D18" s="81" t="n"/>
      <c r="E18" s="85" t="n"/>
      <c r="F18" s="86" t="n"/>
      <c r="G18" s="91" t="n"/>
      <c r="H18" s="88" t="n"/>
      <c r="I18" s="85" t="n"/>
      <c r="J18" s="91" t="n"/>
      <c r="K18" s="88" t="n"/>
      <c r="L18" s="90" t="n"/>
    </row>
    <row r="19" ht="15" customHeight="1" s="56">
      <c r="A19" s="79" t="inlineStr">
        <is>
          <t>Meals &amp; local transport</t>
        </is>
      </c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</row>
    <row r="20" ht="22.35" customHeight="1" s="56">
      <c r="A20" s="81" t="n"/>
      <c r="B20" s="82" t="inlineStr">
        <is>
          <t>Meals</t>
        </is>
      </c>
      <c r="C20" s="83" t="inlineStr">
        <is>
          <t>in destination</t>
        </is>
      </c>
      <c r="D20" s="81" t="n"/>
      <c r="E20" s="92" t="n">
        <v>80</v>
      </c>
      <c r="F20" s="86" t="inlineStr">
        <is>
          <t>CNY</t>
        </is>
      </c>
      <c r="G20" s="87">
        <f>Compare!$B$6*$B$4</f>
        <v/>
      </c>
      <c r="H20" s="88">
        <f>E20*G20*IF(F20="USD",Compare!$B$8,IF(F20="CNY",Compare!$B$9,IF(F20="HKD",Compare!$B$10,1)))</f>
        <v/>
      </c>
      <c r="I20" s="93">
        <f>E20</f>
        <v/>
      </c>
      <c r="J20" s="87">
        <f>Compare!$B$7*$B$4</f>
        <v/>
      </c>
      <c r="K20" s="88">
        <f>I20*J20*IF(F20="USD",Compare!$B$8,IF(F20="CNY",Compare!$B$9,IF(F20="HKD",Compare!$B$10,1)))</f>
        <v/>
      </c>
      <c r="L20" s="90" t="inlineStr">
        <is>
          <t>ASSUMPTION 80 CNY/person/day; hosts usually provide some meals on contest days</t>
        </is>
      </c>
    </row>
    <row r="21" ht="15" customHeight="1" s="56">
      <c r="A21" s="81" t="n"/>
      <c r="B21" s="82" t="inlineStr">
        <is>
          <t>Local transport (metro, taxis)</t>
        </is>
      </c>
      <c r="C21" s="83" t="inlineStr">
        <is>
          <t>in destination</t>
        </is>
      </c>
      <c r="D21" s="81" t="n"/>
      <c r="E21" s="92" t="n">
        <v>30</v>
      </c>
      <c r="F21" s="86" t="inlineStr">
        <is>
          <t>CNY</t>
        </is>
      </c>
      <c r="G21" s="87">
        <f>Compare!$B$6*$B$4</f>
        <v/>
      </c>
      <c r="H21" s="88">
        <f>E21*G21*IF(F21="USD",Compare!$B$8,IF(F21="CNY",Compare!$B$9,IF(F21="HKD",Compare!$B$10,1)))</f>
        <v/>
      </c>
      <c r="I21" s="93">
        <f>E21</f>
        <v/>
      </c>
      <c r="J21" s="87">
        <f>Compare!$B$7*$B$4</f>
        <v/>
      </c>
      <c r="K21" s="88">
        <f>I21*J21*IF(F21="USD",Compare!$B$8,IF(F21="CNY",Compare!$B$9,IF(F21="HKD",Compare!$B$10,1)))</f>
        <v/>
      </c>
      <c r="L21" s="90" t="inlineStr">
        <is>
          <t>ASSUMPTION 30 CNY/person/day</t>
        </is>
      </c>
    </row>
    <row r="22" ht="15" customHeight="1" s="56">
      <c r="A22" s="94" t="inlineStr">
        <is>
          <t>PAID PERSONALLY (university won't cover)</t>
        </is>
      </c>
      <c r="B22" s="95" t="n"/>
      <c r="C22" s="95" t="n"/>
      <c r="D22" s="95" t="n"/>
      <c r="E22" s="95" t="n"/>
      <c r="F22" s="95" t="n"/>
      <c r="G22" s="95" t="n"/>
      <c r="H22" s="95" t="n"/>
      <c r="I22" s="95" t="n"/>
      <c r="J22" s="95" t="n"/>
      <c r="K22" s="95" t="n"/>
      <c r="L22" s="95" t="n"/>
    </row>
    <row r="23" ht="15" customHeight="1" s="56">
      <c r="A23" s="79" t="inlineStr">
        <is>
          <t>Contest fee</t>
        </is>
      </c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</row>
    <row r="24" ht="22.35" customHeight="1" s="56">
      <c r="A24" s="81" t="n"/>
      <c r="B24" s="82" t="inlineStr">
        <is>
          <t>Shenyang regional registration fee (per team)</t>
        </is>
      </c>
      <c r="C24" s="83" t="inlineStr">
        <is>
          <t>pay by mid-Oct</t>
        </is>
      </c>
      <c r="D24" s="81" t="n"/>
      <c r="E24" s="92" t="n">
        <v>1500</v>
      </c>
      <c r="F24" s="86" t="inlineStr">
        <is>
          <t>CNY</t>
        </is>
      </c>
      <c r="G24" s="91" t="n">
        <v>1</v>
      </c>
      <c r="H24" s="88">
        <f>E24*G24*IF(F24="USD",Compare!$B$8,IF(F24="CNY",Compare!$B$9,IF(F24="HKD",Compare!$B$10,1)))</f>
        <v/>
      </c>
      <c r="I24" s="93">
        <f>E24</f>
        <v/>
      </c>
      <c r="J24" s="91" t="n">
        <v>1</v>
      </c>
      <c r="K24" s="88">
        <f>I24*J24*IF(F24="USD",Compare!$B$8,IF(F24="CNY",Compare!$B$9,IF(F24="HKD",Compare!$B$10,1)))</f>
        <v/>
      </c>
      <c r="L24" s="90" t="inlineStr">
        <is>
          <t>ASSUMPTION: 1,500 CNY/team like recent EC regionals; 2026 Shenyang invitation not yet out</t>
        </is>
      </c>
    </row>
    <row r="25" ht="15" customHeight="1" s="56">
      <c r="A25" s="79" t="inlineStr">
        <is>
          <t>Other</t>
        </is>
      </c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</row>
    <row r="26" ht="15" customHeight="1" s="56">
      <c r="A26" s="81" t="n"/>
      <c r="B26" s="82" t="inlineStr">
        <is>
          <t>Taxi to/from Chinggis Khaan airport (UB), per trip</t>
        </is>
      </c>
      <c r="C26" s="83" t="inlineStr">
        <is>
          <t>out &amp; back</t>
        </is>
      </c>
      <c r="D26" s="84" t="n">
        <v>0.04166666666666666</v>
      </c>
      <c r="E26" s="92" t="n">
        <v>100000</v>
      </c>
      <c r="F26" s="86" t="inlineStr">
        <is>
          <t>MNT</t>
        </is>
      </c>
      <c r="G26" s="91" t="n">
        <v>2</v>
      </c>
      <c r="H26" s="88">
        <f>E26*G26*IF(F26="USD",Compare!$B$8,IF(F26="CNY",Compare!$B$9,IF(F26="HKD",Compare!$B$10,1)))</f>
        <v/>
      </c>
      <c r="I26" s="93">
        <f>E26</f>
        <v/>
      </c>
      <c r="J26" s="91" t="n">
        <v>2</v>
      </c>
      <c r="K26" s="88">
        <f>I26*J26*IF(F26="USD",Compare!$B$8,IF(F26="CNY",Compare!$B$9,IF(F26="HKD",Compare!$B$10,1)))</f>
        <v/>
      </c>
      <c r="L26" s="90" t="inlineStr">
        <is>
          <t>ASSUMPTION 100k MNT per trip for the group</t>
        </is>
      </c>
    </row>
    <row r="27" ht="15" customHeight="1" s="56">
      <c r="A27" s="81" t="n"/>
      <c r="B27" s="82" t="inlineStr">
        <is>
          <t>Travel medical insurance</t>
        </is>
      </c>
      <c r="C27" s="83" t="n"/>
      <c r="D27" s="81" t="n"/>
      <c r="E27" s="92" t="n">
        <v>30000</v>
      </c>
      <c r="F27" s="86" t="inlineStr">
        <is>
          <t>MNT</t>
        </is>
      </c>
      <c r="G27" s="87">
        <f>Compare!$B$6</f>
        <v/>
      </c>
      <c r="H27" s="88">
        <f>E27*G27*IF(F27="USD",Compare!$B$8,IF(F27="CNY",Compare!$B$9,IF(F27="HKD",Compare!$B$10,1)))</f>
        <v/>
      </c>
      <c r="I27" s="93">
        <f>E27</f>
        <v/>
      </c>
      <c r="J27" s="87">
        <f>Compare!$B$7</f>
        <v/>
      </c>
      <c r="K27" s="88">
        <f>I27*J27*IF(F27="USD",Compare!$B$8,IF(F27="CNY",Compare!$B$9,IF(F27="HKD",Compare!$B$10,1)))</f>
        <v/>
      </c>
      <c r="L27" s="90" t="inlineStr">
        <is>
          <t>ASSUMPTION ~30k MNT per person, Mongolian insurer</t>
        </is>
      </c>
    </row>
    <row r="28" ht="15" customHeight="1" s="56">
      <c r="A28" s="81" t="n"/>
      <c r="B28" s="82" t="inlineStr">
        <is>
          <t>Mobile data eSIM</t>
        </is>
      </c>
      <c r="C28" s="83" t="n"/>
      <c r="D28" s="81" t="n"/>
      <c r="E28" s="92" t="n">
        <v>10</v>
      </c>
      <c r="F28" s="86" t="inlineStr">
        <is>
          <t>USD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93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ASSUMPTION ~$10 pp</t>
        </is>
      </c>
    </row>
    <row r="29" ht="22.35" customHeight="1" s="56">
      <c r="A29" s="81" t="n"/>
      <c r="B29" s="82" t="inlineStr">
        <is>
          <t>Visa</t>
        </is>
      </c>
      <c r="C29" s="83" t="n"/>
      <c r="D29" s="81" t="n"/>
      <c r="E29" s="85" t="n">
        <v>0</v>
      </c>
      <c r="F29" s="86" t="inlineStr">
        <is>
          <t>MNT</t>
        </is>
      </c>
      <c r="G29" s="87">
        <f>Compare!$B$6</f>
        <v/>
      </c>
      <c r="H29" s="88">
        <f>E29*G29*IF(F29="USD",Compare!$B$8,IF(F29="CNY",Compare!$B$9,IF(F29="HKD",Compare!$B$10,1)))</f>
        <v/>
      </c>
      <c r="I29" s="89">
        <f>E29</f>
        <v/>
      </c>
      <c r="J29" s="87">
        <f>Compare!$B$7</f>
        <v/>
      </c>
      <c r="K29" s="88">
        <f>I29*J29*IF(F29="USD",Compare!$B$8,IF(F29="CNY",Compare!$B$9,IF(F29="HKD",Compare!$B$10,1)))</f>
        <v/>
      </c>
      <c r="L29" s="90" t="inlineStr">
        <is>
          <t>Mongolian passports: visa-free (mainland China up to 30 days; Hong Kong up to 14 days)</t>
        </is>
      </c>
    </row>
    <row r="30"/>
    <row r="31" ht="15" customHeight="1" s="56">
      <c r="G31" s="60" t="n"/>
      <c r="H31" s="96" t="inlineStr">
        <is>
          <t>3 people</t>
        </is>
      </c>
      <c r="K31" s="96" t="inlineStr">
        <is>
          <t>4 people</t>
        </is>
      </c>
    </row>
    <row r="32" ht="15" customHeight="1" s="56">
      <c r="G32" s="97" t="inlineStr">
        <is>
          <t>University-paid subtotal</t>
        </is>
      </c>
      <c r="H32" s="98">
        <f>SUM(H9:H21)</f>
        <v/>
      </c>
      <c r="K32" s="98">
        <f>SUM(K9:K21)</f>
        <v/>
      </c>
    </row>
    <row r="33" ht="15" customHeight="1" s="56">
      <c r="G33" s="99" t="inlineStr">
        <is>
          <t>Contingency</t>
        </is>
      </c>
      <c r="H33" s="100">
        <f>H32*Compare!$B$11</f>
        <v/>
      </c>
      <c r="K33" s="100">
        <f>K32*Compare!$B$11</f>
        <v/>
      </c>
    </row>
    <row r="34" ht="15" customHeight="1" s="56">
      <c r="G34" s="97" t="inlineStr">
        <is>
          <t>University-paid total incl. contingency</t>
        </is>
      </c>
      <c r="H34" s="98">
        <f>H32+H33</f>
        <v/>
      </c>
      <c r="K34" s="98">
        <f>K32+K33</f>
        <v/>
      </c>
    </row>
    <row r="35" ht="15" customHeight="1" s="56">
      <c r="G35" s="97" t="inlineStr">
        <is>
          <t>Funding left (negative = over)</t>
        </is>
      </c>
      <c r="H35" s="101">
        <f>Compare!$B$5-H34</f>
        <v/>
      </c>
      <c r="K35" s="101">
        <f>Compare!$B$5-K34</f>
        <v/>
      </c>
    </row>
    <row r="36" ht="15" customHeight="1" s="56">
      <c r="G36" s="97" t="inlineStr">
        <is>
          <t>Personal costs – team</t>
        </is>
      </c>
      <c r="H36" s="102">
        <f>SUM(H23:H29)</f>
        <v/>
      </c>
      <c r="K36" s="102">
        <f>SUM(K23:K29)</f>
        <v/>
      </c>
    </row>
    <row r="37" ht="15" customHeight="1" s="56">
      <c r="G37" s="97" t="inlineStr">
        <is>
          <t>Out-of-pocket per person (personal + any overrun)</t>
        </is>
      </c>
      <c r="H37" s="102">
        <f>(H36+MAX(0,-H35))/Compare!$B$6</f>
        <v/>
      </c>
      <c r="K37" s="102">
        <f>(K36+MAX(0,-K35))/Compare!$B$7</f>
        <v/>
      </c>
    </row>
    <row r="38" ht="15" customHeight="1" s="56">
      <c r="G38" s="97" t="inlineStr">
        <is>
          <t>Whole trip cost (university + personal)</t>
        </is>
      </c>
      <c r="H38" s="103">
        <f>H34+H36</f>
        <v/>
      </c>
      <c r="K38" s="103">
        <f>K34+K36</f>
        <v/>
      </c>
    </row>
    <row r="39" ht="15" customHeight="1" s="56">
      <c r="G39" s="99" t="inlineStr">
        <is>
          <t>Time in planes &amp; trains</t>
        </is>
      </c>
      <c r="H39" s="104">
        <f>SUM(D10:D11)+SUM(D13:D14)</f>
        <v/>
      </c>
      <c r="K39" s="104">
        <f>SUM(D10:D11)+SUM(D13:D14)</f>
        <v/>
      </c>
    </row>
    <row r="40"/>
    <row r="41" ht="15" customHeight="1" s="56">
      <c r="A41" s="72" t="inlineStr">
        <is>
          <t>Key facts</t>
        </is>
      </c>
    </row>
    <row r="42" ht="30" customHeight="1" s="56">
      <c r="A42" s="75" t="inlineStr">
        <is>
          <t>Contest</t>
        </is>
      </c>
      <c r="B42" s="74" t="inlineStr">
        <is>
          <t>Asia Shenyang Regional, 14–15 Nov 2026 (provisional), Northeastern University – 2025 edition was on the Nanhu campus.</t>
        </is>
      </c>
    </row>
    <row r="43" ht="30" customHeight="1" s="56">
      <c r="A43" s="75" t="inlineStr">
        <is>
          <t>Why this route</t>
        </is>
      </c>
      <c r="B43" s="74" t="inlineStr">
        <is>
          <t>Cheapest way from UB: MIAT to Beijing ($150) + overnight sleeper trains (¥171 each way, no Beijing hotel), Air China home ($171). Flying UB→Shenyang direct means an overnight in Seoul (~$514 pp one way) or a 1-stop via Beijing/Hohhot ($219–233, 8–15 h).</t>
        </is>
      </c>
    </row>
    <row r="44" ht="15" customHeight="1" s="56">
      <c r="A44" s="75" t="inlineStr">
        <is>
          <t>Trade-off</t>
        </is>
      </c>
      <c r="B44" s="74" t="inlineStr">
        <is>
          <t>Two nights on sleeper trains (6-berth hard sleeper); very basic room; ~25 min metro to the venue.</t>
        </is>
      </c>
    </row>
    <row r="45"/>
    <row r="46" ht="15" customHeight="1" s="56">
      <c r="A46" s="72" t="inlineStr">
        <is>
          <t>Day-by-day plan</t>
        </is>
      </c>
    </row>
    <row r="47" ht="15" customHeight="1" s="56">
      <c r="A47" s="96" t="inlineStr">
        <is>
          <t>Date</t>
        </is>
      </c>
      <c r="B47" s="96" t="inlineStr">
        <is>
          <t>Sleep in</t>
        </is>
      </c>
      <c r="C47" s="96" t="inlineStr">
        <is>
          <t>What happens</t>
        </is>
      </c>
    </row>
    <row r="48" ht="15" customHeight="1" s="56">
      <c r="A48" s="74" t="inlineStr">
        <is>
          <t>Fri 13 Nov</t>
        </is>
      </c>
      <c r="B48" s="74" t="inlineStr">
        <is>
          <t>Train</t>
        </is>
      </c>
      <c r="C48" s="74" t="inlineStr">
        <is>
          <t>Fly MIAT OM223 UB 17:15 → Beijing Capital 19:30. Airport Express + metro to Beijing station; K53 sleeper 22:35 → Shenyang North 07:00.</t>
        </is>
      </c>
    </row>
    <row r="49" ht="30" customHeight="1" s="56">
      <c r="A49" s="74" t="inlineStr">
        <is>
          <t>Sat 14 Nov</t>
        </is>
      </c>
      <c r="B49" s="74" t="inlineStr">
        <is>
          <t>Shenyang</t>
        </is>
      </c>
      <c r="C49" s="74" t="inlineStr">
        <is>
          <t>Arrive Shenyang North 07:00; leave bags at Bestay. Registration &amp; practice at Northeastern University Nanhu campus.</t>
        </is>
      </c>
    </row>
    <row r="50" ht="15" customHeight="1" s="56">
      <c r="A50" s="74" t="inlineStr">
        <is>
          <t>Sun 15 Nov</t>
        </is>
      </c>
      <c r="B50" s="74" t="inlineStr">
        <is>
          <t>Train</t>
        </is>
      </c>
      <c r="C50" s="74" t="inlineStr">
        <is>
          <t>SHENYANG REGIONAL contest day. K54 sleeper Shenyang North 22:00 → Beijing 06:58 (no rush after the closing ceremony).</t>
        </is>
      </c>
    </row>
    <row r="51" ht="15" customHeight="1" s="56">
      <c r="A51" s="74" t="inlineStr">
        <is>
          <t>Mon 16 Nov</t>
        </is>
      </c>
      <c r="B51" s="74" t="inlineStr">
        <is>
          <t>Home</t>
        </is>
      </c>
      <c r="C51" s="74" t="inlineStr">
        <is>
          <t>Beijing station → PEK by metro + Airport Express. Air China Beijing Capital 12:55 → UB 15:05 (nonstop).</t>
        </is>
      </c>
    </row>
    <row r="52"/>
    <row r="53" ht="15" customHeight="1" s="56">
      <c r="A53" s="72" t="inlineStr">
        <is>
          <t>Door-to-door travel times</t>
        </is>
      </c>
    </row>
    <row r="54" ht="15" customHeight="1" s="56">
      <c r="A54" s="96" t="inlineStr">
        <is>
          <t>Date</t>
        </is>
      </c>
      <c r="B54" s="96" t="inlineStr">
        <is>
          <t>Leg</t>
        </is>
      </c>
      <c r="C54" s="96" t="inlineStr">
        <is>
          <t>Mode</t>
        </is>
      </c>
      <c r="D54" s="96" t="inlineStr">
        <is>
          <t>Expected time</t>
        </is>
      </c>
      <c r="E54" s="96" t="inlineStr">
        <is>
          <t>Notes</t>
        </is>
      </c>
    </row>
    <row r="55" ht="15" customHeight="1" s="56">
      <c r="A55" s="105" t="inlineStr">
        <is>
          <t>13 Nov</t>
        </is>
      </c>
      <c r="B55" s="105" t="inlineStr">
        <is>
          <t>Home → Chinggis Khaan airport</t>
        </is>
      </c>
      <c r="C55" s="82" t="inlineStr">
        <is>
          <t>Taxi (~50 km)</t>
        </is>
      </c>
      <c r="D55" s="104" t="n">
        <v>0.04166666666666666</v>
      </c>
      <c r="E55" s="106" t="inlineStr">
        <is>
          <t>Leave ~14:15</t>
        </is>
      </c>
      <c r="F55" s="107" t="n"/>
      <c r="G55" s="107" t="n"/>
      <c r="H55" s="107" t="n"/>
      <c r="I55" s="107" t="n"/>
      <c r="J55" s="107" t="n"/>
      <c r="K55" s="107" t="n"/>
      <c r="L55" s="107" t="n"/>
    </row>
    <row r="56" ht="26.85" customHeight="1" s="56">
      <c r="A56" s="105" t="inlineStr">
        <is>
          <t>13 Nov</t>
        </is>
      </c>
      <c r="B56" s="105" t="inlineStr">
        <is>
          <t>Ulaanbaatar → Beijing (PEK)</t>
        </is>
      </c>
      <c r="C56" s="82" t="inlineStr">
        <is>
          <t>MIAT OM223 17:15–19:30</t>
        </is>
      </c>
      <c r="D56" s="84" t="n">
        <v>0.09375</v>
      </c>
      <c r="E56" s="106" t="n"/>
      <c r="F56" s="107" t="n"/>
      <c r="G56" s="107" t="n"/>
      <c r="H56" s="107" t="n"/>
      <c r="I56" s="107" t="n"/>
      <c r="J56" s="107" t="n"/>
      <c r="K56" s="107" t="n"/>
      <c r="L56" s="107" t="n"/>
    </row>
    <row r="57" ht="15" customHeight="1" s="56">
      <c r="A57" s="105" t="inlineStr">
        <is>
          <t>13 Nov</t>
        </is>
      </c>
      <c r="B57" s="105" t="inlineStr">
        <is>
          <t>PEK arrival: immigration, bags</t>
        </is>
      </c>
      <c r="C57" s="82" t="inlineStr">
        <is>
          <t>—</t>
        </is>
      </c>
      <c r="D57" s="104" t="n">
        <v>0.03125</v>
      </c>
      <c r="E57" s="106" t="inlineStr">
        <is>
          <t>Estimate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26.85" customHeight="1" s="56">
      <c r="A58" s="105" t="inlineStr">
        <is>
          <t>13 Nov</t>
        </is>
      </c>
      <c r="B58" s="105" t="inlineStr">
        <is>
          <t>PEK → Beijing station</t>
        </is>
      </c>
      <c r="C58" s="82" t="inlineStr">
        <is>
          <t>Airport Express + metro line 2</t>
        </is>
      </c>
      <c r="D58" s="104" t="n">
        <v>0.04166666666666666</v>
      </c>
      <c r="E58" s="106" t="inlineStr">
        <is>
          <t>Aim to be there by ~21:30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13–14 Nov</t>
        </is>
      </c>
      <c r="B59" s="105" t="inlineStr">
        <is>
          <t>Beijing → Shenyang North</t>
        </is>
      </c>
      <c r="C59" s="82" t="inlineStr">
        <is>
          <t>K53 hard sleeper 22:35–07:00</t>
        </is>
      </c>
      <c r="D59" s="104" t="n">
        <v>0.3506944444444444</v>
      </c>
      <c r="E59" s="106" t="inlineStr">
        <is>
          <t>Overnight</t>
        </is>
      </c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A60" s="105" t="inlineStr">
        <is>
          <t>14 Nov</t>
        </is>
      </c>
      <c r="B60" s="105" t="inlineStr">
        <is>
          <t>Shenyang North → Bestay hotel / NEU Nanhu</t>
        </is>
      </c>
      <c r="C60" s="82" t="inlineStr">
        <is>
          <t>Metro / taxi</t>
        </is>
      </c>
      <c r="D60" s="84" t="n">
        <v>0.01736111111111111</v>
      </c>
      <c r="E60" s="106" t="inlineStr">
        <is>
          <t>Estimate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14–15 Nov</t>
        </is>
      </c>
      <c r="B61" s="105" t="inlineStr">
        <is>
          <t>Bestay hotel ↔ NEU Nanhu (each way)</t>
        </is>
      </c>
      <c r="C61" s="82" t="inlineStr">
        <is>
          <t>Metro</t>
        </is>
      </c>
      <c r="D61" s="104" t="inlineStr">
        <is>
          <t>daily</t>
        </is>
      </c>
      <c r="E61" s="106" t="inlineStr">
        <is>
          <t>~25 min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15 Nov</t>
        </is>
      </c>
      <c r="B62" s="105" t="inlineStr">
        <is>
          <t>NEU Nanhu → Shenyang North</t>
        </is>
      </c>
      <c r="C62" s="82" t="inlineStr">
        <is>
          <t>Taxi</t>
        </is>
      </c>
      <c r="D62" s="110" t="n">
        <v>0.01736111111111111</v>
      </c>
      <c r="E62" s="106" t="inlineStr">
        <is>
          <t>Estimate</t>
        </is>
      </c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15–16 Nov</t>
        </is>
      </c>
      <c r="B63" s="105" t="inlineStr">
        <is>
          <t>Shenyang North → Beijing</t>
        </is>
      </c>
      <c r="C63" s="82" t="inlineStr">
        <is>
          <t>K54 hard sleeper 22:00–06:58</t>
        </is>
      </c>
      <c r="D63" s="104" t="n">
        <v>0.3736111111111111</v>
      </c>
      <c r="E63" s="106" t="inlineStr">
        <is>
          <t>Overnight</t>
        </is>
      </c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16 Nov</t>
        </is>
      </c>
      <c r="B64" s="105" t="inlineStr">
        <is>
          <t>Beijing station → PEK</t>
        </is>
      </c>
      <c r="C64" s="82" t="inlineStr">
        <is>
          <t>Metro line 2 + Airport Express</t>
        </is>
      </c>
      <c r="D64" s="84" t="n">
        <v>0.04166666666666666</v>
      </c>
      <c r="E64" s="106" t="inlineStr">
        <is>
          <t>Be at PEK by ~10:55</t>
        </is>
      </c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16 Nov</t>
        </is>
      </c>
      <c r="B65" s="105" t="inlineStr">
        <is>
          <t>Beijing (PEK) → Ulaanbaatar</t>
        </is>
      </c>
      <c r="C65" s="82" t="inlineStr">
        <is>
          <t>Air China 12:55–15:05</t>
        </is>
      </c>
      <c r="D65" s="104" t="n">
        <v>0.09027777777777778</v>
      </c>
      <c r="E65" s="106" t="n"/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16 Nov</t>
        </is>
      </c>
      <c r="B66" s="105" t="inlineStr">
        <is>
          <t>Chinggis Khaan airport → home</t>
        </is>
      </c>
      <c r="C66" s="82" t="inlineStr">
        <is>
          <t>Taxi</t>
        </is>
      </c>
      <c r="D66" s="104" t="n">
        <v>0.04166666666666666</v>
      </c>
      <c r="E66" s="106" t="n"/>
      <c r="F66" s="107" t="n"/>
      <c r="G66" s="107" t="n"/>
      <c r="H66" s="107" t="n"/>
      <c r="I66" s="107" t="n"/>
      <c r="J66" s="107" t="n"/>
      <c r="K66" s="107" t="n"/>
      <c r="L66" s="107" t="n"/>
    </row>
    <row r="67" ht="26.85" customHeight="1" s="56">
      <c r="A67" s="105" t="n"/>
      <c r="B67" s="105" t="n"/>
      <c r="C67" s="82" t="n"/>
      <c r="D67" s="84" t="n"/>
      <c r="E67" s="106" t="n"/>
      <c r="F67" s="107" t="n"/>
      <c r="G67" s="107" t="n"/>
      <c r="H67" s="107" t="n"/>
      <c r="I67" s="107" t="n"/>
      <c r="J67" s="107" t="n"/>
      <c r="K67" s="107" t="n"/>
      <c r="L67" s="107" t="n"/>
    </row>
    <row r="68" ht="14.15" customHeight="1" s="56">
      <c r="A68" s="105" t="n"/>
      <c r="B68" s="105" t="n"/>
      <c r="C68" s="82" t="n"/>
      <c r="D68" s="104" t="n"/>
      <c r="E68" s="106" t="n"/>
      <c r="F68" s="107" t="n"/>
      <c r="G68" s="107" t="n"/>
      <c r="H68" s="107" t="n"/>
      <c r="I68" s="107" t="n"/>
      <c r="J68" s="107" t="n"/>
      <c r="K68" s="107" t="n"/>
      <c r="L68" s="107" t="n"/>
    </row>
    <row r="69" ht="15" customHeight="1" s="56">
      <c r="C69" s="59" t="inlineStr">
        <is>
          <t>Total door-to-door</t>
        </is>
      </c>
      <c r="D69" s="109">
        <f>SUM(D55:D68)</f>
        <v/>
      </c>
    </row>
  </sheetData>
  <mergeCells count="23">
    <mergeCell ref="E56:L56"/>
    <mergeCell ref="E58:L58"/>
    <mergeCell ref="E68:L68"/>
    <mergeCell ref="C48:L48"/>
    <mergeCell ref="E55:L55"/>
    <mergeCell ref="E62:L62"/>
    <mergeCell ref="E67:L67"/>
    <mergeCell ref="B43:L43"/>
    <mergeCell ref="E64:L64"/>
    <mergeCell ref="C49:L49"/>
    <mergeCell ref="E63:L63"/>
    <mergeCell ref="B42:L42"/>
    <mergeCell ref="E60:L60"/>
    <mergeCell ref="E65:L65"/>
    <mergeCell ref="B44:L44"/>
    <mergeCell ref="E59:L59"/>
    <mergeCell ref="C47:L47"/>
    <mergeCell ref="C50:L50"/>
    <mergeCell ref="E61:L61"/>
    <mergeCell ref="E57:L57"/>
    <mergeCell ref="E54:L54"/>
    <mergeCell ref="E66:L66"/>
    <mergeCell ref="C51:L5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Shenyang – Comfort</t>
        </is>
      </c>
    </row>
    <row r="2" ht="15" customHeight="1" s="56">
      <c r="A2" s="62" t="inlineStr">
        <is>
          <t>Arrive a day early for rest, family room near the venue, MIAT + fast train out, overnight soft sleeper back to Beijing.</t>
        </is>
      </c>
    </row>
    <row r="3"/>
    <row r="4" ht="15" customHeight="1" s="56">
      <c r="A4" s="60" t="inlineStr">
        <is>
          <t>Days in destination (meals &amp; local transport)</t>
        </is>
      </c>
      <c r="B4" s="76" t="n">
        <v>4.5</v>
      </c>
      <c r="C4" s="62" t="inlineStr">
        <is>
          <t>12 Nov morning → midday 16 Nov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6"/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OM223 Ulaanbaatar → Beijing (PEK), 07:30–09:45</t>
        </is>
      </c>
      <c r="C10" s="83" t="inlineStr">
        <is>
          <t>12 Nov</t>
        </is>
      </c>
      <c r="D10" s="84" t="n">
        <v>0.09375</v>
      </c>
      <c r="E10" s="85" t="n">
        <v>151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30 Sep: MIAT 07:30–09:45 $151 pp (SlickTrip 30 Sep: $154)</t>
        </is>
      </c>
    </row>
    <row r="11" ht="26.85" customHeight="1" s="56">
      <c r="A11" s="81" t="n"/>
      <c r="B11" s="82" t="inlineStr">
        <is>
          <t>Air China Beijing (PEK) → Ulaanbaatar, nonstop 12:55–15:05</t>
        </is>
      </c>
      <c r="C11" s="83" t="inlineStr">
        <is>
          <t>16 Nov</t>
        </is>
      </c>
      <c r="D11" s="84" t="n">
        <v>0.09027777777777778</v>
      </c>
      <c r="E11" s="85" t="n">
        <v>171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Trip.com 30 Sep: Air China nonstop $171 pp (MIAT OM224 11:30 was $194 on Trip.com, $196.33 on SlickTrip)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High-speed rail Beijing Chaoyang → Shenyang North, 2nd class</t>
        </is>
      </c>
      <c r="C13" s="83" t="inlineStr">
        <is>
          <t>12 Nov (midday)</t>
        </is>
      </c>
      <c r="D13" s="84" t="n">
        <v>0.1138888888888889</v>
      </c>
      <c r="E13" s="85" t="n">
        <v>339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90" t="inlineStr">
        <is>
          <t>12306: 339 CNY; fastest 2 h 44 min</t>
        </is>
      </c>
    </row>
    <row r="14" ht="26.85" customHeight="1" s="56">
      <c r="A14" s="81" t="n"/>
      <c r="B14" s="82" t="inlineStr">
        <is>
          <t>Overnight train K54 Shenyang North 22:00 → Beijing 06:58, soft sleeper (4-berth cabin)</t>
        </is>
      </c>
      <c r="C14" s="83" t="inlineStr">
        <is>
          <t>15 Nov (night)</t>
        </is>
      </c>
      <c r="D14" s="84" t="n">
        <v>0.3736111111111111</v>
      </c>
      <c r="E14" s="85" t="n">
        <v>263</v>
      </c>
      <c r="F14" s="86" t="inlineStr">
        <is>
          <t>CNY</t>
        </is>
      </c>
      <c r="G14" s="87">
        <f>Compare!$B$6</f>
        <v/>
      </c>
      <c r="H14" s="88">
        <f>E14*G14*IF(F14="USD",Compare!$B$8,IF(F14="CNY",Compare!$B$9,IF(F14="HKD",Compare!$B$10,1)))</f>
        <v/>
      </c>
      <c r="I14" s="89">
        <f>E14</f>
        <v/>
      </c>
      <c r="J14" s="87">
        <f>Compare!$B$7</f>
        <v/>
      </c>
      <c r="K14" s="88">
        <f>I14*J14*IF(F14="USD",Compare!$B$8,IF(F14="CNY",Compare!$B$9,IF(F14="HKD",Compare!$B$10,1)))</f>
        <v/>
      </c>
      <c r="L14" s="90" t="inlineStr">
        <is>
          <t>Ctrip 1 Oct: K54 hard sleeper ¥171, soft sleeper ¥263 (4-berth cabin). Leaves 22:00, so a late closing ceremony is fine; replaces the evening G-train (¥339) + a Beijing hotel night. Air China through ticket SHE 09:00 → UB 15:05 ($286) is the fallback. 12306 3 Oct: same official fares; sales open 1 Nov 09:00 (Shenyang North).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26.85" customHeight="1" s="56">
      <c r="A16" s="81" t="n"/>
      <c r="B16" s="82" t="inlineStr">
        <is>
          <t>Shenyang RiCH Hotel, Sanhao St (~1.3 km to NEU Nanhu; Family Room sleeps 4, so one room for 3 or 4 ppl)</t>
        </is>
      </c>
      <c r="C16" s="83" t="inlineStr">
        <is>
          <t>12–15 Nov (3 nights)</t>
        </is>
      </c>
      <c r="D16" s="81" t="n"/>
      <c r="E16" s="85" t="n">
        <v>325.33</v>
      </c>
      <c r="F16" s="86" t="inlineStr">
        <is>
          <t>CNY</t>
        </is>
      </c>
      <c r="G16" s="91" t="n">
        <v>3</v>
      </c>
      <c r="H16" s="88">
        <f>E16*G16*IF(F16="USD",Compare!$B$8,IF(F16="CNY",Compare!$B$9,IF(F16="HKD",Compare!$B$10,1)))</f>
        <v/>
      </c>
      <c r="I16" s="85" t="n">
        <v>325.33</v>
      </c>
      <c r="J16" s="91" t="n">
        <v>3</v>
      </c>
      <c r="K16" s="88">
        <f>I16*J16*IF(F16="USD",Compare!$B$8,IF(F16="CNY",Compare!$B$9,IF(F16="HKD",Compare!$B$10,1)))</f>
        <v/>
      </c>
      <c r="L16" s="90" t="inlineStr">
        <is>
          <t>Trip.com 1 Oct: Family Room ¥976 for 3 nights, same price for 3 or 4 adults; rated 9.6 (1,802 reviews). Was Atour ¥527/night (3 ppl) / Mehood Lestie ¥718 (4 ppl, 2 rooms) on Booking.com</t>
        </is>
      </c>
    </row>
    <row r="17" ht="26.85" customHeight="1" s="56">
      <c r="A17" s="81" t="n"/>
      <c r="B17" s="82" t="n"/>
      <c r="C17" s="83" t="n"/>
      <c r="D17" s="81" t="n"/>
      <c r="E17" s="85" t="n"/>
      <c r="F17" s="86" t="n"/>
      <c r="G17" s="91" t="n"/>
      <c r="H17" s="88" t="n"/>
      <c r="I17" s="85" t="n"/>
      <c r="J17" s="91" t="n"/>
      <c r="K17" s="88" t="n"/>
      <c r="L17" s="90" t="n"/>
    </row>
    <row r="18" ht="15" customHeight="1" s="56">
      <c r="A18" s="79" t="inlineStr">
        <is>
          <t>Meals &amp; local transport</t>
        </is>
      </c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</row>
    <row r="19" ht="22.35" customHeight="1" s="56">
      <c r="A19" s="81" t="n"/>
      <c r="B19" s="82" t="inlineStr">
        <is>
          <t>Meals</t>
        </is>
      </c>
      <c r="C19" s="83" t="inlineStr">
        <is>
          <t>in destination</t>
        </is>
      </c>
      <c r="D19" s="81" t="n"/>
      <c r="E19" s="92" t="n">
        <v>80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93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90" t="inlineStr">
        <is>
          <t>ASSUMPTION 80 CNY/person/day; hosts usually provide some meals on contest days</t>
        </is>
      </c>
    </row>
    <row r="20" ht="15" customHeight="1" s="56">
      <c r="A20" s="81" t="n"/>
      <c r="B20" s="82" t="inlineStr">
        <is>
          <t>Local transport (metro, taxis)</t>
        </is>
      </c>
      <c r="C20" s="83" t="inlineStr">
        <is>
          <t>in destination</t>
        </is>
      </c>
      <c r="D20" s="81" t="n"/>
      <c r="E20" s="92" t="n">
        <v>30</v>
      </c>
      <c r="F20" s="86" t="inlineStr">
        <is>
          <t>CNY</t>
        </is>
      </c>
      <c r="G20" s="87">
        <f>Compare!$B$6*$B$4</f>
        <v/>
      </c>
      <c r="H20" s="88">
        <f>E20*G20*IF(F20="USD",Compare!$B$8,IF(F20="CNY",Compare!$B$9,IF(F20="HKD",Compare!$B$10,1)))</f>
        <v/>
      </c>
      <c r="I20" s="93">
        <f>E20</f>
        <v/>
      </c>
      <c r="J20" s="87">
        <f>Compare!$B$7*$B$4</f>
        <v/>
      </c>
      <c r="K20" s="88">
        <f>I20*J20*IF(F20="USD",Compare!$B$8,IF(F20="CNY",Compare!$B$9,IF(F20="HKD",Compare!$B$10,1)))</f>
        <v/>
      </c>
      <c r="L20" s="90" t="inlineStr">
        <is>
          <t>ASSUMPTION 30 CNY/person/day</t>
        </is>
      </c>
    </row>
    <row r="21" ht="15" customHeight="1" s="56">
      <c r="A21" s="94" t="inlineStr">
        <is>
          <t>PAID PERSONALLY (university won't cover)</t>
        </is>
      </c>
      <c r="B21" s="95" t="n"/>
      <c r="C21" s="95" t="n"/>
      <c r="D21" s="95" t="n"/>
      <c r="E21" s="95" t="n"/>
      <c r="F21" s="95" t="n"/>
      <c r="G21" s="95" t="n"/>
      <c r="H21" s="95" t="n"/>
      <c r="I21" s="95" t="n"/>
      <c r="J21" s="95" t="n"/>
      <c r="K21" s="95" t="n"/>
      <c r="L21" s="95" t="n"/>
    </row>
    <row r="22" ht="15" customHeight="1" s="56">
      <c r="A22" s="79" t="inlineStr">
        <is>
          <t>Contest fee</t>
        </is>
      </c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</row>
    <row r="23" ht="22.35" customHeight="1" s="56">
      <c r="A23" s="81" t="n"/>
      <c r="B23" s="82" t="inlineStr">
        <is>
          <t>Shenyang regional registration fee (per team)</t>
        </is>
      </c>
      <c r="C23" s="83" t="inlineStr">
        <is>
          <t>pay by mid-Oct</t>
        </is>
      </c>
      <c r="D23" s="81" t="n"/>
      <c r="E23" s="92" t="n">
        <v>1500</v>
      </c>
      <c r="F23" s="86" t="inlineStr">
        <is>
          <t>CNY</t>
        </is>
      </c>
      <c r="G23" s="91" t="n">
        <v>1</v>
      </c>
      <c r="H23" s="88">
        <f>E23*G23*IF(F23="USD",Compare!$B$8,IF(F23="CNY",Compare!$B$9,IF(F23="HKD",Compare!$B$10,1)))</f>
        <v/>
      </c>
      <c r="I23" s="93">
        <f>E23</f>
        <v/>
      </c>
      <c r="J23" s="91" t="n">
        <v>1</v>
      </c>
      <c r="K23" s="88">
        <f>I23*J23*IF(F23="USD",Compare!$B$8,IF(F23="CNY",Compare!$B$9,IF(F23="HKD",Compare!$B$10,1)))</f>
        <v/>
      </c>
      <c r="L23" s="90" t="inlineStr">
        <is>
          <t>ASSUMPTION: 1,500 CNY/team like recent EC regionals; 2026 Shenyang invitation not yet out</t>
        </is>
      </c>
    </row>
    <row r="24" ht="15" customHeight="1" s="56">
      <c r="A24" s="79" t="inlineStr">
        <is>
          <t>Other</t>
        </is>
      </c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</row>
    <row r="25" ht="15" customHeight="1" s="56">
      <c r="A25" s="81" t="n"/>
      <c r="B25" s="82" t="inlineStr">
        <is>
          <t>Taxi to/from Chinggis Khaan airport (UB), per trip</t>
        </is>
      </c>
      <c r="C25" s="83" t="inlineStr">
        <is>
          <t>out &amp; back</t>
        </is>
      </c>
      <c r="D25" s="84" t="n">
        <v>0.04166666666666666</v>
      </c>
      <c r="E25" s="92" t="n">
        <v>100000</v>
      </c>
      <c r="F25" s="86" t="inlineStr">
        <is>
          <t>MNT</t>
        </is>
      </c>
      <c r="G25" s="91" t="n">
        <v>2</v>
      </c>
      <c r="H25" s="88">
        <f>E25*G25*IF(F25="USD",Compare!$B$8,IF(F25="CNY",Compare!$B$9,IF(F25="HKD",Compare!$B$10,1)))</f>
        <v/>
      </c>
      <c r="I25" s="93">
        <f>E25</f>
        <v/>
      </c>
      <c r="J25" s="91" t="n">
        <v>2</v>
      </c>
      <c r="K25" s="88">
        <f>I25*J25*IF(F25="USD",Compare!$B$8,IF(F25="CNY",Compare!$B$9,IF(F25="HKD",Compare!$B$10,1)))</f>
        <v/>
      </c>
      <c r="L25" s="90" t="inlineStr">
        <is>
          <t>ASSUMPTION 100k MNT per trip for the group</t>
        </is>
      </c>
    </row>
    <row r="26" ht="15" customHeight="1" s="56">
      <c r="A26" s="81" t="n"/>
      <c r="B26" s="82" t="inlineStr">
        <is>
          <t>Travel medical insurance</t>
        </is>
      </c>
      <c r="C26" s="83" t="n"/>
      <c r="D26" s="81" t="n"/>
      <c r="E26" s="92" t="n">
        <v>30000</v>
      </c>
      <c r="F26" s="86" t="inlineStr">
        <is>
          <t>MNT</t>
        </is>
      </c>
      <c r="G26" s="87">
        <f>Compare!$B$6</f>
        <v/>
      </c>
      <c r="H26" s="88">
        <f>E26*G26*IF(F26="USD",Compare!$B$8,IF(F26="CNY",Compare!$B$9,IF(F26="HKD",Compare!$B$10,1)))</f>
        <v/>
      </c>
      <c r="I26" s="93">
        <f>E26</f>
        <v/>
      </c>
      <c r="J26" s="87">
        <f>Compare!$B$7</f>
        <v/>
      </c>
      <c r="K26" s="88">
        <f>I26*J26*IF(F26="USD",Compare!$B$8,IF(F26="CNY",Compare!$B$9,IF(F26="HKD",Compare!$B$10,1)))</f>
        <v/>
      </c>
      <c r="L26" s="90" t="inlineStr">
        <is>
          <t>ASSUMPTION ~30k MNT per person, Mongolian insurer</t>
        </is>
      </c>
    </row>
    <row r="27" ht="15" customHeight="1" s="56">
      <c r="A27" s="81" t="n"/>
      <c r="B27" s="82" t="inlineStr">
        <is>
          <t>Mobile data eSIM</t>
        </is>
      </c>
      <c r="C27" s="83" t="n"/>
      <c r="D27" s="81" t="n"/>
      <c r="E27" s="92" t="n">
        <v>10</v>
      </c>
      <c r="F27" s="86" t="inlineStr">
        <is>
          <t>USD</t>
        </is>
      </c>
      <c r="G27" s="87">
        <f>Compare!$B$6</f>
        <v/>
      </c>
      <c r="H27" s="88">
        <f>E27*G27*IF(F27="USD",Compare!$B$8,IF(F27="CNY",Compare!$B$9,IF(F27="HKD",Compare!$B$10,1)))</f>
        <v/>
      </c>
      <c r="I27" s="93">
        <f>E27</f>
        <v/>
      </c>
      <c r="J27" s="87">
        <f>Compare!$B$7</f>
        <v/>
      </c>
      <c r="K27" s="88">
        <f>I27*J27*IF(F27="USD",Compare!$B$8,IF(F27="CNY",Compare!$B$9,IF(F27="HKD",Compare!$B$10,1)))</f>
        <v/>
      </c>
      <c r="L27" s="90" t="inlineStr">
        <is>
          <t>ASSUMPTION ~$10 pp</t>
        </is>
      </c>
    </row>
    <row r="28" ht="22.35" customHeight="1" s="56">
      <c r="A28" s="81" t="n"/>
      <c r="B28" s="82" t="inlineStr">
        <is>
          <t>Visa</t>
        </is>
      </c>
      <c r="C28" s="83" t="n"/>
      <c r="D28" s="81" t="n"/>
      <c r="E28" s="85" t="n">
        <v>0</v>
      </c>
      <c r="F28" s="86" t="inlineStr">
        <is>
          <t>MNT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89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Mongolian passports: visa-free (mainland China up to 30 days; Hong Kong up to 14 days)</t>
        </is>
      </c>
    </row>
    <row r="29"/>
    <row r="30" ht="15" customHeight="1" s="56">
      <c r="G30" s="60" t="n"/>
      <c r="H30" s="96" t="inlineStr">
        <is>
          <t>3 people</t>
        </is>
      </c>
      <c r="K30" s="96" t="inlineStr">
        <is>
          <t>4 people</t>
        </is>
      </c>
    </row>
    <row r="31" ht="15" customHeight="1" s="56">
      <c r="G31" s="97" t="inlineStr">
        <is>
          <t>University-paid subtotal</t>
        </is>
      </c>
      <c r="H31" s="98">
        <f>SUM(H9:H20)</f>
        <v/>
      </c>
      <c r="K31" s="98">
        <f>SUM(K9:K20)</f>
        <v/>
      </c>
    </row>
    <row r="32" ht="15" customHeight="1" s="56">
      <c r="G32" s="99" t="inlineStr">
        <is>
          <t>Contingency</t>
        </is>
      </c>
      <c r="H32" s="100">
        <f>H31*Compare!$B$11</f>
        <v/>
      </c>
      <c r="K32" s="100">
        <f>K31*Compare!$B$11</f>
        <v/>
      </c>
    </row>
    <row r="33" ht="15" customHeight="1" s="56">
      <c r="G33" s="97" t="inlineStr">
        <is>
          <t>University-paid total incl. contingency</t>
        </is>
      </c>
      <c r="H33" s="98">
        <f>H31+H32</f>
        <v/>
      </c>
      <c r="K33" s="98">
        <f>K31+K32</f>
        <v/>
      </c>
    </row>
    <row r="34" ht="15" customHeight="1" s="56">
      <c r="G34" s="97" t="inlineStr">
        <is>
          <t>Funding left (negative = over)</t>
        </is>
      </c>
      <c r="H34" s="101">
        <f>Compare!$B$5-H33</f>
        <v/>
      </c>
      <c r="K34" s="101">
        <f>Compare!$B$5-K33</f>
        <v/>
      </c>
    </row>
    <row r="35" ht="15" customHeight="1" s="56">
      <c r="G35" s="97" t="inlineStr">
        <is>
          <t>Personal costs – team</t>
        </is>
      </c>
      <c r="H35" s="102">
        <f>SUM(H22:H28)</f>
        <v/>
      </c>
      <c r="K35" s="102">
        <f>SUM(K22:K28)</f>
        <v/>
      </c>
    </row>
    <row r="36" ht="15" customHeight="1" s="56">
      <c r="G36" s="97" t="inlineStr">
        <is>
          <t>Out-of-pocket per person (personal + any overrun)</t>
        </is>
      </c>
      <c r="H36" s="102">
        <f>(H35+MAX(0,-H34))/Compare!$B$6</f>
        <v/>
      </c>
      <c r="K36" s="102">
        <f>(K35+MAX(0,-K34))/Compare!$B$7</f>
        <v/>
      </c>
    </row>
    <row r="37" ht="15" customHeight="1" s="56">
      <c r="G37" s="97" t="inlineStr">
        <is>
          <t>Whole trip cost (university + personal)</t>
        </is>
      </c>
      <c r="H37" s="103">
        <f>H33+H35</f>
        <v/>
      </c>
      <c r="K37" s="103">
        <f>K33+K35</f>
        <v/>
      </c>
    </row>
    <row r="38" ht="15" customHeight="1" s="56">
      <c r="G38" s="99" t="inlineStr">
        <is>
          <t>Time in planes &amp; trains</t>
        </is>
      </c>
      <c r="H38" s="104">
        <f>SUM(D10:D11)+SUM(D13:D14)</f>
        <v/>
      </c>
      <c r="K38" s="104">
        <f>SUM(D10:D11)+SUM(D13:D14)</f>
        <v/>
      </c>
    </row>
    <row r="39"/>
    <row r="40" ht="15" customHeight="1" s="56">
      <c r="A40" s="72" t="inlineStr">
        <is>
          <t>Key facts</t>
        </is>
      </c>
    </row>
    <row r="41" ht="15" customHeight="1" s="56">
      <c r="A41" s="75" t="inlineStr">
        <is>
          <t>Contest</t>
        </is>
      </c>
      <c r="B41" s="74" t="inlineStr">
        <is>
          <t>Asia Shenyang Regional, 14–15 Nov 2026 (provisional), Northeastern University Nanhu campus (2025 venue).</t>
        </is>
      </c>
    </row>
    <row r="42" ht="15" customHeight="1" s="56">
      <c r="A42" s="75" t="inlineStr">
        <is>
          <t>Why this plan</t>
        </is>
      </c>
      <c r="B42" s="74" t="inlineStr">
        <is>
          <t>A full rest day before registration, hotel close to the venue, same cheap MIAT + rail route.</t>
        </is>
      </c>
    </row>
    <row r="43" ht="15" customHeight="1" s="56">
      <c r="A43" s="75" t="inlineStr">
        <is>
          <t>Trade-off</t>
        </is>
      </c>
      <c r="B43" s="74" t="inlineStr">
        <is>
          <t>Two extra hotel nights and meals; very early flight from UB on 12 Nov; one night on the train back.</t>
        </is>
      </c>
    </row>
    <row r="44"/>
    <row r="45" ht="15" customHeight="1" s="56">
      <c r="A45" s="72" t="inlineStr">
        <is>
          <t>Day-by-day plan</t>
        </is>
      </c>
    </row>
    <row r="46" ht="15" customHeight="1" s="56">
      <c r="A46" s="96" t="inlineStr">
        <is>
          <t>Date</t>
        </is>
      </c>
      <c r="B46" s="96" t="inlineStr">
        <is>
          <t>Sleep in</t>
        </is>
      </c>
      <c r="C46" s="96" t="inlineStr">
        <is>
          <t>What happens</t>
        </is>
      </c>
    </row>
    <row r="47" ht="15" customHeight="1" s="56">
      <c r="A47" s="74" t="inlineStr">
        <is>
          <t>Thu 12 Nov</t>
        </is>
      </c>
      <c r="B47" s="74" t="inlineStr">
        <is>
          <t>Shenyang</t>
        </is>
      </c>
      <c r="C47" s="74" t="inlineStr">
        <is>
          <t>MIAT OM223 UB 07:30 → Beijing 09:45; G-train Beijing Chaoyang → Shenyang North (~12:30 → ~15:15). RiCH Hotel near NEU.</t>
        </is>
      </c>
    </row>
    <row r="48" ht="15" customHeight="1" s="56">
      <c r="A48" s="74" t="inlineStr">
        <is>
          <t>Fri 13 Nov</t>
        </is>
      </c>
      <c r="B48" s="74" t="inlineStr">
        <is>
          <t>Shenyang</t>
        </is>
      </c>
      <c r="C48" s="74" t="inlineStr">
        <is>
          <t>Rest / practice day in Shenyang.</t>
        </is>
      </c>
    </row>
    <row r="49" ht="15" customHeight="1" s="56">
      <c r="A49" s="74" t="inlineStr">
        <is>
          <t>Sat 14 Nov</t>
        </is>
      </c>
      <c r="B49" s="74" t="inlineStr">
        <is>
          <t>Shenyang</t>
        </is>
      </c>
      <c r="C49" s="74" t="inlineStr">
        <is>
          <t>Registration &amp; practice at NEU Nanhu (walkable from hotel).</t>
        </is>
      </c>
    </row>
    <row r="50" ht="15" customHeight="1" s="56">
      <c r="A50" s="74" t="inlineStr">
        <is>
          <t>Sun 15 Nov</t>
        </is>
      </c>
      <c r="B50" s="74" t="inlineStr">
        <is>
          <t>Train</t>
        </is>
      </c>
      <c r="C50" s="74" t="inlineStr">
        <is>
          <t>SHENYANG REGIONAL contest day. K54 soft sleeper Shenyang North 22:00 → Beijing 06:58.</t>
        </is>
      </c>
    </row>
    <row r="51" ht="15" customHeight="1" s="56">
      <c r="A51" s="74" t="inlineStr">
        <is>
          <t>Mon 16 Nov</t>
        </is>
      </c>
      <c r="B51" s="74" t="inlineStr">
        <is>
          <t>Home</t>
        </is>
      </c>
      <c r="C51" s="74" t="inlineStr">
        <is>
          <t>Beijing station → PEK by metro + Airport Express. Air China Beijing Capital 12:55 → UB 15:05 (nonstop).</t>
        </is>
      </c>
    </row>
    <row r="52"/>
    <row r="53" ht="15" customHeight="1" s="56">
      <c r="A53" s="72" t="inlineStr">
        <is>
          <t>Door-to-door travel times</t>
        </is>
      </c>
    </row>
    <row r="54" ht="15" customHeight="1" s="56">
      <c r="A54" s="96" t="inlineStr">
        <is>
          <t>Date</t>
        </is>
      </c>
      <c r="B54" s="96" t="inlineStr">
        <is>
          <t>Leg</t>
        </is>
      </c>
      <c r="C54" s="96" t="inlineStr">
        <is>
          <t>Mode</t>
        </is>
      </c>
      <c r="D54" s="96" t="inlineStr">
        <is>
          <t>Expected time</t>
        </is>
      </c>
      <c r="E54" s="96" t="inlineStr">
        <is>
          <t>Notes</t>
        </is>
      </c>
    </row>
    <row r="55" ht="15" customHeight="1" s="56">
      <c r="A55" s="105" t="inlineStr">
        <is>
          <t>12 Nov</t>
        </is>
      </c>
      <c r="B55" s="105" t="inlineStr">
        <is>
          <t>Home → Chinggis Khaan airport</t>
        </is>
      </c>
      <c r="C55" s="82" t="inlineStr">
        <is>
          <t>Taxi (~50 km)</t>
        </is>
      </c>
      <c r="D55" s="104" t="n">
        <v>0.04166666666666666</v>
      </c>
      <c r="E55" s="106" t="inlineStr">
        <is>
          <t>Leave ~04:30 for 07:30 flight</t>
        </is>
      </c>
      <c r="F55" s="107" t="n"/>
      <c r="G55" s="107" t="n"/>
      <c r="H55" s="107" t="n"/>
      <c r="I55" s="107" t="n"/>
      <c r="J55" s="107" t="n"/>
      <c r="K55" s="107" t="n"/>
      <c r="L55" s="107" t="n"/>
    </row>
    <row r="56" ht="26.85" customHeight="1" s="56">
      <c r="A56" s="105" t="inlineStr">
        <is>
          <t>12 Nov</t>
        </is>
      </c>
      <c r="B56" s="105" t="inlineStr">
        <is>
          <t>Ulaanbaatar → Beijing (PEK)</t>
        </is>
      </c>
      <c r="C56" s="82" t="inlineStr">
        <is>
          <t>MIAT OM223 07:30–09:45</t>
        </is>
      </c>
      <c r="D56" s="84" t="n">
        <v>0.09375</v>
      </c>
      <c r="E56" s="106" t="n"/>
      <c r="F56" s="107" t="n"/>
      <c r="G56" s="107" t="n"/>
      <c r="H56" s="107" t="n"/>
      <c r="I56" s="107" t="n"/>
      <c r="J56" s="107" t="n"/>
      <c r="K56" s="107" t="n"/>
      <c r="L56" s="107" t="n"/>
    </row>
    <row r="57" ht="15" customHeight="1" s="56">
      <c r="A57" s="105" t="inlineStr">
        <is>
          <t>12 Nov</t>
        </is>
      </c>
      <c r="B57" s="105" t="inlineStr">
        <is>
          <t>PEK arrival: immigration, bags</t>
        </is>
      </c>
      <c r="C57" s="82" t="inlineStr">
        <is>
          <t>—</t>
        </is>
      </c>
      <c r="D57" s="104" t="n">
        <v>0.03125</v>
      </c>
      <c r="E57" s="106" t="inlineStr">
        <is>
          <t>Estimate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15" customHeight="1" s="56">
      <c r="A58" s="105" t="inlineStr">
        <is>
          <t>12 Nov</t>
        </is>
      </c>
      <c r="B58" s="105" t="inlineStr">
        <is>
          <t>PEK → Beijing Chaoyang station</t>
        </is>
      </c>
      <c r="C58" s="82" t="inlineStr">
        <is>
          <t>Taxi (~20 km)</t>
        </is>
      </c>
      <c r="D58" s="104" t="n">
        <v>0.02777777777777778</v>
      </c>
      <c r="E58" s="106" t="inlineStr">
        <is>
          <t>Estimate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12 Nov</t>
        </is>
      </c>
      <c r="B59" s="105" t="inlineStr">
        <is>
          <t>Beijing Chaoyang → Shenyang North</t>
        </is>
      </c>
      <c r="C59" s="82" t="inlineStr">
        <is>
          <t>G-train 2nd class</t>
        </is>
      </c>
      <c r="D59" s="84" t="n">
        <v>0.1138888888888889</v>
      </c>
      <c r="E59" s="106" t="n"/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A60" s="105" t="inlineStr">
        <is>
          <t>12 Nov</t>
        </is>
      </c>
      <c r="B60" s="105" t="inlineStr">
        <is>
          <t>Shenyang North → hotel near NEU</t>
        </is>
      </c>
      <c r="C60" s="82" t="inlineStr">
        <is>
          <t>Taxi</t>
        </is>
      </c>
      <c r="D60" s="104" t="n">
        <v>0.01736111111111111</v>
      </c>
      <c r="E60" s="106" t="inlineStr">
        <is>
          <t>Estimate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13–15 Nov</t>
        </is>
      </c>
      <c r="B61" s="105" t="inlineStr">
        <is>
          <t>Hotel ↔ NEU Nanhu (each way)</t>
        </is>
      </c>
      <c r="C61" s="82" t="inlineStr">
        <is>
          <t>Walk</t>
        </is>
      </c>
      <c r="D61" s="108" t="inlineStr">
        <is>
          <t>daily</t>
        </is>
      </c>
      <c r="E61" s="106" t="inlineStr">
        <is>
          <t>~18 min walk (RiCH Hotel, 1.3 km)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15 Nov</t>
        </is>
      </c>
      <c r="B62" s="105" t="inlineStr">
        <is>
          <t>NEU Nanhu → Shenyang North</t>
        </is>
      </c>
      <c r="C62" s="82" t="inlineStr">
        <is>
          <t>Taxi</t>
        </is>
      </c>
      <c r="D62" s="104" t="n">
        <v>0.01736111111111111</v>
      </c>
      <c r="E62" s="106" t="n"/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15–16 Nov</t>
        </is>
      </c>
      <c r="B63" s="105" t="inlineStr">
        <is>
          <t>Shenyang North → Beijing</t>
        </is>
      </c>
      <c r="C63" s="82" t="inlineStr">
        <is>
          <t>K54 soft sleeper 22:00–06:58</t>
        </is>
      </c>
      <c r="D63" s="84" t="n">
        <v>0.3736111111111111</v>
      </c>
      <c r="E63" s="106" t="inlineStr">
        <is>
          <t>Overnight</t>
        </is>
      </c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16 Nov</t>
        </is>
      </c>
      <c r="B64" s="105" t="inlineStr">
        <is>
          <t>Beijing station → PEK</t>
        </is>
      </c>
      <c r="C64" s="82" t="inlineStr">
        <is>
          <t>Metro line 2 + Airport Express</t>
        </is>
      </c>
      <c r="D64" s="104" t="n">
        <v>0.04166666666666666</v>
      </c>
      <c r="E64" s="106" t="inlineStr">
        <is>
          <t>Be at PEK by ~10:55</t>
        </is>
      </c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16 Nov</t>
        </is>
      </c>
      <c r="B65" s="105" t="inlineStr">
        <is>
          <t>Beijing (PEK) → Ulaanbaatar</t>
        </is>
      </c>
      <c r="C65" s="82" t="inlineStr">
        <is>
          <t>Air China 12:55–15:05</t>
        </is>
      </c>
      <c r="D65" s="104" t="n">
        <v>0.09027777777777778</v>
      </c>
      <c r="E65" s="106" t="n"/>
      <c r="F65" s="107" t="n"/>
      <c r="G65" s="107" t="n"/>
      <c r="H65" s="107" t="n"/>
      <c r="I65" s="107" t="n"/>
      <c r="J65" s="107" t="n"/>
      <c r="K65" s="107" t="n"/>
      <c r="L65" s="107" t="n"/>
    </row>
    <row r="66" ht="26.85" customHeight="1" s="56">
      <c r="A66" s="105" t="inlineStr">
        <is>
          <t>16 Nov</t>
        </is>
      </c>
      <c r="B66" s="105" t="inlineStr">
        <is>
          <t>Chinggis Khaan airport → home</t>
        </is>
      </c>
      <c r="C66" s="82" t="inlineStr">
        <is>
          <t>Taxi</t>
        </is>
      </c>
      <c r="D66" s="84" t="n">
        <v>0.04166666666666666</v>
      </c>
      <c r="E66" s="106" t="n"/>
      <c r="F66" s="107" t="n"/>
      <c r="G66" s="107" t="n"/>
      <c r="H66" s="107" t="n"/>
      <c r="I66" s="107" t="n"/>
      <c r="J66" s="107" t="n"/>
      <c r="K66" s="107" t="n"/>
      <c r="L66" s="107" t="n"/>
    </row>
    <row r="67" ht="14.15" customHeight="1" s="56">
      <c r="A67" s="105" t="n"/>
      <c r="B67" s="105" t="n"/>
      <c r="C67" s="82" t="n"/>
      <c r="D67" s="104" t="n"/>
      <c r="E67" s="106" t="n"/>
      <c r="F67" s="107" t="n"/>
      <c r="G67" s="107" t="n"/>
      <c r="H67" s="107" t="n"/>
      <c r="I67" s="107" t="n"/>
      <c r="J67" s="107" t="n"/>
      <c r="K67" s="107" t="n"/>
      <c r="L67" s="107" t="n"/>
    </row>
    <row r="68" ht="15" customHeight="1" s="56">
      <c r="C68" s="59" t="inlineStr">
        <is>
          <t>Total door-to-door</t>
        </is>
      </c>
      <c r="D68" s="109">
        <f>SUM(D55:D67)</f>
        <v/>
      </c>
    </row>
  </sheetData>
  <mergeCells count="23">
    <mergeCell ref="E56:L56"/>
    <mergeCell ref="E58:L58"/>
    <mergeCell ref="C48:L48"/>
    <mergeCell ref="E55:L55"/>
    <mergeCell ref="E62:L62"/>
    <mergeCell ref="E67:L67"/>
    <mergeCell ref="B43:L43"/>
    <mergeCell ref="E64:L64"/>
    <mergeCell ref="C49:L49"/>
    <mergeCell ref="E63:L63"/>
    <mergeCell ref="B42:L42"/>
    <mergeCell ref="E60:L60"/>
    <mergeCell ref="E65:L65"/>
    <mergeCell ref="E59:L59"/>
    <mergeCell ref="C47:L47"/>
    <mergeCell ref="C50:L50"/>
    <mergeCell ref="E61:L61"/>
    <mergeCell ref="E57:L57"/>
    <mergeCell ref="E54:L54"/>
    <mergeCell ref="E66:L66"/>
    <mergeCell ref="C51:L51"/>
    <mergeCell ref="C46:L46"/>
    <mergeCell ref="B41:L4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Hong Kong – Budget</t>
        </is>
      </c>
    </row>
    <row r="2" ht="15" customHeight="1" s="56">
      <c r="A2" s="62" t="inlineStr">
        <is>
          <t>MIAT nonstop both ways; guesthouse rooms in Tsim Sha Tsui (Kowloon), ~35 min MTR to HKU.</t>
        </is>
      </c>
    </row>
    <row r="3"/>
    <row r="4" ht="15" customHeight="1" s="56">
      <c r="A4" s="60" t="inlineStr">
        <is>
          <t>Days in destination (meals &amp; local transport)</t>
        </is>
      </c>
      <c r="B4" s="76" t="n">
        <v>3.5</v>
      </c>
      <c r="C4" s="62" t="inlineStr">
        <is>
          <t>8 Jan midday → 11 Jan morning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6"/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OM297 Ulaanbaatar → Hong Kong, nonstop 06:45–11:25</t>
        </is>
      </c>
      <c r="C10" s="83" t="inlineStr">
        <is>
          <t>8 Jan</t>
        </is>
      </c>
      <c r="D10" s="84" t="n">
        <v>0.1944444444444444</v>
      </c>
      <c r="E10" s="85" t="n">
        <v>291.5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30 Sep: MIAT return $583 pp, split half each way (SlickTrip 30 Sep: $590.50 pp)</t>
        </is>
      </c>
    </row>
    <row r="11" ht="26.85" customHeight="1" s="56">
      <c r="A11" s="81" t="n"/>
      <c r="B11" s="82" t="inlineStr">
        <is>
          <t>MIAT OM298 Hong Kong → Ulaanbaatar, nonstop 12:25–17:05</t>
        </is>
      </c>
      <c r="C11" s="83" t="inlineStr">
        <is>
          <t>11 Jan</t>
        </is>
      </c>
      <c r="D11" s="84" t="n">
        <v>0.1944444444444444</v>
      </c>
      <c r="E11" s="85" t="n">
        <v>291.5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Return half of the $583 pp Trip.com round trip</t>
        </is>
      </c>
    </row>
    <row r="12" ht="15" customHeight="1" s="56">
      <c r="A12" s="79" t="inlineStr">
        <is>
          <t>Accommodation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Premium Lounge guesthouse, Chungking Mansion, Tsim Sha Tsui (3 ppl 1 room; 4 ppl 2 rooms)</t>
        </is>
      </c>
      <c r="C13" s="83" t="inlineStr">
        <is>
          <t>8–11 Jan (3 nights)</t>
        </is>
      </c>
      <c r="D13" s="81" t="n"/>
      <c r="E13" s="85" t="n">
        <v>435.96</v>
      </c>
      <c r="F13" s="86" t="inlineStr">
        <is>
          <t>HKD</t>
        </is>
      </c>
      <c r="G13" s="91" t="n">
        <v>3</v>
      </c>
      <c r="H13" s="88">
        <f>E13*G13*IF(F13="USD",Compare!$B$8,IF(F13="CNY",Compare!$B$9,IF(F13="HKD",Compare!$B$10,1)))</f>
        <v/>
      </c>
      <c r="I13" s="85" t="n">
        <v>596.61</v>
      </c>
      <c r="J13" s="91" t="n">
        <v>3</v>
      </c>
      <c r="K13" s="88">
        <f>I13*J13*IF(F13="USD",Compare!$B$8,IF(F13="CNY",Compare!$B$9,IF(F13="HKD",Compare!$B$10,1)))</f>
        <v/>
      </c>
      <c r="L13" s="90" t="inlineStr">
        <is>
          <t>Booking.com 8–11 Jan: 1,307.88 HKD (3 ppl) / 1,789.83 HKD (4 ppl, 2 rooms) for 3 nights; rated 8.1 (1,228 reviews)</t>
        </is>
      </c>
    </row>
    <row r="14" ht="15" customHeight="1" s="56">
      <c r="A14" s="79" t="inlineStr">
        <is>
          <t>Meals &amp; local transport</t>
        </is>
      </c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</row>
    <row r="15" ht="15" customHeight="1" s="56">
      <c r="A15" s="81" t="n"/>
      <c r="B15" s="82" t="inlineStr">
        <is>
          <t>Meals</t>
        </is>
      </c>
      <c r="C15" s="83" t="inlineStr">
        <is>
          <t>in Hong Kong</t>
        </is>
      </c>
      <c r="D15" s="81" t="n"/>
      <c r="E15" s="92" t="n">
        <v>180</v>
      </c>
      <c r="F15" s="86" t="inlineStr">
        <is>
          <t>HKD</t>
        </is>
      </c>
      <c r="G15" s="87">
        <f>Compare!$B$6*$B$4</f>
        <v/>
      </c>
      <c r="H15" s="88">
        <f>E15*G15*IF(F15="USD",Compare!$B$8,IF(F15="CNY",Compare!$B$9,IF(F15="HKD",Compare!$B$10,1)))</f>
        <v/>
      </c>
      <c r="I15" s="93">
        <f>E15</f>
        <v/>
      </c>
      <c r="J15" s="87">
        <f>Compare!$B$7*$B$4</f>
        <v/>
      </c>
      <c r="K15" s="88">
        <f>I15*J15*IF(F15="USD",Compare!$B$8,IF(F15="CNY",Compare!$B$9,IF(F15="HKD",Compare!$B$10,1)))</f>
        <v/>
      </c>
      <c r="L15" s="90" t="inlineStr">
        <is>
          <t>ASSUMPTION ~180 HKD/person/day (cha chaan teng, canteens)</t>
        </is>
      </c>
    </row>
    <row r="16" ht="15" customHeight="1" s="56">
      <c r="A16" s="81" t="n"/>
      <c r="B16" s="82" t="inlineStr">
        <is>
          <t>MTR / buses (Octopus card)</t>
        </is>
      </c>
      <c r="C16" s="83" t="inlineStr">
        <is>
          <t>in Hong Kong</t>
        </is>
      </c>
      <c r="D16" s="81" t="n"/>
      <c r="E16" s="92" t="n">
        <v>40</v>
      </c>
      <c r="F16" s="86" t="inlineStr">
        <is>
          <t>HKD</t>
        </is>
      </c>
      <c r="G16" s="87">
        <f>Compare!$B$6*$B$4</f>
        <v/>
      </c>
      <c r="H16" s="88">
        <f>E16*G16*IF(F16="USD",Compare!$B$8,IF(F16="CNY",Compare!$B$9,IF(F16="HKD",Compare!$B$10,1)))</f>
        <v/>
      </c>
      <c r="I16" s="93">
        <f>E16</f>
        <v/>
      </c>
      <c r="J16" s="87">
        <f>Compare!$B$7*$B$4</f>
        <v/>
      </c>
      <c r="K16" s="88">
        <f>I16*J16*IF(F16="USD",Compare!$B$8,IF(F16="CNY",Compare!$B$9,IF(F16="HKD",Compare!$B$10,1)))</f>
        <v/>
      </c>
      <c r="L16" s="90" t="inlineStr">
        <is>
          <t>ASSUMPTION ~40 HKD/person/day</t>
        </is>
      </c>
    </row>
    <row r="17" ht="15" customHeight="1" s="56">
      <c r="A17" s="81" t="n"/>
      <c r="B17" s="82" t="inlineStr">
        <is>
          <t>Airport Express, both ways</t>
        </is>
      </c>
      <c r="C17" s="83" t="inlineStr">
        <is>
          <t>8 &amp; 11 Jan (HKG ↔ Kowloon)</t>
        </is>
      </c>
      <c r="D17" s="81" t="n"/>
      <c r="E17" s="92" t="n">
        <v>230</v>
      </c>
      <c r="F17" s="86" t="inlineStr">
        <is>
          <t>HKD</t>
        </is>
      </c>
      <c r="G17" s="87">
        <f>Compare!$B$6</f>
        <v/>
      </c>
      <c r="H17" s="88">
        <f>E17*G17*IF(F17="USD",Compare!$B$8,IF(F17="CNY",Compare!$B$9,IF(F17="HKD",Compare!$B$10,1)))</f>
        <v/>
      </c>
      <c r="I17" s="93">
        <f>E17</f>
        <v/>
      </c>
      <c r="J17" s="87">
        <f>Compare!$B$7</f>
        <v/>
      </c>
      <c r="K17" s="88">
        <f>I17*J17*IF(F17="USD",Compare!$B$8,IF(F17="CNY",Compare!$B$9,IF(F17="HKD",Compare!$B$10,1)))</f>
        <v/>
      </c>
      <c r="L17" s="90" t="inlineStr">
        <is>
          <t>ASSUMPTION ~115 HKD per person each way (recent adult single fare)</t>
        </is>
      </c>
    </row>
    <row r="18" ht="15" customHeight="1" s="56">
      <c r="A18" s="94" t="inlineStr">
        <is>
          <t>PAID PERSONALLY (university won't cover)</t>
        </is>
      </c>
      <c r="B18" s="95" t="n"/>
      <c r="C18" s="95" t="n"/>
      <c r="D18" s="95" t="n"/>
      <c r="E18" s="95" t="n"/>
      <c r="F18" s="95" t="n"/>
      <c r="G18" s="95" t="n"/>
      <c r="H18" s="95" t="n"/>
      <c r="I18" s="95" t="n"/>
      <c r="J18" s="95" t="n"/>
      <c r="K18" s="95" t="n"/>
      <c r="L18" s="95" t="n"/>
    </row>
    <row r="19" ht="15" customHeight="1" s="56">
      <c r="A19" s="79" t="inlineStr">
        <is>
          <t>Contest fee</t>
        </is>
      </c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</row>
    <row r="20" ht="22.35" customHeight="1" s="56">
      <c r="A20" s="81" t="n"/>
      <c r="B20" s="82" t="inlineStr">
        <is>
          <t>Hong Kong regional registration fee (per team)</t>
        </is>
      </c>
      <c r="C20" s="83" t="inlineStr">
        <is>
          <t>TBC</t>
        </is>
      </c>
      <c r="D20" s="81" t="n"/>
      <c r="E20" s="85" t="n">
        <v>1800</v>
      </c>
      <c r="F20" s="86" t="inlineStr">
        <is>
          <t>HKD</t>
        </is>
      </c>
      <c r="G20" s="91" t="n">
        <v>1</v>
      </c>
      <c r="H20" s="88">
        <f>E20*G20*IF(F20="USD",Compare!$B$8,IF(F20="CNY",Compare!$B$9,IF(F20="HKD",Compare!$B$10,1)))</f>
        <v/>
      </c>
      <c r="I20" s="89">
        <f>E20</f>
        <v/>
      </c>
      <c r="J20" s="91" t="n">
        <v>1</v>
      </c>
      <c r="K20" s="88">
        <f>I20*J20*IF(F20="USD",Compare!$B$8,IF(F20="CNY",Compare!$B$9,IF(F20="HKD",Compare!$B$10,1)))</f>
        <v/>
      </c>
      <c r="L20" s="90" t="inlineStr">
        <is>
          <t>1,800 HKD/team at the 2025 Hong Kong regional (HKUST); 2026 host listed as HKU – confirm</t>
        </is>
      </c>
    </row>
    <row r="21" ht="15" customHeight="1" s="56">
      <c r="A21" s="79" t="inlineStr">
        <is>
          <t>Other</t>
        </is>
      </c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</row>
    <row r="22" ht="15" customHeight="1" s="56">
      <c r="A22" s="81" t="n"/>
      <c r="B22" s="82" t="inlineStr">
        <is>
          <t>Taxi to/from Chinggis Khaan airport (UB), per trip</t>
        </is>
      </c>
      <c r="C22" s="83" t="inlineStr">
        <is>
          <t>out &amp; back</t>
        </is>
      </c>
      <c r="D22" s="84" t="n">
        <v>0.04166666666666666</v>
      </c>
      <c r="E22" s="92" t="n">
        <v>100000</v>
      </c>
      <c r="F22" s="86" t="inlineStr">
        <is>
          <t>MNT</t>
        </is>
      </c>
      <c r="G22" s="91" t="n">
        <v>2</v>
      </c>
      <c r="H22" s="88">
        <f>E22*G22*IF(F22="USD",Compare!$B$8,IF(F22="CNY",Compare!$B$9,IF(F22="HKD",Compare!$B$10,1)))</f>
        <v/>
      </c>
      <c r="I22" s="93">
        <f>E22</f>
        <v/>
      </c>
      <c r="J22" s="91" t="n">
        <v>2</v>
      </c>
      <c r="K22" s="88">
        <f>I22*J22*IF(F22="USD",Compare!$B$8,IF(F22="CNY",Compare!$B$9,IF(F22="HKD",Compare!$B$10,1)))</f>
        <v/>
      </c>
      <c r="L22" s="90" t="inlineStr">
        <is>
          <t>ASSUMPTION 100k MNT per trip for the group</t>
        </is>
      </c>
    </row>
    <row r="23" ht="15" customHeight="1" s="56">
      <c r="A23" s="81" t="n"/>
      <c r="B23" s="82" t="inlineStr">
        <is>
          <t>Travel medical insurance</t>
        </is>
      </c>
      <c r="C23" s="83" t="n"/>
      <c r="D23" s="81" t="n"/>
      <c r="E23" s="92" t="n">
        <v>30000</v>
      </c>
      <c r="F23" s="86" t="inlineStr">
        <is>
          <t>MNT</t>
        </is>
      </c>
      <c r="G23" s="87">
        <f>Compare!$B$6</f>
        <v/>
      </c>
      <c r="H23" s="88">
        <f>E23*G23*IF(F23="USD",Compare!$B$8,IF(F23="CNY",Compare!$B$9,IF(F23="HKD",Compare!$B$10,1)))</f>
        <v/>
      </c>
      <c r="I23" s="93">
        <f>E23</f>
        <v/>
      </c>
      <c r="J23" s="87">
        <f>Compare!$B$7</f>
        <v/>
      </c>
      <c r="K23" s="88">
        <f>I23*J23*IF(F23="USD",Compare!$B$8,IF(F23="CNY",Compare!$B$9,IF(F23="HKD",Compare!$B$10,1)))</f>
        <v/>
      </c>
      <c r="L23" s="90" t="inlineStr">
        <is>
          <t>ASSUMPTION ~30k MNT per person, Mongolian insurer</t>
        </is>
      </c>
    </row>
    <row r="24" ht="15" customHeight="1" s="56">
      <c r="A24" s="81" t="n"/>
      <c r="B24" s="82" t="inlineStr">
        <is>
          <t>Mobile data eSIM</t>
        </is>
      </c>
      <c r="C24" s="83" t="n"/>
      <c r="D24" s="81" t="n"/>
      <c r="E24" s="92" t="n">
        <v>10</v>
      </c>
      <c r="F24" s="86" t="inlineStr">
        <is>
          <t>USD</t>
        </is>
      </c>
      <c r="G24" s="87">
        <f>Compare!$B$6</f>
        <v/>
      </c>
      <c r="H24" s="88">
        <f>E24*G24*IF(F24="USD",Compare!$B$8,IF(F24="CNY",Compare!$B$9,IF(F24="HKD",Compare!$B$10,1)))</f>
        <v/>
      </c>
      <c r="I24" s="93">
        <f>E24</f>
        <v/>
      </c>
      <c r="J24" s="87">
        <f>Compare!$B$7</f>
        <v/>
      </c>
      <c r="K24" s="88">
        <f>I24*J24*IF(F24="USD",Compare!$B$8,IF(F24="CNY",Compare!$B$9,IF(F24="HKD",Compare!$B$10,1)))</f>
        <v/>
      </c>
      <c r="L24" s="90" t="inlineStr">
        <is>
          <t>ASSUMPTION ~$10 pp</t>
        </is>
      </c>
    </row>
    <row r="25" ht="22.35" customHeight="1" s="56">
      <c r="A25" s="81" t="n"/>
      <c r="B25" s="82" t="inlineStr">
        <is>
          <t>Visa</t>
        </is>
      </c>
      <c r="C25" s="83" t="n"/>
      <c r="D25" s="81" t="n"/>
      <c r="E25" s="85" t="n">
        <v>0</v>
      </c>
      <c r="F25" s="86" t="inlineStr">
        <is>
          <t>MNT</t>
        </is>
      </c>
      <c r="G25" s="87">
        <f>Compare!$B$6</f>
        <v/>
      </c>
      <c r="H25" s="88">
        <f>E25*G25*IF(F25="USD",Compare!$B$8,IF(F25="CNY",Compare!$B$9,IF(F25="HKD",Compare!$B$10,1)))</f>
        <v/>
      </c>
      <c r="I25" s="89">
        <f>E25</f>
        <v/>
      </c>
      <c r="J25" s="87">
        <f>Compare!$B$7</f>
        <v/>
      </c>
      <c r="K25" s="88">
        <f>I25*J25*IF(F25="USD",Compare!$B$8,IF(F25="CNY",Compare!$B$9,IF(F25="HKD",Compare!$B$10,1)))</f>
        <v/>
      </c>
      <c r="L25" s="90" t="inlineStr">
        <is>
          <t>Mongolian passports: visa-free (mainland China up to 30 days; Hong Kong up to 14 days)</t>
        </is>
      </c>
    </row>
    <row r="26"/>
    <row r="27" ht="15" customHeight="1" s="56">
      <c r="G27" s="60" t="n"/>
      <c r="H27" s="96" t="inlineStr">
        <is>
          <t>3 people</t>
        </is>
      </c>
      <c r="K27" s="96" t="inlineStr">
        <is>
          <t>4 people</t>
        </is>
      </c>
    </row>
    <row r="28" ht="15" customHeight="1" s="56">
      <c r="G28" s="97" t="inlineStr">
        <is>
          <t>University-paid subtotal</t>
        </is>
      </c>
      <c r="H28" s="98">
        <f>SUM(H9:H17)</f>
        <v/>
      </c>
      <c r="K28" s="98">
        <f>SUM(K9:K17)</f>
        <v/>
      </c>
    </row>
    <row r="29" ht="15" customHeight="1" s="56">
      <c r="G29" s="99" t="inlineStr">
        <is>
          <t>Contingency</t>
        </is>
      </c>
      <c r="H29" s="100">
        <f>H28*Compare!$B$11</f>
        <v/>
      </c>
      <c r="K29" s="100">
        <f>K28*Compare!$B$11</f>
        <v/>
      </c>
    </row>
    <row r="30" ht="15" customHeight="1" s="56">
      <c r="G30" s="97" t="inlineStr">
        <is>
          <t>University-paid total incl. contingency</t>
        </is>
      </c>
      <c r="H30" s="98">
        <f>H28+H29</f>
        <v/>
      </c>
      <c r="K30" s="98">
        <f>K28+K29</f>
        <v/>
      </c>
    </row>
    <row r="31" ht="15" customHeight="1" s="56">
      <c r="G31" s="97" t="inlineStr">
        <is>
          <t>Funding left (negative = over)</t>
        </is>
      </c>
      <c r="H31" s="101">
        <f>Compare!$B$5-H30</f>
        <v/>
      </c>
      <c r="K31" s="101">
        <f>Compare!$B$5-K30</f>
        <v/>
      </c>
    </row>
    <row r="32" ht="15" customHeight="1" s="56">
      <c r="G32" s="97" t="inlineStr">
        <is>
          <t>Personal costs – team</t>
        </is>
      </c>
      <c r="H32" s="102">
        <f>SUM(H19:H25)</f>
        <v/>
      </c>
      <c r="K32" s="102">
        <f>SUM(K19:K25)</f>
        <v/>
      </c>
    </row>
    <row r="33" ht="15" customHeight="1" s="56">
      <c r="G33" s="97" t="inlineStr">
        <is>
          <t>Out-of-pocket per person (personal + any overrun)</t>
        </is>
      </c>
      <c r="H33" s="102">
        <f>(H32+MAX(0,-H31))/Compare!$B$6</f>
        <v/>
      </c>
      <c r="K33" s="102">
        <f>(K32+MAX(0,-K31))/Compare!$B$7</f>
        <v/>
      </c>
    </row>
    <row r="34" ht="15" customHeight="1" s="56">
      <c r="G34" s="97" t="inlineStr">
        <is>
          <t>Whole trip cost (university + personal)</t>
        </is>
      </c>
      <c r="H34" s="103">
        <f>H30+H32</f>
        <v/>
      </c>
      <c r="K34" s="103">
        <f>K30+K32</f>
        <v/>
      </c>
    </row>
    <row r="35" ht="15" customHeight="1" s="56">
      <c r="G35" s="99" t="inlineStr">
        <is>
          <t>Time in planes &amp; trains</t>
        </is>
      </c>
      <c r="H35" s="104">
        <f>SUM(D10:D11)</f>
        <v/>
      </c>
      <c r="K35" s="104">
        <f>SUM(D10:D11)</f>
        <v/>
      </c>
    </row>
    <row r="36"/>
    <row r="37" ht="15" customHeight="1" s="56">
      <c r="A37" s="72" t="inlineStr">
        <is>
          <t>Key facts</t>
        </is>
      </c>
    </row>
    <row r="38" ht="30" customHeight="1" s="56">
      <c r="A38" s="75" t="inlineStr">
        <is>
          <t>Contest</t>
        </is>
      </c>
      <c r="B38" s="74" t="inlineStr">
        <is>
          <t>Asia Hong Kong Regional, 9–10 Jan 2027 (provisional). Host listed as HKU on a coach's tracking page; the site rotates, so confirm.</t>
        </is>
      </c>
    </row>
    <row r="39" ht="15" customHeight="1" s="56">
      <c r="A39" s="75" t="inlineStr">
        <is>
          <t>Why this route</t>
        </is>
      </c>
      <c r="B39" s="74" t="inlineStr">
        <is>
          <t>MIAT flies UB–Hong Kong nonstop; everything else (via Seoul/Beijing) costs more or takes a day longer.</t>
        </is>
      </c>
    </row>
    <row r="40" ht="15" customHeight="1" s="56">
      <c r="A40" s="75" t="inlineStr">
        <is>
          <t>Entry</t>
        </is>
      </c>
      <c r="B40" s="74" t="inlineStr">
        <is>
          <t>Mongolian passport holders can visit Hong Kong visa-free for up to 14 days.</t>
        </is>
      </c>
    </row>
    <row r="41" ht="15" customHeight="1" s="56">
      <c r="A41" s="75" t="inlineStr">
        <is>
          <t>Trade-off</t>
        </is>
      </c>
      <c r="B41" s="74" t="inlineStr">
        <is>
          <t>Tiny guesthouse rooms; ~35 min each way to HKU.</t>
        </is>
      </c>
    </row>
    <row r="42"/>
    <row r="43" ht="15" customHeight="1" s="56">
      <c r="A43" s="72" t="inlineStr">
        <is>
          <t>Day-by-day plan</t>
        </is>
      </c>
    </row>
    <row r="44" ht="15" customHeight="1" s="56">
      <c r="A44" s="96" t="inlineStr">
        <is>
          <t>Date</t>
        </is>
      </c>
      <c r="B44" s="96" t="inlineStr">
        <is>
          <t>Sleep in</t>
        </is>
      </c>
      <c r="C44" s="96" t="inlineStr">
        <is>
          <t>What happens</t>
        </is>
      </c>
    </row>
    <row r="45" ht="15" customHeight="1" s="56">
      <c r="A45" s="74" t="inlineStr">
        <is>
          <t>Fri 8 Jan</t>
        </is>
      </c>
      <c r="B45" s="74" t="inlineStr">
        <is>
          <t>Hong Kong</t>
        </is>
      </c>
      <c r="C45" s="74" t="inlineStr">
        <is>
          <t>MIAT OM297 UB 06:45 → Hong Kong 11:25 (4 h 40 min). Airport Express, check in at the Tsim Sha Tsui guesthouse.</t>
        </is>
      </c>
    </row>
    <row r="46" ht="15" customHeight="1" s="56">
      <c r="A46" s="74" t="inlineStr">
        <is>
          <t>Sat 9 Jan</t>
        </is>
      </c>
      <c r="B46" s="74" t="inlineStr">
        <is>
          <t>Hong Kong</t>
        </is>
      </c>
      <c r="C46" s="74" t="inlineStr">
        <is>
          <t>Registration, opening and warm-up at the University of Hong Kong (2025 HK regional used the same day-1 pattern).</t>
        </is>
      </c>
    </row>
    <row r="47" ht="15" customHeight="1" s="56">
      <c r="A47" s="74" t="inlineStr">
        <is>
          <t>Sun 10 Jan</t>
        </is>
      </c>
      <c r="B47" s="74" t="inlineStr">
        <is>
          <t>Hong Kong</t>
        </is>
      </c>
      <c r="C47" s="74" t="inlineStr">
        <is>
          <t>HONG KONG REGIONAL contest day, closing &amp; solutions.</t>
        </is>
      </c>
    </row>
    <row r="48" ht="15" customHeight="1" s="56">
      <c r="A48" s="74" t="inlineStr">
        <is>
          <t>Mon 11 Jan</t>
        </is>
      </c>
      <c r="B48" s="74" t="inlineStr">
        <is>
          <t>Home</t>
        </is>
      </c>
      <c r="C48" s="74" t="inlineStr">
        <is>
          <t>MIAT OM298 Hong Kong 12:25 → UB 17:05.</t>
        </is>
      </c>
    </row>
    <row r="49"/>
    <row r="50" ht="15" customHeight="1" s="56">
      <c r="A50" s="72" t="inlineStr">
        <is>
          <t>Door-to-door travel times</t>
        </is>
      </c>
    </row>
    <row r="51" ht="15" customHeight="1" s="56">
      <c r="A51" s="96" t="inlineStr">
        <is>
          <t>Date</t>
        </is>
      </c>
      <c r="B51" s="96" t="inlineStr">
        <is>
          <t>Leg</t>
        </is>
      </c>
      <c r="C51" s="96" t="inlineStr">
        <is>
          <t>Mode</t>
        </is>
      </c>
      <c r="D51" s="96" t="inlineStr">
        <is>
          <t>Expected time</t>
        </is>
      </c>
      <c r="E51" s="96" t="inlineStr">
        <is>
          <t>Notes</t>
        </is>
      </c>
    </row>
    <row r="52" ht="15" customHeight="1" s="56">
      <c r="A52" s="105" t="inlineStr">
        <is>
          <t>8 Jan</t>
        </is>
      </c>
      <c r="B52" s="105" t="inlineStr">
        <is>
          <t>Home → Chinggis Khaan airport</t>
        </is>
      </c>
      <c r="C52" s="82" t="inlineStr">
        <is>
          <t>Taxi (~50 km)</t>
        </is>
      </c>
      <c r="D52" s="104" t="n">
        <v>0.04166666666666666</v>
      </c>
      <c r="E52" s="106" t="inlineStr">
        <is>
          <t>Leave ~03:45 for 06:45 flight</t>
        </is>
      </c>
      <c r="F52" s="107" t="n"/>
      <c r="G52" s="107" t="n"/>
      <c r="H52" s="107" t="n"/>
      <c r="I52" s="107" t="n"/>
      <c r="J52" s="107" t="n"/>
      <c r="K52" s="107" t="n"/>
      <c r="L52" s="107" t="n"/>
    </row>
    <row r="53" ht="26.85" customHeight="1" s="56">
      <c r="A53" s="105" t="inlineStr">
        <is>
          <t>8 Jan</t>
        </is>
      </c>
      <c r="B53" s="105" t="inlineStr">
        <is>
          <t>Ulaanbaatar → Hong Kong (HKG)</t>
        </is>
      </c>
      <c r="C53" s="82" t="inlineStr">
        <is>
          <t>MIAT OM297 06:45–11:25</t>
        </is>
      </c>
      <c r="D53" s="84" t="n">
        <v>0.1944444444444444</v>
      </c>
      <c r="E53" s="106" t="n"/>
      <c r="F53" s="107" t="n"/>
      <c r="G53" s="107" t="n"/>
      <c r="H53" s="107" t="n"/>
      <c r="I53" s="107" t="n"/>
      <c r="J53" s="107" t="n"/>
      <c r="K53" s="107" t="n"/>
      <c r="L53" s="107" t="n"/>
    </row>
    <row r="54" ht="15" customHeight="1" s="56">
      <c r="A54" s="105" t="inlineStr">
        <is>
          <t>8 Jan</t>
        </is>
      </c>
      <c r="B54" s="105" t="inlineStr">
        <is>
          <t>HKG arrival: immigration, bags</t>
        </is>
      </c>
      <c r="C54" s="82" t="inlineStr">
        <is>
          <t>—</t>
        </is>
      </c>
      <c r="D54" s="104" t="n">
        <v>0.02777777777777778</v>
      </c>
      <c r="E54" s="106" t="inlineStr">
        <is>
          <t>Estimate</t>
        </is>
      </c>
      <c r="F54" s="107" t="n"/>
      <c r="G54" s="107" t="n"/>
      <c r="H54" s="107" t="n"/>
      <c r="I54" s="107" t="n"/>
      <c r="J54" s="107" t="n"/>
      <c r="K54" s="107" t="n"/>
      <c r="L54" s="107" t="n"/>
    </row>
    <row r="55" ht="39.55" customHeight="1" s="56">
      <c r="A55" s="105" t="inlineStr">
        <is>
          <t>8 Jan</t>
        </is>
      </c>
      <c r="B55" s="105" t="inlineStr">
        <is>
          <t>HKG → Tsim Sha Tsui guesthouse</t>
        </is>
      </c>
      <c r="C55" s="82" t="inlineStr">
        <is>
          <t>Airport Express to Kowloon + walk/shuttle</t>
        </is>
      </c>
      <c r="D55" s="104" t="n">
        <v>0.03125</v>
      </c>
      <c r="E55" s="106" t="inlineStr">
        <is>
          <t>Estimate</t>
        </is>
      </c>
      <c r="F55" s="107" t="n"/>
      <c r="G55" s="107" t="n"/>
      <c r="H55" s="107" t="n"/>
      <c r="I55" s="107" t="n"/>
      <c r="J55" s="107" t="n"/>
      <c r="K55" s="107" t="n"/>
      <c r="L55" s="107" t="n"/>
    </row>
    <row r="56" ht="15" customHeight="1" s="56">
      <c r="A56" s="105" t="inlineStr">
        <is>
          <t>9–10 Jan</t>
        </is>
      </c>
      <c r="B56" s="105" t="inlineStr">
        <is>
          <t>Hotel ↔ HKU (each way)</t>
        </is>
      </c>
      <c r="C56" s="82" t="inlineStr">
        <is>
          <t>—</t>
        </is>
      </c>
      <c r="D56" s="108" t="inlineStr">
        <is>
          <t>daily</t>
        </is>
      </c>
      <c r="E56" s="106" t="inlineStr">
        <is>
          <t>~35 min MTR (Tsim Sha Tsui → Admiralty → HKU)</t>
        </is>
      </c>
      <c r="F56" s="107" t="n"/>
      <c r="G56" s="107" t="n"/>
      <c r="H56" s="107" t="n"/>
      <c r="I56" s="107" t="n"/>
      <c r="J56" s="107" t="n"/>
      <c r="K56" s="107" t="n"/>
      <c r="L56" s="107" t="n"/>
    </row>
    <row r="57" ht="26.85" customHeight="1" s="56">
      <c r="A57" s="105" t="inlineStr">
        <is>
          <t>11 Jan</t>
        </is>
      </c>
      <c r="B57" s="105" t="inlineStr">
        <is>
          <t>Guesthouse → HKG</t>
        </is>
      </c>
      <c r="C57" s="82" t="inlineStr">
        <is>
          <t>Airport Express from Kowloon</t>
        </is>
      </c>
      <c r="D57" s="104" t="n">
        <v>0.03125</v>
      </c>
      <c r="E57" s="106" t="inlineStr">
        <is>
          <t>Estimate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26.85" customHeight="1" s="56">
      <c r="A58" s="105" t="inlineStr">
        <is>
          <t>11 Jan</t>
        </is>
      </c>
      <c r="B58" s="105" t="inlineStr">
        <is>
          <t>Hong Kong (HKG) → Ulaanbaatar</t>
        </is>
      </c>
      <c r="C58" s="82" t="inlineStr">
        <is>
          <t>MIAT OM298 12:25–17:05</t>
        </is>
      </c>
      <c r="D58" s="84" t="n">
        <v>0.1944444444444444</v>
      </c>
      <c r="E58" s="106" t="inlineStr">
        <is>
          <t>Be at HKG by ~10:25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4.15" customHeight="1" s="56">
      <c r="A59" s="105" t="inlineStr">
        <is>
          <t>11 Jan</t>
        </is>
      </c>
      <c r="B59" s="105" t="inlineStr">
        <is>
          <t>Chinggis Khaan airport → home</t>
        </is>
      </c>
      <c r="C59" s="82" t="inlineStr">
        <is>
          <t>Taxi</t>
        </is>
      </c>
      <c r="D59" s="104" t="n">
        <v>0.04166666666666666</v>
      </c>
      <c r="E59" s="106" t="n"/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C60" s="59" t="inlineStr">
        <is>
          <t>Total door-to-door</t>
        </is>
      </c>
      <c r="D60" s="109">
        <f>SUM(D52:D59)</f>
        <v/>
      </c>
    </row>
  </sheetData>
  <mergeCells count="18">
    <mergeCell ref="E57:L57"/>
    <mergeCell ref="E56:L56"/>
    <mergeCell ref="E58:L58"/>
    <mergeCell ref="C45:L45"/>
    <mergeCell ref="B38:L38"/>
    <mergeCell ref="E59:L59"/>
    <mergeCell ref="E51:L51"/>
    <mergeCell ref="B39:L39"/>
    <mergeCell ref="C48:L48"/>
    <mergeCell ref="E54:L54"/>
    <mergeCell ref="B40:L40"/>
    <mergeCell ref="E55:L55"/>
    <mergeCell ref="E52:L52"/>
    <mergeCell ref="C46:L46"/>
    <mergeCell ref="C47:L47"/>
    <mergeCell ref="E53:L53"/>
    <mergeCell ref="B41:L41"/>
    <mergeCell ref="C44:L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Hong Kong – Comfort</t>
        </is>
      </c>
    </row>
    <row r="2" ht="15" customHeight="1" s="56">
      <c r="A2" s="62" t="inlineStr">
        <is>
          <t>MIAT nonstop both ways; hotel in Sai Ying Pun, ~1 MTR stop / short walk to HKU.</t>
        </is>
      </c>
    </row>
    <row r="3"/>
    <row r="4" ht="15" customHeight="1" s="56">
      <c r="A4" s="60" t="inlineStr">
        <is>
          <t>Days in destination (meals &amp; local transport)</t>
        </is>
      </c>
      <c r="B4" s="76" t="n">
        <v>3.5</v>
      </c>
      <c r="C4" s="62" t="inlineStr">
        <is>
          <t>8 Jan midday → 11 Jan morning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6"/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OM297 Ulaanbaatar → Hong Kong, nonstop 06:45–11:25</t>
        </is>
      </c>
      <c r="C10" s="83" t="inlineStr">
        <is>
          <t>8 Jan</t>
        </is>
      </c>
      <c r="D10" s="84" t="n">
        <v>0.1944444444444444</v>
      </c>
      <c r="E10" s="85" t="n">
        <v>291.5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30 Sep: MIAT return $583 pp, split half each way (SlickTrip 30 Sep: $590.50 pp)</t>
        </is>
      </c>
    </row>
    <row r="11" ht="26.85" customHeight="1" s="56">
      <c r="A11" s="81" t="n"/>
      <c r="B11" s="82" t="inlineStr">
        <is>
          <t>MIAT OM298 Hong Kong → Ulaanbaatar, nonstop 12:25–17:05</t>
        </is>
      </c>
      <c r="C11" s="83" t="inlineStr">
        <is>
          <t>11 Jan</t>
        </is>
      </c>
      <c r="D11" s="84" t="n">
        <v>0.1944444444444444</v>
      </c>
      <c r="E11" s="85" t="n">
        <v>291.5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Return half of the $583 pp Trip.com round trip</t>
        </is>
      </c>
    </row>
    <row r="12" ht="15" customHeight="1" s="56">
      <c r="A12" s="79" t="inlineStr">
        <is>
          <t>Accommodation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Best Western Plus Hotel Hong Kong, Sai Ying Pun (~1 km to HKU; 3 ppl 1 room; 4 ppl 2 rooms)</t>
        </is>
      </c>
      <c r="C13" s="83" t="inlineStr">
        <is>
          <t>8–11 Jan (3 nights)</t>
        </is>
      </c>
      <c r="D13" s="81" t="n"/>
      <c r="E13" s="85" t="n">
        <v>713</v>
      </c>
      <c r="F13" s="86" t="inlineStr">
        <is>
          <t>HKD</t>
        </is>
      </c>
      <c r="G13" s="91" t="n">
        <v>3</v>
      </c>
      <c r="H13" s="88">
        <f>E13*G13*IF(F13="USD",Compare!$B$8,IF(F13="CNY",Compare!$B$9,IF(F13="HKD",Compare!$B$10,1)))</f>
        <v/>
      </c>
      <c r="I13" s="85" t="n">
        <v>1213.33</v>
      </c>
      <c r="J13" s="91" t="n">
        <v>3</v>
      </c>
      <c r="K13" s="88">
        <f>I13*J13*IF(F13="USD",Compare!$B$8,IF(F13="CNY",Compare!$B$9,IF(F13="HKD",Compare!$B$10,1)))</f>
        <v/>
      </c>
      <c r="L13" s="90" t="inlineStr">
        <is>
          <t>Booking.com 8–11 Jan: 2,139 HKD (3 ppl) / 3,640 HKD (4 ppl, 2 rooms) for 3 nights; rated 7.4 (4,583 reviews)</t>
        </is>
      </c>
    </row>
    <row r="14" ht="15" customHeight="1" s="56">
      <c r="A14" s="79" t="inlineStr">
        <is>
          <t>Meals &amp; local transport</t>
        </is>
      </c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</row>
    <row r="15" ht="15" customHeight="1" s="56">
      <c r="A15" s="81" t="n"/>
      <c r="B15" s="82" t="inlineStr">
        <is>
          <t>Meals</t>
        </is>
      </c>
      <c r="C15" s="83" t="inlineStr">
        <is>
          <t>in Hong Kong</t>
        </is>
      </c>
      <c r="D15" s="81" t="n"/>
      <c r="E15" s="92" t="n">
        <v>180</v>
      </c>
      <c r="F15" s="86" t="inlineStr">
        <is>
          <t>HKD</t>
        </is>
      </c>
      <c r="G15" s="87">
        <f>Compare!$B$6*$B$4</f>
        <v/>
      </c>
      <c r="H15" s="88">
        <f>E15*G15*IF(F15="USD",Compare!$B$8,IF(F15="CNY",Compare!$B$9,IF(F15="HKD",Compare!$B$10,1)))</f>
        <v/>
      </c>
      <c r="I15" s="93">
        <f>E15</f>
        <v/>
      </c>
      <c r="J15" s="87">
        <f>Compare!$B$7*$B$4</f>
        <v/>
      </c>
      <c r="K15" s="88">
        <f>I15*J15*IF(F15="USD",Compare!$B$8,IF(F15="CNY",Compare!$B$9,IF(F15="HKD",Compare!$B$10,1)))</f>
        <v/>
      </c>
      <c r="L15" s="90" t="inlineStr">
        <is>
          <t>ASSUMPTION ~180 HKD/person/day (cha chaan teng, canteens)</t>
        </is>
      </c>
    </row>
    <row r="16" ht="15" customHeight="1" s="56">
      <c r="A16" s="81" t="n"/>
      <c r="B16" s="82" t="inlineStr">
        <is>
          <t>MTR / buses (Octopus card)</t>
        </is>
      </c>
      <c r="C16" s="83" t="inlineStr">
        <is>
          <t>in Hong Kong</t>
        </is>
      </c>
      <c r="D16" s="81" t="n"/>
      <c r="E16" s="92" t="n">
        <v>40</v>
      </c>
      <c r="F16" s="86" t="inlineStr">
        <is>
          <t>HKD</t>
        </is>
      </c>
      <c r="G16" s="87">
        <f>Compare!$B$6*$B$4</f>
        <v/>
      </c>
      <c r="H16" s="88">
        <f>E16*G16*IF(F16="USD",Compare!$B$8,IF(F16="CNY",Compare!$B$9,IF(F16="HKD",Compare!$B$10,1)))</f>
        <v/>
      </c>
      <c r="I16" s="93">
        <f>E16</f>
        <v/>
      </c>
      <c r="J16" s="87">
        <f>Compare!$B$7*$B$4</f>
        <v/>
      </c>
      <c r="K16" s="88">
        <f>I16*J16*IF(F16="USD",Compare!$B$8,IF(F16="CNY",Compare!$B$9,IF(F16="HKD",Compare!$B$10,1)))</f>
        <v/>
      </c>
      <c r="L16" s="90" t="inlineStr">
        <is>
          <t>ASSUMPTION ~40 HKD/person/day</t>
        </is>
      </c>
    </row>
    <row r="17" ht="15" customHeight="1" s="56">
      <c r="A17" s="81" t="n"/>
      <c r="B17" s="82" t="inlineStr">
        <is>
          <t>Airport Express, both ways</t>
        </is>
      </c>
      <c r="C17" s="83" t="inlineStr">
        <is>
          <t>8 &amp; 11 Jan (HKG ↔ Hong Kong stn)</t>
        </is>
      </c>
      <c r="D17" s="81" t="n"/>
      <c r="E17" s="92" t="n">
        <v>230</v>
      </c>
      <c r="F17" s="86" t="inlineStr">
        <is>
          <t>HKD</t>
        </is>
      </c>
      <c r="G17" s="87">
        <f>Compare!$B$6</f>
        <v/>
      </c>
      <c r="H17" s="88">
        <f>E17*G17*IF(F17="USD",Compare!$B$8,IF(F17="CNY",Compare!$B$9,IF(F17="HKD",Compare!$B$10,1)))</f>
        <v/>
      </c>
      <c r="I17" s="93">
        <f>E17</f>
        <v/>
      </c>
      <c r="J17" s="87">
        <f>Compare!$B$7</f>
        <v/>
      </c>
      <c r="K17" s="88">
        <f>I17*J17*IF(F17="USD",Compare!$B$8,IF(F17="CNY",Compare!$B$9,IF(F17="HKD",Compare!$B$10,1)))</f>
        <v/>
      </c>
      <c r="L17" s="90" t="inlineStr">
        <is>
          <t>ASSUMPTION ~115 HKD per person each way (recent adult single fare)</t>
        </is>
      </c>
    </row>
    <row r="18" ht="15" customHeight="1" s="56">
      <c r="A18" s="94" t="inlineStr">
        <is>
          <t>PAID PERSONALLY (university won't cover)</t>
        </is>
      </c>
      <c r="B18" s="95" t="n"/>
      <c r="C18" s="95" t="n"/>
      <c r="D18" s="95" t="n"/>
      <c r="E18" s="95" t="n"/>
      <c r="F18" s="95" t="n"/>
      <c r="G18" s="95" t="n"/>
      <c r="H18" s="95" t="n"/>
      <c r="I18" s="95" t="n"/>
      <c r="J18" s="95" t="n"/>
      <c r="K18" s="95" t="n"/>
      <c r="L18" s="95" t="n"/>
    </row>
    <row r="19" ht="15" customHeight="1" s="56">
      <c r="A19" s="79" t="inlineStr">
        <is>
          <t>Contest fee</t>
        </is>
      </c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</row>
    <row r="20" ht="22.35" customHeight="1" s="56">
      <c r="A20" s="81" t="n"/>
      <c r="B20" s="82" t="inlineStr">
        <is>
          <t>Hong Kong regional registration fee (per team)</t>
        </is>
      </c>
      <c r="C20" s="83" t="inlineStr">
        <is>
          <t>TBC</t>
        </is>
      </c>
      <c r="D20" s="81" t="n"/>
      <c r="E20" s="85" t="n">
        <v>1800</v>
      </c>
      <c r="F20" s="86" t="inlineStr">
        <is>
          <t>HKD</t>
        </is>
      </c>
      <c r="G20" s="91" t="n">
        <v>1</v>
      </c>
      <c r="H20" s="88">
        <f>E20*G20*IF(F20="USD",Compare!$B$8,IF(F20="CNY",Compare!$B$9,IF(F20="HKD",Compare!$B$10,1)))</f>
        <v/>
      </c>
      <c r="I20" s="89">
        <f>E20</f>
        <v/>
      </c>
      <c r="J20" s="91" t="n">
        <v>1</v>
      </c>
      <c r="K20" s="88">
        <f>I20*J20*IF(F20="USD",Compare!$B$8,IF(F20="CNY",Compare!$B$9,IF(F20="HKD",Compare!$B$10,1)))</f>
        <v/>
      </c>
      <c r="L20" s="90" t="inlineStr">
        <is>
          <t>1,800 HKD/team at the 2025 Hong Kong regional (HKUST); 2026 host listed as HKU – confirm</t>
        </is>
      </c>
    </row>
    <row r="21" ht="15" customHeight="1" s="56">
      <c r="A21" s="79" t="inlineStr">
        <is>
          <t>Other</t>
        </is>
      </c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</row>
    <row r="22" ht="15" customHeight="1" s="56">
      <c r="A22" s="81" t="n"/>
      <c r="B22" s="82" t="inlineStr">
        <is>
          <t>Taxi to/from Chinggis Khaan airport (UB), per trip</t>
        </is>
      </c>
      <c r="C22" s="83" t="inlineStr">
        <is>
          <t>out &amp; back</t>
        </is>
      </c>
      <c r="D22" s="84" t="n">
        <v>0.04166666666666666</v>
      </c>
      <c r="E22" s="92" t="n">
        <v>100000</v>
      </c>
      <c r="F22" s="86" t="inlineStr">
        <is>
          <t>MNT</t>
        </is>
      </c>
      <c r="G22" s="91" t="n">
        <v>2</v>
      </c>
      <c r="H22" s="88">
        <f>E22*G22*IF(F22="USD",Compare!$B$8,IF(F22="CNY",Compare!$B$9,IF(F22="HKD",Compare!$B$10,1)))</f>
        <v/>
      </c>
      <c r="I22" s="93">
        <f>E22</f>
        <v/>
      </c>
      <c r="J22" s="91" t="n">
        <v>2</v>
      </c>
      <c r="K22" s="88">
        <f>I22*J22*IF(F22="USD",Compare!$B$8,IF(F22="CNY",Compare!$B$9,IF(F22="HKD",Compare!$B$10,1)))</f>
        <v/>
      </c>
      <c r="L22" s="90" t="inlineStr">
        <is>
          <t>ASSUMPTION 100k MNT per trip for the group</t>
        </is>
      </c>
    </row>
    <row r="23" ht="15" customHeight="1" s="56">
      <c r="A23" s="81" t="n"/>
      <c r="B23" s="82" t="inlineStr">
        <is>
          <t>Travel medical insurance</t>
        </is>
      </c>
      <c r="C23" s="83" t="n"/>
      <c r="D23" s="81" t="n"/>
      <c r="E23" s="92" t="n">
        <v>30000</v>
      </c>
      <c r="F23" s="86" t="inlineStr">
        <is>
          <t>MNT</t>
        </is>
      </c>
      <c r="G23" s="87">
        <f>Compare!$B$6</f>
        <v/>
      </c>
      <c r="H23" s="88">
        <f>E23*G23*IF(F23="USD",Compare!$B$8,IF(F23="CNY",Compare!$B$9,IF(F23="HKD",Compare!$B$10,1)))</f>
        <v/>
      </c>
      <c r="I23" s="93">
        <f>E23</f>
        <v/>
      </c>
      <c r="J23" s="87">
        <f>Compare!$B$7</f>
        <v/>
      </c>
      <c r="K23" s="88">
        <f>I23*J23*IF(F23="USD",Compare!$B$8,IF(F23="CNY",Compare!$B$9,IF(F23="HKD",Compare!$B$10,1)))</f>
        <v/>
      </c>
      <c r="L23" s="90" t="inlineStr">
        <is>
          <t>ASSUMPTION ~30k MNT per person, Mongolian insurer</t>
        </is>
      </c>
    </row>
    <row r="24" ht="15" customHeight="1" s="56">
      <c r="A24" s="81" t="n"/>
      <c r="B24" s="82" t="inlineStr">
        <is>
          <t>Mobile data eSIM</t>
        </is>
      </c>
      <c r="C24" s="83" t="n"/>
      <c r="D24" s="81" t="n"/>
      <c r="E24" s="92" t="n">
        <v>10</v>
      </c>
      <c r="F24" s="86" t="inlineStr">
        <is>
          <t>USD</t>
        </is>
      </c>
      <c r="G24" s="87">
        <f>Compare!$B$6</f>
        <v/>
      </c>
      <c r="H24" s="88">
        <f>E24*G24*IF(F24="USD",Compare!$B$8,IF(F24="CNY",Compare!$B$9,IF(F24="HKD",Compare!$B$10,1)))</f>
        <v/>
      </c>
      <c r="I24" s="93">
        <f>E24</f>
        <v/>
      </c>
      <c r="J24" s="87">
        <f>Compare!$B$7</f>
        <v/>
      </c>
      <c r="K24" s="88">
        <f>I24*J24*IF(F24="USD",Compare!$B$8,IF(F24="CNY",Compare!$B$9,IF(F24="HKD",Compare!$B$10,1)))</f>
        <v/>
      </c>
      <c r="L24" s="90" t="inlineStr">
        <is>
          <t>ASSUMPTION ~$10 pp</t>
        </is>
      </c>
    </row>
    <row r="25" ht="22.35" customHeight="1" s="56">
      <c r="A25" s="81" t="n"/>
      <c r="B25" s="82" t="inlineStr">
        <is>
          <t>Visa</t>
        </is>
      </c>
      <c r="C25" s="83" t="n"/>
      <c r="D25" s="81" t="n"/>
      <c r="E25" s="85" t="n">
        <v>0</v>
      </c>
      <c r="F25" s="86" t="inlineStr">
        <is>
          <t>MNT</t>
        </is>
      </c>
      <c r="G25" s="87">
        <f>Compare!$B$6</f>
        <v/>
      </c>
      <c r="H25" s="88">
        <f>E25*G25*IF(F25="USD",Compare!$B$8,IF(F25="CNY",Compare!$B$9,IF(F25="HKD",Compare!$B$10,1)))</f>
        <v/>
      </c>
      <c r="I25" s="89">
        <f>E25</f>
        <v/>
      </c>
      <c r="J25" s="87">
        <f>Compare!$B$7</f>
        <v/>
      </c>
      <c r="K25" s="88">
        <f>I25*J25*IF(F25="USD",Compare!$B$8,IF(F25="CNY",Compare!$B$9,IF(F25="HKD",Compare!$B$10,1)))</f>
        <v/>
      </c>
      <c r="L25" s="90" t="inlineStr">
        <is>
          <t>Mongolian passports: visa-free (mainland China up to 30 days; Hong Kong up to 14 days)</t>
        </is>
      </c>
    </row>
    <row r="26"/>
    <row r="27" ht="15" customHeight="1" s="56">
      <c r="G27" s="60" t="n"/>
      <c r="H27" s="96" t="inlineStr">
        <is>
          <t>3 people</t>
        </is>
      </c>
      <c r="K27" s="96" t="inlineStr">
        <is>
          <t>4 people</t>
        </is>
      </c>
    </row>
    <row r="28" ht="15" customHeight="1" s="56">
      <c r="G28" s="97" t="inlineStr">
        <is>
          <t>University-paid subtotal</t>
        </is>
      </c>
      <c r="H28" s="98">
        <f>SUM(H9:H17)</f>
        <v/>
      </c>
      <c r="K28" s="98">
        <f>SUM(K9:K17)</f>
        <v/>
      </c>
    </row>
    <row r="29" ht="15" customHeight="1" s="56">
      <c r="G29" s="99" t="inlineStr">
        <is>
          <t>Contingency</t>
        </is>
      </c>
      <c r="H29" s="100">
        <f>H28*Compare!$B$11</f>
        <v/>
      </c>
      <c r="K29" s="100">
        <f>K28*Compare!$B$11</f>
        <v/>
      </c>
    </row>
    <row r="30" ht="15" customHeight="1" s="56">
      <c r="G30" s="97" t="inlineStr">
        <is>
          <t>University-paid total incl. contingency</t>
        </is>
      </c>
      <c r="H30" s="98">
        <f>H28+H29</f>
        <v/>
      </c>
      <c r="K30" s="98">
        <f>K28+K29</f>
        <v/>
      </c>
    </row>
    <row r="31" ht="15" customHeight="1" s="56">
      <c r="G31" s="97" t="inlineStr">
        <is>
          <t>Funding left (negative = over)</t>
        </is>
      </c>
      <c r="H31" s="101">
        <f>Compare!$B$5-H30</f>
        <v/>
      </c>
      <c r="K31" s="101">
        <f>Compare!$B$5-K30</f>
        <v/>
      </c>
    </row>
    <row r="32" ht="15" customHeight="1" s="56">
      <c r="G32" s="97" t="inlineStr">
        <is>
          <t>Personal costs – team</t>
        </is>
      </c>
      <c r="H32" s="102">
        <f>SUM(H19:H25)</f>
        <v/>
      </c>
      <c r="K32" s="102">
        <f>SUM(K19:K25)</f>
        <v/>
      </c>
    </row>
    <row r="33" ht="15" customHeight="1" s="56">
      <c r="G33" s="97" t="inlineStr">
        <is>
          <t>Out-of-pocket per person (personal + any overrun)</t>
        </is>
      </c>
      <c r="H33" s="102">
        <f>(H32+MAX(0,-H31))/Compare!$B$6</f>
        <v/>
      </c>
      <c r="K33" s="102">
        <f>(K32+MAX(0,-K31))/Compare!$B$7</f>
        <v/>
      </c>
    </row>
    <row r="34" ht="15" customHeight="1" s="56">
      <c r="G34" s="97" t="inlineStr">
        <is>
          <t>Whole trip cost (university + personal)</t>
        </is>
      </c>
      <c r="H34" s="103">
        <f>H30+H32</f>
        <v/>
      </c>
      <c r="K34" s="103">
        <f>K30+K32</f>
        <v/>
      </c>
    </row>
    <row r="35" ht="15" customHeight="1" s="56">
      <c r="G35" s="99" t="inlineStr">
        <is>
          <t>Time in planes &amp; trains</t>
        </is>
      </c>
      <c r="H35" s="104">
        <f>SUM(D10:D11)</f>
        <v/>
      </c>
      <c r="K35" s="104">
        <f>SUM(D10:D11)</f>
        <v/>
      </c>
    </row>
    <row r="36"/>
    <row r="37" ht="15" customHeight="1" s="56">
      <c r="A37" s="72" t="inlineStr">
        <is>
          <t>Key facts</t>
        </is>
      </c>
    </row>
    <row r="38" ht="15" customHeight="1" s="56">
      <c r="A38" s="75" t="inlineStr">
        <is>
          <t>Contest</t>
        </is>
      </c>
      <c r="B38" s="74" t="inlineStr">
        <is>
          <t>Asia Hong Kong Regional, 9–10 Jan 2027 (provisional), host listed as HKU – confirm.</t>
        </is>
      </c>
    </row>
    <row r="39" ht="15" customHeight="1" s="56">
      <c r="A39" s="75" t="inlineStr">
        <is>
          <t>Why this plan</t>
        </is>
      </c>
      <c r="B39" s="74" t="inlineStr">
        <is>
          <t>Walking distance to HKU, a proper hotel; flights identical to the budget plan.</t>
        </is>
      </c>
    </row>
    <row r="40" ht="15" customHeight="1" s="56">
      <c r="A40" s="75" t="inlineStr">
        <is>
          <t>Entry</t>
        </is>
      </c>
      <c r="B40" s="74" t="inlineStr">
        <is>
          <t>Mongolian passport holders can visit Hong Kong visa-free for up to 14 days.</t>
        </is>
      </c>
    </row>
    <row r="41" ht="15" customHeight="1" s="56">
      <c r="A41" s="75" t="inlineStr">
        <is>
          <t>Trade-off</t>
        </is>
      </c>
      <c r="B41" s="74" t="inlineStr">
        <is>
          <t>Hotel costs roughly double the Kowloon guesthouse.</t>
        </is>
      </c>
    </row>
    <row r="42"/>
    <row r="43" ht="15" customHeight="1" s="56">
      <c r="A43" s="72" t="inlineStr">
        <is>
          <t>Day-by-day plan</t>
        </is>
      </c>
    </row>
    <row r="44" ht="15" customHeight="1" s="56">
      <c r="A44" s="96" t="inlineStr">
        <is>
          <t>Date</t>
        </is>
      </c>
      <c r="B44" s="96" t="inlineStr">
        <is>
          <t>Sleep in</t>
        </is>
      </c>
      <c r="C44" s="96" t="inlineStr">
        <is>
          <t>What happens</t>
        </is>
      </c>
    </row>
    <row r="45" ht="15" customHeight="1" s="56">
      <c r="A45" s="74" t="inlineStr">
        <is>
          <t>Fri 8 Jan</t>
        </is>
      </c>
      <c r="B45" s="74" t="inlineStr">
        <is>
          <t>Hong Kong</t>
        </is>
      </c>
      <c r="C45" s="74" t="inlineStr">
        <is>
          <t>MIAT OM297 UB 06:45 → Hong Kong 11:25 (4 h 40 min). Airport Express, check in at the Sai Ying Pun hotel.</t>
        </is>
      </c>
    </row>
    <row r="46" ht="15" customHeight="1" s="56">
      <c r="A46" s="74" t="inlineStr">
        <is>
          <t>Sat 9 Jan</t>
        </is>
      </c>
      <c r="B46" s="74" t="inlineStr">
        <is>
          <t>Hong Kong</t>
        </is>
      </c>
      <c r="C46" s="74" t="inlineStr">
        <is>
          <t>Registration, opening and warm-up at the University of Hong Kong (2025 HK regional used the same day-1 pattern).</t>
        </is>
      </c>
    </row>
    <row r="47" ht="15" customHeight="1" s="56">
      <c r="A47" s="74" t="inlineStr">
        <is>
          <t>Sun 10 Jan</t>
        </is>
      </c>
      <c r="B47" s="74" t="inlineStr">
        <is>
          <t>Hong Kong</t>
        </is>
      </c>
      <c r="C47" s="74" t="inlineStr">
        <is>
          <t>HONG KONG REGIONAL contest day, closing &amp; solutions.</t>
        </is>
      </c>
    </row>
    <row r="48" ht="15" customHeight="1" s="56">
      <c r="A48" s="74" t="inlineStr">
        <is>
          <t>Mon 11 Jan</t>
        </is>
      </c>
      <c r="B48" s="74" t="inlineStr">
        <is>
          <t>Home</t>
        </is>
      </c>
      <c r="C48" s="74" t="inlineStr">
        <is>
          <t>MIAT OM298 Hong Kong 12:25 → UB 17:05.</t>
        </is>
      </c>
    </row>
    <row r="49"/>
    <row r="50" ht="15" customHeight="1" s="56">
      <c r="A50" s="72" t="inlineStr">
        <is>
          <t>Door-to-door travel times</t>
        </is>
      </c>
    </row>
    <row r="51" ht="15" customHeight="1" s="56">
      <c r="A51" s="96" t="inlineStr">
        <is>
          <t>Date</t>
        </is>
      </c>
      <c r="B51" s="96" t="inlineStr">
        <is>
          <t>Leg</t>
        </is>
      </c>
      <c r="C51" s="96" t="inlineStr">
        <is>
          <t>Mode</t>
        </is>
      </c>
      <c r="D51" s="96" t="inlineStr">
        <is>
          <t>Expected time</t>
        </is>
      </c>
      <c r="E51" s="96" t="inlineStr">
        <is>
          <t>Notes</t>
        </is>
      </c>
    </row>
    <row r="52" ht="15" customHeight="1" s="56">
      <c r="A52" s="105" t="inlineStr">
        <is>
          <t>8 Jan</t>
        </is>
      </c>
      <c r="B52" s="105" t="inlineStr">
        <is>
          <t>Home → Chinggis Khaan airport</t>
        </is>
      </c>
      <c r="C52" s="82" t="inlineStr">
        <is>
          <t>Taxi (~50 km)</t>
        </is>
      </c>
      <c r="D52" s="104" t="n">
        <v>0.04166666666666666</v>
      </c>
      <c r="E52" s="106" t="inlineStr">
        <is>
          <t>Leave ~03:45 for 06:45 flight</t>
        </is>
      </c>
      <c r="F52" s="107" t="n"/>
      <c r="G52" s="107" t="n"/>
      <c r="H52" s="107" t="n"/>
      <c r="I52" s="107" t="n"/>
      <c r="J52" s="107" t="n"/>
      <c r="K52" s="107" t="n"/>
      <c r="L52" s="107" t="n"/>
    </row>
    <row r="53" ht="26.85" customHeight="1" s="56">
      <c r="A53" s="105" t="inlineStr">
        <is>
          <t>8 Jan</t>
        </is>
      </c>
      <c r="B53" s="105" t="inlineStr">
        <is>
          <t>Ulaanbaatar → Hong Kong (HKG)</t>
        </is>
      </c>
      <c r="C53" s="82" t="inlineStr">
        <is>
          <t>MIAT OM297 06:45–11:25</t>
        </is>
      </c>
      <c r="D53" s="84" t="n">
        <v>0.1944444444444444</v>
      </c>
      <c r="E53" s="106" t="n"/>
      <c r="F53" s="107" t="n"/>
      <c r="G53" s="107" t="n"/>
      <c r="H53" s="107" t="n"/>
      <c r="I53" s="107" t="n"/>
      <c r="J53" s="107" t="n"/>
      <c r="K53" s="107" t="n"/>
      <c r="L53" s="107" t="n"/>
    </row>
    <row r="54" ht="15" customHeight="1" s="56">
      <c r="A54" s="105" t="inlineStr">
        <is>
          <t>8 Jan</t>
        </is>
      </c>
      <c r="B54" s="105" t="inlineStr">
        <is>
          <t>HKG arrival: immigration, bags</t>
        </is>
      </c>
      <c r="C54" s="82" t="inlineStr">
        <is>
          <t>—</t>
        </is>
      </c>
      <c r="D54" s="104" t="n">
        <v>0.02777777777777778</v>
      </c>
      <c r="E54" s="106" t="inlineStr">
        <is>
          <t>Estimate</t>
        </is>
      </c>
      <c r="F54" s="107" t="n"/>
      <c r="G54" s="107" t="n"/>
      <c r="H54" s="107" t="n"/>
      <c r="I54" s="107" t="n"/>
      <c r="J54" s="107" t="n"/>
      <c r="K54" s="107" t="n"/>
      <c r="L54" s="107" t="n"/>
    </row>
    <row r="55" ht="39.55" customHeight="1" s="56">
      <c r="A55" s="105" t="inlineStr">
        <is>
          <t>8 Jan</t>
        </is>
      </c>
      <c r="B55" s="105" t="inlineStr">
        <is>
          <t>HKG → Sai Ying Pun hotel</t>
        </is>
      </c>
      <c r="C55" s="82" t="inlineStr">
        <is>
          <t>Airport Express to Hong Kong stn + taxi/MTR</t>
        </is>
      </c>
      <c r="D55" s="104" t="n">
        <v>0.03472222222222222</v>
      </c>
      <c r="E55" s="106" t="inlineStr">
        <is>
          <t>Estimate</t>
        </is>
      </c>
      <c r="F55" s="107" t="n"/>
      <c r="G55" s="107" t="n"/>
      <c r="H55" s="107" t="n"/>
      <c r="I55" s="107" t="n"/>
      <c r="J55" s="107" t="n"/>
      <c r="K55" s="107" t="n"/>
      <c r="L55" s="107" t="n"/>
    </row>
    <row r="56" ht="15" customHeight="1" s="56">
      <c r="A56" s="105" t="inlineStr">
        <is>
          <t>9–10 Jan</t>
        </is>
      </c>
      <c r="B56" s="105" t="inlineStr">
        <is>
          <t>Hotel ↔ HKU (each way)</t>
        </is>
      </c>
      <c r="C56" s="82" t="inlineStr">
        <is>
          <t>—</t>
        </is>
      </c>
      <c r="D56" s="108" t="inlineStr">
        <is>
          <t>daily</t>
        </is>
      </c>
      <c r="E56" s="106" t="inlineStr">
        <is>
          <t>~10–15 min (walk or 1 MTR stop to HKU station)</t>
        </is>
      </c>
      <c r="F56" s="107" t="n"/>
      <c r="G56" s="107" t="n"/>
      <c r="H56" s="107" t="n"/>
      <c r="I56" s="107" t="n"/>
      <c r="J56" s="107" t="n"/>
      <c r="K56" s="107" t="n"/>
      <c r="L56" s="107" t="n"/>
    </row>
    <row r="57" ht="26.85" customHeight="1" s="56">
      <c r="A57" s="105" t="inlineStr">
        <is>
          <t>11 Jan</t>
        </is>
      </c>
      <c r="B57" s="105" t="inlineStr">
        <is>
          <t>Hotel → HKG</t>
        </is>
      </c>
      <c r="C57" s="82" t="inlineStr">
        <is>
          <t>Taxi/MTR + Airport Express</t>
        </is>
      </c>
      <c r="D57" s="104" t="n">
        <v>0.03472222222222222</v>
      </c>
      <c r="E57" s="106" t="inlineStr">
        <is>
          <t>Estimate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26.85" customHeight="1" s="56">
      <c r="A58" s="105" t="inlineStr">
        <is>
          <t>11 Jan</t>
        </is>
      </c>
      <c r="B58" s="105" t="inlineStr">
        <is>
          <t>Hong Kong (HKG) → Ulaanbaatar</t>
        </is>
      </c>
      <c r="C58" s="82" t="inlineStr">
        <is>
          <t>MIAT OM298 12:25–17:05</t>
        </is>
      </c>
      <c r="D58" s="84" t="n">
        <v>0.1944444444444444</v>
      </c>
      <c r="E58" s="106" t="inlineStr">
        <is>
          <t>Be at HKG by ~10:25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4.15" customHeight="1" s="56">
      <c r="A59" s="105" t="inlineStr">
        <is>
          <t>11 Jan</t>
        </is>
      </c>
      <c r="B59" s="105" t="inlineStr">
        <is>
          <t>Chinggis Khaan airport → home</t>
        </is>
      </c>
      <c r="C59" s="82" t="inlineStr">
        <is>
          <t>Taxi</t>
        </is>
      </c>
      <c r="D59" s="104" t="n">
        <v>0.04166666666666666</v>
      </c>
      <c r="E59" s="106" t="n"/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C60" s="59" t="inlineStr">
        <is>
          <t>Total door-to-door</t>
        </is>
      </c>
      <c r="D60" s="109">
        <f>SUM(D52:D59)</f>
        <v/>
      </c>
    </row>
  </sheetData>
  <mergeCells count="18">
    <mergeCell ref="E57:L57"/>
    <mergeCell ref="E56:L56"/>
    <mergeCell ref="E58:L58"/>
    <mergeCell ref="C45:L45"/>
    <mergeCell ref="B38:L38"/>
    <mergeCell ref="E59:L59"/>
    <mergeCell ref="E51:L51"/>
    <mergeCell ref="B39:L39"/>
    <mergeCell ref="C48:L48"/>
    <mergeCell ref="E54:L54"/>
    <mergeCell ref="B40:L40"/>
    <mergeCell ref="E55:L55"/>
    <mergeCell ref="E52:L52"/>
    <mergeCell ref="C46:L46"/>
    <mergeCell ref="C47:L47"/>
    <mergeCell ref="E53:L53"/>
    <mergeCell ref="B41:L41"/>
    <mergeCell ref="C44:L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EC Final Hangzhou – Train</t>
        </is>
      </c>
    </row>
    <row r="2" ht="15" customHeight="1" s="56">
      <c r="A2" s="62" t="inlineStr">
        <is>
          <t>MIAT to Beijing + overnight D17 sleeper train to Hangzhou (no first hotel night); Air China through ticket Hangzhou → UB back (home on 29 Jan); hotel ~1.6 km from HZNU Cangqian.</t>
        </is>
      </c>
    </row>
    <row r="3"/>
    <row r="4" ht="15" customHeight="1" s="56">
      <c r="A4" s="60" t="inlineStr">
        <is>
          <t>Days in destination (meals &amp; local transport)</t>
        </is>
      </c>
      <c r="B4" s="76" t="n">
        <v>4.5</v>
      </c>
      <c r="C4" s="62" t="inlineStr">
        <is>
          <t>25 Jan → morning 29 Jan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6"/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OM223 Ulaanbaatar → Beijing (PEK), 08:15–10:30</t>
        </is>
      </c>
      <c r="C10" s="83" t="inlineStr">
        <is>
          <t>25 Jan</t>
        </is>
      </c>
      <c r="D10" s="84" t="n">
        <v>0.09375</v>
      </c>
      <c r="E10" s="85" t="n">
        <v>150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1 Oct: MIAT 08:15–10:30 $150 pp (SlickTrip 30 Sep: $154)</t>
        </is>
      </c>
    </row>
    <row r="11" ht="26.85" customHeight="1" s="56">
      <c r="A11" s="81" t="n"/>
      <c r="B11" s="82" t="inlineStr">
        <is>
          <t>Air China through ticket Hangzhou 08:00 → Beijing Capital (2 h 35 min transfer) → Ulaanbaatar 15:05, bags checked through</t>
        </is>
      </c>
      <c r="C11" s="83" t="inlineStr">
        <is>
          <t>29 Jan</t>
        </is>
      </c>
      <c r="D11" s="84" t="n">
        <v>0.1875</v>
      </c>
      <c r="E11" s="85" t="n">
        <v>2250</v>
      </c>
      <c r="F11" s="86" t="inlineStr">
        <is>
          <t>CNY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Trip.com 1 Oct: ¥2,250 pp (same price for 07:00 and 09:00 departures). Replaces Hangzhou→Beijing ¥1,809 + a Beijing hotel night + MIAT on 30 Jan $219 (~¥3,280 pp + hotel)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Overnight D-train D17 Beijing 19:10 → Hangzhou 09:15 (+1), 2nd-class sleeper</t>
        </is>
      </c>
      <c r="C13" s="83" t="inlineStr">
        <is>
          <t>25 Jan (night)</t>
        </is>
      </c>
      <c r="D13" s="84" t="n">
        <v>0.5868055555555556</v>
      </c>
      <c r="E13" s="85" t="n">
        <v>491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90" t="inlineStr">
        <is>
          <t>12306 3 Oct (official fare, 15 Oct train): D17 2nd-class sleeper ¥491, 1st-class sleeper ¥670. Replaces the afternoon G-train (¥601–644) + the 25 Jan hotel night. Sales open 11 Jan 10:00 (Beijing station). Backups: D11 Beijing South 21:22 → Hangzhou 11:20 (sleeper ¥564), Z281 Fengtai 19:10 → 10:36 (hard sleeper ¥328), or an afternoon G-train + hotel night. ChinaTicketOnline charges ~$110 + $12 fee for the same berth.</t>
        </is>
      </c>
    </row>
    <row r="14" ht="26.85" customHeight="1" s="56">
      <c r="A14" s="81" t="n"/>
      <c r="B14" s="82" t="inlineStr">
        <is>
          <t>Taxi hotel → Hangzhou airport (~55 km), replaces the return train</t>
        </is>
      </c>
      <c r="C14" s="83" t="inlineStr">
        <is>
          <t>29 Jan</t>
        </is>
      </c>
      <c r="D14" s="84" t="n"/>
      <c r="E14" s="92" t="n">
        <v>150</v>
      </c>
      <c r="F14" s="86" t="inlineStr">
        <is>
          <t>CNY</t>
        </is>
      </c>
      <c r="G14" s="87" t="n">
        <v>1</v>
      </c>
      <c r="H14" s="88">
        <f>E14*G14*IF(F14="USD",Compare!$B$8,IF(F14="CNY",Compare!$B$9,IF(F14="HKD",Compare!$B$10,1)))</f>
        <v/>
      </c>
      <c r="I14" s="89">
        <f>E14</f>
        <v/>
      </c>
      <c r="J14" s="87" t="n">
        <v>1</v>
      </c>
      <c r="K14" s="88">
        <f>I14*J14*IF(F14="USD",Compare!$B$8,IF(F14="CNY",Compare!$B$9,IF(F14="HKD",Compare!$B$10,1)))</f>
        <v/>
      </c>
      <c r="L14" s="90" t="inlineStr">
        <is>
          <t>ASSUMPTION ~150 CNY per car. The return train (601 CNY) + Beijing night + MIAT 30 Jan cost about the same as the through ticket but take a day longer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26.85" customHeight="1" s="56">
      <c r="A16" s="81" t="n"/>
      <c r="B16" s="82" t="inlineStr">
        <is>
          <t>HanTing Hotel Future Sci-Tech Town (~1.6 km to HZNU Cangqian; 3 ppl Family Room; 4 ppl 2 twin rooms)</t>
        </is>
      </c>
      <c r="C16" s="83" t="inlineStr">
        <is>
          <t>26–29 Jan (3 nights)</t>
        </is>
      </c>
      <c r="D16" s="81" t="n"/>
      <c r="E16" s="85" t="n">
        <v>315.75</v>
      </c>
      <c r="F16" s="86" t="inlineStr">
        <is>
          <t>CNY</t>
        </is>
      </c>
      <c r="G16" s="91" t="n">
        <v>3</v>
      </c>
      <c r="H16" s="88">
        <f>E16*G16*IF(F16="USD",Compare!$B$8,IF(F16="CNY",Compare!$B$9,IF(F16="HKD",Compare!$B$10,1)))</f>
        <v/>
      </c>
      <c r="I16" s="85" t="n">
        <v>548</v>
      </c>
      <c r="J16" s="91" t="n">
        <v>3</v>
      </c>
      <c r="K16" s="88">
        <f>I16*J16*IF(F16="USD",Compare!$B$8,IF(F16="CNY",Compare!$B$9,IF(F16="HKD",Compare!$B$10,1)))</f>
        <v/>
      </c>
      <c r="L16" s="90" t="inlineStr">
        <is>
          <t>Trip.com 1 Oct: ¥1,263 (3 ppl, Family Room) / ¥2,192 (4 ppl, 2 twin rooms) for 4 nights; rated 9.9 (70 reviews, new). Was CitiGO ¥1,630 / ¥2,576 on Booking.com Plan now books 3 of these nights (average per night); the 25 Jan night is on the D17 sleeper.</t>
        </is>
      </c>
    </row>
    <row r="17" ht="26.85" customHeight="1" s="56">
      <c r="A17" s="81" t="n"/>
      <c r="B17" s="82" t="n"/>
      <c r="C17" s="83" t="n"/>
      <c r="D17" s="81" t="n"/>
      <c r="E17" s="85" t="n"/>
      <c r="F17" s="86" t="n"/>
      <c r="G17" s="91" t="n"/>
      <c r="H17" s="88" t="n"/>
      <c r="I17" s="85" t="n"/>
      <c r="J17" s="91" t="n"/>
      <c r="K17" s="88" t="n"/>
      <c r="L17" s="90" t="n"/>
    </row>
    <row r="18" ht="15" customHeight="1" s="56">
      <c r="A18" s="79" t="inlineStr">
        <is>
          <t>Meals &amp; local transport</t>
        </is>
      </c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</row>
    <row r="19" ht="15" customHeight="1" s="56">
      <c r="A19" s="81" t="n"/>
      <c r="B19" s="82" t="inlineStr">
        <is>
          <t>Meals</t>
        </is>
      </c>
      <c r="C19" s="83" t="inlineStr">
        <is>
          <t>in China</t>
        </is>
      </c>
      <c r="D19" s="81" t="n"/>
      <c r="E19" s="92" t="n">
        <v>80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93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90" t="inlineStr">
        <is>
          <t>ASSUMPTION 80 CNY/person/day; EC Final usually includes banquets</t>
        </is>
      </c>
    </row>
    <row r="20" ht="15" customHeight="1" s="56">
      <c r="A20" s="81" t="n"/>
      <c r="B20" s="82" t="inlineStr">
        <is>
          <t>Local transport (metro, taxis)</t>
        </is>
      </c>
      <c r="C20" s="83" t="inlineStr">
        <is>
          <t>in China</t>
        </is>
      </c>
      <c r="D20" s="81" t="n"/>
      <c r="E20" s="92" t="n">
        <v>30</v>
      </c>
      <c r="F20" s="86" t="inlineStr">
        <is>
          <t>CNY</t>
        </is>
      </c>
      <c r="G20" s="87">
        <f>Compare!$B$6*$B$4</f>
        <v/>
      </c>
      <c r="H20" s="88">
        <f>E20*G20*IF(F20="USD",Compare!$B$8,IF(F20="CNY",Compare!$B$9,IF(F20="HKD",Compare!$B$10,1)))</f>
        <v/>
      </c>
      <c r="I20" s="93">
        <f>E20</f>
        <v/>
      </c>
      <c r="J20" s="87">
        <f>Compare!$B$7*$B$4</f>
        <v/>
      </c>
      <c r="K20" s="88">
        <f>I20*J20*IF(F20="USD",Compare!$B$8,IF(F20="CNY",Compare!$B$9,IF(F20="HKD",Compare!$B$10,1)))</f>
        <v/>
      </c>
      <c r="L20" s="90" t="inlineStr">
        <is>
          <t>ASSUMPTION 30 CNY/person/day</t>
        </is>
      </c>
    </row>
    <row r="21" ht="15" customHeight="1" s="56">
      <c r="A21" s="81" t="n"/>
      <c r="B21" s="82" t="inlineStr">
        <is>
          <t>Taxi Hangzhou station ↔ Cangqian (~25 km) on 26 Jan; hotel → HGH is row 14</t>
        </is>
      </c>
      <c r="C21" s="83" t="inlineStr">
        <is>
          <t>26 Jan</t>
        </is>
      </c>
      <c r="D21" s="81" t="n"/>
      <c r="E21" s="92" t="n">
        <v>100</v>
      </c>
      <c r="F21" s="86" t="inlineStr">
        <is>
          <t>CNY</t>
        </is>
      </c>
      <c r="G21" s="91" t="n">
        <v>1</v>
      </c>
      <c r="H21" s="88">
        <f>E21*G21*IF(F21="USD",Compare!$B$8,IF(F21="CNY",Compare!$B$9,IF(F21="HKD",Compare!$B$10,1)))</f>
        <v/>
      </c>
      <c r="I21" s="93">
        <f>E21</f>
        <v/>
      </c>
      <c r="J21" s="91" t="n">
        <v>1</v>
      </c>
      <c r="K21" s="88">
        <f>I21*J21*IF(F21="USD",Compare!$B$8,IF(F21="CNY",Compare!$B$9,IF(F21="HKD",Compare!$B$10,1)))</f>
        <v/>
      </c>
      <c r="L21" s="90" t="inlineStr">
        <is>
          <t>ASSUMPTION ~100 CNY per car (4 ppl: may need XL car). Metro ~1 h is the cheap alternative</t>
        </is>
      </c>
    </row>
    <row r="22" ht="15" customHeight="1" s="56">
      <c r="A22" s="94" t="inlineStr">
        <is>
          <t>PAID PERSONALLY (university won't cover)</t>
        </is>
      </c>
      <c r="B22" s="95" t="n"/>
      <c r="C22" s="95" t="n"/>
      <c r="D22" s="95" t="n"/>
      <c r="E22" s="95" t="n"/>
      <c r="F22" s="95" t="n"/>
      <c r="G22" s="95" t="n"/>
      <c r="H22" s="95" t="n"/>
      <c r="I22" s="95" t="n"/>
      <c r="J22" s="95" t="n"/>
      <c r="K22" s="95" t="n"/>
      <c r="L22" s="95" t="n"/>
    </row>
    <row r="23" ht="15" customHeight="1" s="56">
      <c r="A23" s="79" t="inlineStr">
        <is>
          <t>Contest fee</t>
        </is>
      </c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</row>
    <row r="24" ht="15" customHeight="1" s="56">
      <c r="A24" s="81" t="n"/>
      <c r="B24" s="82" t="inlineStr">
        <is>
          <t>EC Final registration fee (per team)</t>
        </is>
      </c>
      <c r="C24" s="83" t="inlineStr">
        <is>
          <t>TBC</t>
        </is>
      </c>
      <c r="D24" s="81" t="n"/>
      <c r="E24" s="92" t="n">
        <v>1500</v>
      </c>
      <c r="F24" s="86" t="inlineStr">
        <is>
          <t>CNY</t>
        </is>
      </c>
      <c r="G24" s="91" t="n">
        <v>1</v>
      </c>
      <c r="H24" s="88">
        <f>E24*G24*IF(F24="USD",Compare!$B$8,IF(F24="CNY",Compare!$B$9,IF(F24="HKD",Compare!$B$10,1)))</f>
        <v/>
      </c>
      <c r="I24" s="93">
        <f>E24</f>
        <v/>
      </c>
      <c r="J24" s="91" t="n">
        <v>1</v>
      </c>
      <c r="K24" s="88">
        <f>I24*J24*IF(F24="USD",Compare!$B$8,IF(F24="CNY",Compare!$B$9,IF(F24="HKD",Compare!$B$10,1)))</f>
        <v/>
      </c>
      <c r="L24" s="90" t="inlineStr">
        <is>
          <t>ASSUMPTION: no public figure found; 1,500 CNY/team like regionals</t>
        </is>
      </c>
    </row>
    <row r="25" ht="15" customHeight="1" s="56">
      <c r="A25" s="79" t="inlineStr">
        <is>
          <t>Other</t>
        </is>
      </c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</row>
    <row r="26" ht="15" customHeight="1" s="56">
      <c r="A26" s="81" t="n"/>
      <c r="B26" s="82" t="inlineStr">
        <is>
          <t>Taxi to/from Chinggis Khaan airport (UB), per trip</t>
        </is>
      </c>
      <c r="C26" s="83" t="inlineStr">
        <is>
          <t>out &amp; back</t>
        </is>
      </c>
      <c r="D26" s="84" t="n">
        <v>0.04166666666666666</v>
      </c>
      <c r="E26" s="92" t="n">
        <v>100000</v>
      </c>
      <c r="F26" s="86" t="inlineStr">
        <is>
          <t>MNT</t>
        </is>
      </c>
      <c r="G26" s="91" t="n">
        <v>2</v>
      </c>
      <c r="H26" s="88">
        <f>E26*G26*IF(F26="USD",Compare!$B$8,IF(F26="CNY",Compare!$B$9,IF(F26="HKD",Compare!$B$10,1)))</f>
        <v/>
      </c>
      <c r="I26" s="93">
        <f>E26</f>
        <v/>
      </c>
      <c r="J26" s="91" t="n">
        <v>2</v>
      </c>
      <c r="K26" s="88">
        <f>I26*J26*IF(F26="USD",Compare!$B$8,IF(F26="CNY",Compare!$B$9,IF(F26="HKD",Compare!$B$10,1)))</f>
        <v/>
      </c>
      <c r="L26" s="90" t="inlineStr">
        <is>
          <t>ASSUMPTION 100k MNT per trip for the group</t>
        </is>
      </c>
    </row>
    <row r="27" ht="15" customHeight="1" s="56">
      <c r="A27" s="81" t="n"/>
      <c r="B27" s="82" t="inlineStr">
        <is>
          <t>Travel medical insurance</t>
        </is>
      </c>
      <c r="C27" s="83" t="n"/>
      <c r="D27" s="81" t="n"/>
      <c r="E27" s="92" t="n">
        <v>30000</v>
      </c>
      <c r="F27" s="86" t="inlineStr">
        <is>
          <t>MNT</t>
        </is>
      </c>
      <c r="G27" s="87">
        <f>Compare!$B$6</f>
        <v/>
      </c>
      <c r="H27" s="88">
        <f>E27*G27*IF(F27="USD",Compare!$B$8,IF(F27="CNY",Compare!$B$9,IF(F27="HKD",Compare!$B$10,1)))</f>
        <v/>
      </c>
      <c r="I27" s="93">
        <f>E27</f>
        <v/>
      </c>
      <c r="J27" s="87">
        <f>Compare!$B$7</f>
        <v/>
      </c>
      <c r="K27" s="88">
        <f>I27*J27*IF(F27="USD",Compare!$B$8,IF(F27="CNY",Compare!$B$9,IF(F27="HKD",Compare!$B$10,1)))</f>
        <v/>
      </c>
      <c r="L27" s="90" t="inlineStr">
        <is>
          <t>ASSUMPTION ~30k MNT per person, Mongolian insurer</t>
        </is>
      </c>
    </row>
    <row r="28" ht="15" customHeight="1" s="56">
      <c r="A28" s="81" t="n"/>
      <c r="B28" s="82" t="inlineStr">
        <is>
          <t>Mobile data eSIM</t>
        </is>
      </c>
      <c r="C28" s="83" t="n"/>
      <c r="D28" s="81" t="n"/>
      <c r="E28" s="92" t="n">
        <v>10</v>
      </c>
      <c r="F28" s="86" t="inlineStr">
        <is>
          <t>USD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93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ASSUMPTION ~$10 pp</t>
        </is>
      </c>
    </row>
    <row r="29" ht="22.35" customHeight="1" s="56">
      <c r="A29" s="81" t="n"/>
      <c r="B29" s="82" t="inlineStr">
        <is>
          <t>Visa</t>
        </is>
      </c>
      <c r="C29" s="83" t="n"/>
      <c r="D29" s="81" t="n"/>
      <c r="E29" s="85" t="n">
        <v>0</v>
      </c>
      <c r="F29" s="86" t="inlineStr">
        <is>
          <t>MNT</t>
        </is>
      </c>
      <c r="G29" s="87">
        <f>Compare!$B$6</f>
        <v/>
      </c>
      <c r="H29" s="88">
        <f>E29*G29*IF(F29="USD",Compare!$B$8,IF(F29="CNY",Compare!$B$9,IF(F29="HKD",Compare!$B$10,1)))</f>
        <v/>
      </c>
      <c r="I29" s="89">
        <f>E29</f>
        <v/>
      </c>
      <c r="J29" s="87">
        <f>Compare!$B$7</f>
        <v/>
      </c>
      <c r="K29" s="88">
        <f>I29*J29*IF(F29="USD",Compare!$B$8,IF(F29="CNY",Compare!$B$9,IF(F29="HKD",Compare!$B$10,1)))</f>
        <v/>
      </c>
      <c r="L29" s="90" t="inlineStr">
        <is>
          <t>Mongolian passports: visa-free (mainland China up to 30 days; Hong Kong up to 14 days)</t>
        </is>
      </c>
    </row>
    <row r="30"/>
    <row r="31" ht="15" customHeight="1" s="56">
      <c r="G31" s="60" t="n"/>
      <c r="H31" s="96" t="inlineStr">
        <is>
          <t>3 people</t>
        </is>
      </c>
      <c r="K31" s="96" t="inlineStr">
        <is>
          <t>4 people</t>
        </is>
      </c>
    </row>
    <row r="32" ht="15" customHeight="1" s="56">
      <c r="G32" s="97" t="inlineStr">
        <is>
          <t>University-paid subtotal</t>
        </is>
      </c>
      <c r="H32" s="98">
        <f>SUM(H9:H21)</f>
        <v/>
      </c>
      <c r="K32" s="98">
        <f>SUM(K9:K21)</f>
        <v/>
      </c>
    </row>
    <row r="33" ht="15" customHeight="1" s="56">
      <c r="G33" s="99" t="inlineStr">
        <is>
          <t>Contingency</t>
        </is>
      </c>
      <c r="H33" s="100">
        <f>H32*Compare!$B$11</f>
        <v/>
      </c>
      <c r="K33" s="100">
        <f>K32*Compare!$B$11</f>
        <v/>
      </c>
    </row>
    <row r="34" ht="15" customHeight="1" s="56">
      <c r="G34" s="97" t="inlineStr">
        <is>
          <t>University-paid total incl. contingency</t>
        </is>
      </c>
      <c r="H34" s="98">
        <f>H32+H33</f>
        <v/>
      </c>
      <c r="K34" s="98">
        <f>K32+K33</f>
        <v/>
      </c>
    </row>
    <row r="35" ht="15" customHeight="1" s="56">
      <c r="G35" s="97" t="inlineStr">
        <is>
          <t>Funding left (negative = over)</t>
        </is>
      </c>
      <c r="H35" s="101">
        <f>Compare!$B$5-H34</f>
        <v/>
      </c>
      <c r="K35" s="101">
        <f>Compare!$B$5-K34</f>
        <v/>
      </c>
    </row>
    <row r="36" ht="15" customHeight="1" s="56">
      <c r="G36" s="97" t="inlineStr">
        <is>
          <t>Personal costs – team</t>
        </is>
      </c>
      <c r="H36" s="102">
        <f>SUM(H23:H29)</f>
        <v/>
      </c>
      <c r="K36" s="102">
        <f>SUM(K23:K29)</f>
        <v/>
      </c>
    </row>
    <row r="37" ht="15" customHeight="1" s="56">
      <c r="G37" s="97" t="inlineStr">
        <is>
          <t>Out-of-pocket per person (personal + any overrun)</t>
        </is>
      </c>
      <c r="H37" s="102">
        <f>(H36+MAX(0,-H35))/Compare!$B$6</f>
        <v/>
      </c>
      <c r="K37" s="102">
        <f>(K36+MAX(0,-K35))/Compare!$B$7</f>
        <v/>
      </c>
    </row>
    <row r="38" ht="15" customHeight="1" s="56">
      <c r="G38" s="97" t="inlineStr">
        <is>
          <t>Whole trip cost (university + personal)</t>
        </is>
      </c>
      <c r="H38" s="103">
        <f>H34+H36</f>
        <v/>
      </c>
      <c r="K38" s="103">
        <f>K34+K36</f>
        <v/>
      </c>
    </row>
    <row r="39" ht="15" customHeight="1" s="56">
      <c r="G39" s="99" t="inlineStr">
        <is>
          <t>Time in planes &amp; trains</t>
        </is>
      </c>
      <c r="H39" s="104">
        <f>SUM(D10:D11)+SUM(D13:D14)</f>
        <v/>
      </c>
      <c r="K39" s="104">
        <f>SUM(D10:D11)+SUM(D13:D14)</f>
        <v/>
      </c>
    </row>
    <row r="40"/>
    <row r="41" ht="15" customHeight="1" s="56">
      <c r="A41" s="72" t="inlineStr">
        <is>
          <t>Key facts</t>
        </is>
      </c>
    </row>
    <row r="42" ht="30" customHeight="1" s="56">
      <c r="A42" s="75" t="inlineStr">
        <is>
          <t>Contest</t>
        </is>
      </c>
      <c r="B42" s="74" t="inlineStr">
        <is>
          <t>ICPC Asia East Continent Final, 26–28 Jan 2027 (provisional), Hangzhou Normal University (Cangqian campus assumed). Qualification-only: the team must earn an EC Final slot at a regional first.</t>
        </is>
      </c>
    </row>
    <row r="43" ht="15" customHeight="1" s="56">
      <c r="A43" s="75" t="inlineStr">
        <is>
          <t>Why this route</t>
        </is>
      </c>
      <c r="B43" s="74" t="inlineStr">
        <is>
          <t>MIAT to Beijing + rail is by far the cheapest. Flying UB→Hangzhou is ~$1,548 pp one way via Hong Kong.</t>
        </is>
      </c>
    </row>
    <row r="44" ht="30" customHeight="1" s="56">
      <c r="A44" s="75" t="inlineStr">
        <is>
          <t>Warning</t>
        </is>
      </c>
      <c r="B44" s="74" t="inlineStr">
        <is>
          <t>Late January is the start of the Spring Festival travel rush (Spring Festival 2027 is 6 Feb). Sleepers sell out – buy D17 on 12306 at 10:00 on 11 Jan (or put in a 候补 waitlist), fall back to D11 / Z281 / an afternoon G-train, or use the Fly variant.</t>
        </is>
      </c>
    </row>
    <row r="45"/>
    <row r="46" ht="15" customHeight="1" s="56">
      <c r="A46" s="72" t="inlineStr">
        <is>
          <t>Day-by-day plan</t>
        </is>
      </c>
    </row>
    <row r="47" ht="15" customHeight="1" s="56">
      <c r="A47" s="96" t="inlineStr">
        <is>
          <t>Date</t>
        </is>
      </c>
      <c r="B47" s="96" t="inlineStr">
        <is>
          <t>Sleep in</t>
        </is>
      </c>
      <c r="C47" s="96" t="inlineStr">
        <is>
          <t>What happens</t>
        </is>
      </c>
    </row>
    <row r="48" ht="15" customHeight="1" s="56">
      <c r="A48" s="74" t="inlineStr">
        <is>
          <t>Mon 25 Jan</t>
        </is>
      </c>
      <c r="B48" s="74" t="inlineStr">
        <is>
          <t>Train</t>
        </is>
      </c>
      <c r="C48" s="74" t="inlineStr">
        <is>
          <t>MIAT OM223 UB 08:15 → Beijing 10:30; Airport Express + metro to Beijing station (left-luggage, lunch, rest); D17 sleeper 19:10 → Hangzhou.</t>
        </is>
      </c>
    </row>
    <row r="49" ht="15" customHeight="1" s="56">
      <c r="A49" s="74" t="inlineStr">
        <is>
          <t>Tue 26 Jan</t>
        </is>
      </c>
      <c r="B49" s="74" t="inlineStr">
        <is>
          <t>Hangzhou</t>
        </is>
      </c>
      <c r="C49" s="74" t="inlineStr">
        <is>
          <t>Arrive Hangzhou station 09:15; taxi to hotel (~45 min, leave bags). EC Final day 1: check-in, opening, warm-up (pattern of recent EC Finals).</t>
        </is>
      </c>
    </row>
    <row r="50" ht="15" customHeight="1" s="56">
      <c r="A50" s="74" t="inlineStr">
        <is>
          <t>Wed 27 Jan</t>
        </is>
      </c>
      <c r="B50" s="74" t="inlineStr">
        <is>
          <t>Hangzhou</t>
        </is>
      </c>
      <c r="C50" s="74" t="inlineStr">
        <is>
          <t>EC FINAL contest day.</t>
        </is>
      </c>
    </row>
    <row r="51" ht="15" customHeight="1" s="56">
      <c r="A51" s="74" t="inlineStr">
        <is>
          <t>Thu 28 Jan</t>
        </is>
      </c>
      <c r="B51" s="74" t="inlineStr">
        <is>
          <t>Hangzhou</t>
        </is>
      </c>
      <c r="C51" s="74" t="inlineStr">
        <is>
          <t>Forums, closing ceremony &amp; awards banquet.</t>
        </is>
      </c>
    </row>
    <row r="52" ht="15" customHeight="1" s="56">
      <c r="A52" s="74" t="inlineStr">
        <is>
          <t>Fri 29 Jan</t>
        </is>
      </c>
      <c r="B52" s="74" t="inlineStr">
        <is>
          <t>Home</t>
        </is>
      </c>
      <c r="C52" s="74" t="inlineStr">
        <is>
          <t>Air China through ticket Hangzhou 08:00 → Beijing Capital 10:20 (exit immigration) → Beijing 12:55 → UB 15:05. Home the same day.</t>
        </is>
      </c>
    </row>
    <row r="53" ht="15" customHeight="1" s="56">
      <c r="A53" s="74" t="n"/>
      <c r="B53" s="74" t="n"/>
      <c r="C53" s="74" t="n"/>
    </row>
    <row r="54"/>
    <row r="55" ht="15" customHeight="1" s="56">
      <c r="A55" s="72" t="inlineStr">
        <is>
          <t>Door-to-door travel times</t>
        </is>
      </c>
    </row>
    <row r="56" ht="15" customHeight="1" s="56">
      <c r="A56" s="96" t="inlineStr">
        <is>
          <t>Date</t>
        </is>
      </c>
      <c r="B56" s="96" t="inlineStr">
        <is>
          <t>Leg</t>
        </is>
      </c>
      <c r="C56" s="96" t="inlineStr">
        <is>
          <t>Mode</t>
        </is>
      </c>
      <c r="D56" s="96" t="inlineStr">
        <is>
          <t>Expected time</t>
        </is>
      </c>
      <c r="E56" s="96" t="inlineStr">
        <is>
          <t>Notes</t>
        </is>
      </c>
    </row>
    <row r="57" ht="15" customHeight="1" s="56">
      <c r="A57" s="105" t="inlineStr">
        <is>
          <t>25 Jan</t>
        </is>
      </c>
      <c r="B57" s="105" t="inlineStr">
        <is>
          <t>Home → Chinggis Khaan airport</t>
        </is>
      </c>
      <c r="C57" s="82" t="inlineStr">
        <is>
          <t>Taxi (~50 km)</t>
        </is>
      </c>
      <c r="D57" s="104" t="n">
        <v>0.04166666666666666</v>
      </c>
      <c r="E57" s="106" t="inlineStr">
        <is>
          <t>Leave ~05:15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26.85" customHeight="1" s="56">
      <c r="A58" s="105" t="inlineStr">
        <is>
          <t>25 Jan</t>
        </is>
      </c>
      <c r="B58" s="105" t="inlineStr">
        <is>
          <t>Ulaanbaatar → Beijing (PEK)</t>
        </is>
      </c>
      <c r="C58" s="82" t="inlineStr">
        <is>
          <t>MIAT OM223 08:15–10:30</t>
        </is>
      </c>
      <c r="D58" s="84" t="n">
        <v>0.09375</v>
      </c>
      <c r="E58" s="106" t="n"/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25 Jan</t>
        </is>
      </c>
      <c r="B59" s="105" t="inlineStr">
        <is>
          <t>PEK arrival: immigration, bags</t>
        </is>
      </c>
      <c r="C59" s="82" t="inlineStr">
        <is>
          <t>—</t>
        </is>
      </c>
      <c r="D59" s="104" t="n">
        <v>0.03125</v>
      </c>
      <c r="E59" s="106" t="inlineStr">
        <is>
          <t>Estimate</t>
        </is>
      </c>
      <c r="F59" s="107" t="n"/>
      <c r="G59" s="107" t="n"/>
      <c r="H59" s="107" t="n"/>
      <c r="I59" s="107" t="n"/>
      <c r="J59" s="107" t="n"/>
      <c r="K59" s="107" t="n"/>
      <c r="L59" s="107" t="n"/>
    </row>
    <row r="60" ht="39.55" customHeight="1" s="56">
      <c r="A60" s="105" t="inlineStr">
        <is>
          <t>25 Jan</t>
        </is>
      </c>
      <c r="B60" s="105" t="inlineStr">
        <is>
          <t>PEK → Beijing station</t>
        </is>
      </c>
      <c r="C60" s="82" t="inlineStr">
        <is>
          <t>Airport Express + metro line 2</t>
        </is>
      </c>
      <c r="D60" s="104" t="n">
        <v>0.04166666666666666</v>
      </c>
      <c r="E60" s="106" t="inlineStr">
        <is>
          <t>~8 h spare before D17 – buffer for a late MIAT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25 Jan</t>
        </is>
      </c>
      <c r="B61" s="105" t="inlineStr">
        <is>
          <t>Beijing → Hangzhou</t>
        </is>
      </c>
      <c r="C61" s="82" t="inlineStr">
        <is>
          <t>D17 2nd-class sleeper</t>
        </is>
      </c>
      <c r="D61" s="84" t="n">
        <v>0.5868055555555556</v>
      </c>
      <c r="E61" s="106" t="inlineStr">
        <is>
          <t>19:10 → 09:15 (+1)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26 Jan</t>
        </is>
      </c>
      <c r="B62" s="105" t="inlineStr">
        <is>
          <t>Hangzhou station → hotel (Cangqian)</t>
        </is>
      </c>
      <c r="C62" s="82" t="inlineStr">
        <is>
          <t>Taxi (~25 km)</t>
        </is>
      </c>
      <c r="D62" s="104" t="n">
        <v>0.03125</v>
      </c>
      <c r="E62" s="106" t="inlineStr">
        <is>
          <t>Metro ~1 h</t>
        </is>
      </c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26–28 Jan</t>
        </is>
      </c>
      <c r="B63" s="105" t="inlineStr">
        <is>
          <t>Hotel ↔ HZNU Cangqian (each way)</t>
        </is>
      </c>
      <c r="C63" s="82" t="inlineStr">
        <is>
          <t>Walk</t>
        </is>
      </c>
      <c r="D63" s="108" t="inlineStr">
        <is>
          <t>daily</t>
        </is>
      </c>
      <c r="E63" s="106" t="inlineStr">
        <is>
          <t>~20 min walk (1.6 km)</t>
        </is>
      </c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29 Jan</t>
        </is>
      </c>
      <c r="B64" s="105" t="inlineStr">
        <is>
          <t>Hotel → HGH</t>
        </is>
      </c>
      <c r="C64" s="82" t="inlineStr">
        <is>
          <t>Taxi (~55 km)</t>
        </is>
      </c>
      <c r="D64" s="104" t="n">
        <v>0.04166666666666666</v>
      </c>
      <c r="E64" s="106" t="inlineStr">
        <is>
          <t>Leave ~05:30</t>
        </is>
      </c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29 Jan</t>
        </is>
      </c>
      <c r="B65" s="105" t="inlineStr">
        <is>
          <t>HGH check-in &amp; security</t>
        </is>
      </c>
      <c r="C65" s="82" t="inlineStr">
        <is>
          <t>—</t>
        </is>
      </c>
      <c r="D65" s="84" t="n">
        <v>0.0625</v>
      </c>
      <c r="E65" s="106" t="n"/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29 Jan</t>
        </is>
      </c>
      <c r="B66" s="105" t="inlineStr">
        <is>
          <t>Hangzhou → Beijing Capital (PEK)</t>
        </is>
      </c>
      <c r="C66" s="82" t="inlineStr">
        <is>
          <t>Air China 08:00–10:20</t>
        </is>
      </c>
      <c r="D66" s="104" t="n">
        <v>0.09722222222222222</v>
      </c>
      <c r="E66" s="106" t="n"/>
      <c r="F66" s="107" t="n"/>
      <c r="G66" s="107" t="n"/>
      <c r="H66" s="107" t="n"/>
      <c r="I66" s="107" t="n"/>
      <c r="J66" s="107" t="n"/>
      <c r="K66" s="107" t="n"/>
      <c r="L66" s="107" t="n"/>
    </row>
    <row r="67" ht="15" customHeight="1" s="56">
      <c r="A67" s="105" t="inlineStr">
        <is>
          <t>29 Jan</t>
        </is>
      </c>
      <c r="B67" s="105" t="inlineStr">
        <is>
          <t>PEK: domestic-to-international transfer, exit immigration</t>
        </is>
      </c>
      <c r="C67" s="82" t="inlineStr">
        <is>
          <t>—</t>
        </is>
      </c>
      <c r="D67" s="104" t="n">
        <v>0.1076388888888889</v>
      </c>
      <c r="E67" s="106" t="n"/>
      <c r="F67" s="107" t="n"/>
      <c r="G67" s="107" t="n"/>
      <c r="H67" s="107" t="n"/>
      <c r="I67" s="107" t="n"/>
      <c r="J67" s="107" t="n"/>
      <c r="K67" s="107" t="n"/>
      <c r="L67" s="107" t="n"/>
    </row>
    <row r="68" ht="26.85" customHeight="1" s="56">
      <c r="A68" s="105" t="inlineStr">
        <is>
          <t>29 Jan</t>
        </is>
      </c>
      <c r="B68" s="105" t="inlineStr">
        <is>
          <t>Beijing Capital → Ulaanbaatar</t>
        </is>
      </c>
      <c r="C68" s="82" t="inlineStr">
        <is>
          <t>Air China 12:55–15:05</t>
        </is>
      </c>
      <c r="D68" s="84" t="n">
        <v>0.09027777777777778</v>
      </c>
      <c r="E68" s="106" t="n"/>
      <c r="F68" s="107" t="n"/>
      <c r="G68" s="107" t="n"/>
      <c r="H68" s="107" t="n"/>
      <c r="I68" s="107" t="n"/>
      <c r="J68" s="107" t="n"/>
      <c r="K68" s="107" t="n"/>
      <c r="L68" s="107" t="n"/>
    </row>
    <row r="69" ht="14.15" customHeight="1" s="56">
      <c r="A69" s="105" t="inlineStr">
        <is>
          <t>29 Jan</t>
        </is>
      </c>
      <c r="B69" s="105" t="inlineStr">
        <is>
          <t>Chinggis Khaan airport → home</t>
        </is>
      </c>
      <c r="C69" s="82" t="inlineStr">
        <is>
          <t>Taxi</t>
        </is>
      </c>
      <c r="D69" s="104" t="n">
        <v>0.04166666666666666</v>
      </c>
      <c r="E69" s="106" t="n"/>
      <c r="F69" s="107" t="n"/>
      <c r="G69" s="107" t="n"/>
      <c r="H69" s="107" t="n"/>
      <c r="I69" s="107" t="n"/>
      <c r="J69" s="107" t="n"/>
      <c r="K69" s="107" t="n"/>
      <c r="L69" s="107" t="n"/>
    </row>
    <row r="70" ht="15" customHeight="1" s="56">
      <c r="C70" s="59" t="inlineStr">
        <is>
          <t>Total door-to-door</t>
        </is>
      </c>
      <c r="D70" s="109">
        <f>SUM(D57:D69)</f>
        <v/>
      </c>
    </row>
  </sheetData>
  <mergeCells count="24">
    <mergeCell ref="E56:L56"/>
    <mergeCell ref="E58:L58"/>
    <mergeCell ref="C52:L52"/>
    <mergeCell ref="E68:L68"/>
    <mergeCell ref="C48:L48"/>
    <mergeCell ref="E62:L62"/>
    <mergeCell ref="E67:L67"/>
    <mergeCell ref="B43:L43"/>
    <mergeCell ref="C53:L53"/>
    <mergeCell ref="E64:L64"/>
    <mergeCell ref="C49:L49"/>
    <mergeCell ref="E63:L63"/>
    <mergeCell ref="B42:L42"/>
    <mergeCell ref="E60:L60"/>
    <mergeCell ref="E69:L69"/>
    <mergeCell ref="E65:L65"/>
    <mergeCell ref="B44:L44"/>
    <mergeCell ref="E59:L59"/>
    <mergeCell ref="C47:L47"/>
    <mergeCell ref="C50:L50"/>
    <mergeCell ref="E61:L61"/>
    <mergeCell ref="E57:L57"/>
    <mergeCell ref="E66:L66"/>
    <mergeCell ref="C51:L5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L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EC Final Hangzhou – Fly</t>
        </is>
      </c>
    </row>
    <row r="2" ht="15" customHeight="1" s="56">
      <c r="A2" s="62" t="inlineStr">
        <is>
          <t>Out: Aero Mongolia UB → Hohhot + Xiamen Airlines Hohhot → Hangzhou (separate tickets). Back: Air China through ticket via Beijing (home 29 Jan). Hotel ~1.7 km from HZNU Cangqian.</t>
        </is>
      </c>
    </row>
    <row r="3"/>
    <row r="4" ht="15" customHeight="1" s="56">
      <c r="A4" s="60" t="inlineStr">
        <is>
          <t>Days in destination (meals &amp; local transport)</t>
        </is>
      </c>
      <c r="B4" s="76" t="n">
        <v>4.5</v>
      </c>
      <c r="C4" s="62" t="inlineStr">
        <is>
          <t>25 Jan → morning 29 Jan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6"/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Aero Mongolia Ulaanbaatar 06:30 → Hohhot (HET) 08:00, nonstop</t>
        </is>
      </c>
      <c r="C10" s="83" t="inlineStr">
        <is>
          <t>25 Jan</t>
        </is>
      </c>
      <c r="D10" s="84" t="n">
        <v>0.0625</v>
      </c>
      <c r="E10" s="85" t="n">
        <v>892</v>
      </c>
      <c r="F10" s="86" t="inlineStr">
        <is>
          <t>CNY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1 Oct: ¥892 pp (bag shown as included – confirm). Self-transfer at Hohhot. Together with row 11: ¥2,752 pp vs ¥3,265 for the Air China through ticket via Beijing (the backup)</t>
        </is>
      </c>
    </row>
    <row r="11" ht="43.25" customHeight="1" s="56">
      <c r="A11" s="81" t="n"/>
      <c r="B11" s="82" t="inlineStr">
        <is>
          <t>Xiamen Airlines Hohhot (HET) 11:15 → Hangzhou (HGH) 13:40, nonstop</t>
        </is>
      </c>
      <c r="C11" s="83" t="inlineStr">
        <is>
          <t>25 Jan</t>
        </is>
      </c>
      <c r="D11" s="84" t="n">
        <v>0.1006944444444444</v>
      </c>
      <c r="E11" s="85" t="n">
        <v>1860</v>
      </c>
      <c r="F11" s="86" t="inlineStr">
        <is>
          <t>CNY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Trip.com 1 Oct: ¥1,860 pp. 3 h 15 min to clear immigration and re-check bags at HET. Air China 19:40 (lands 22:20) is ¥1,710</t>
        </is>
      </c>
    </row>
    <row r="12" ht="43.25" customHeight="1" s="56">
      <c r="A12" s="81" t="n"/>
      <c r="B12" s="82" t="inlineStr">
        <is>
          <t>Air China through ticket Hangzhou 08:00 → Beijing Capital (2 h 35 min transfer) → Ulaanbaatar 15:05, bags checked through</t>
        </is>
      </c>
      <c r="C12" s="83" t="inlineStr">
        <is>
          <t>29 Jan</t>
        </is>
      </c>
      <c r="D12" s="84" t="n">
        <v>0.1875</v>
      </c>
      <c r="E12" s="85" t="n">
        <v>2250</v>
      </c>
      <c r="F12" s="86" t="inlineStr">
        <is>
          <t>CNY</t>
        </is>
      </c>
      <c r="G12" s="87">
        <f>Compare!$B$6</f>
        <v/>
      </c>
      <c r="H12" s="88">
        <f>E12*G12*IF(F12="USD",Compare!$B$8,IF(F12="CNY",Compare!$B$9,IF(F12="HKD",Compare!$B$10,1)))</f>
        <v/>
      </c>
      <c r="I12" s="89">
        <f>E12</f>
        <v/>
      </c>
      <c r="J12" s="87">
        <f>Compare!$B$7</f>
        <v/>
      </c>
      <c r="K12" s="88">
        <f>I12*J12*IF(F12="USD",Compare!$B$8,IF(F12="CNY",Compare!$B$9,IF(F12="HKD",Compare!$B$10,1)))</f>
        <v/>
      </c>
      <c r="L12" s="90" t="inlineStr">
        <is>
          <t>Trip.com 1 Oct: ¥2,250 pp (same price for 07:00 and 09:00 departures). Replaces Hangzhou→Beijing ¥1,809 + a Beijing hotel night + MIAT on 30 Jan $219 (~¥3,280 pp + hotel)</t>
        </is>
      </c>
    </row>
    <row r="13" ht="26.85" customHeight="1" s="56">
      <c r="A13" s="81" t="n"/>
      <c r="B13" s="82" t="n"/>
      <c r="C13" s="83" t="n"/>
      <c r="D13" s="84" t="n"/>
      <c r="E13" s="85" t="n"/>
      <c r="F13" s="86" t="n"/>
      <c r="G13" s="87" t="n"/>
      <c r="H13" s="88" t="n"/>
      <c r="I13" s="89" t="n"/>
      <c r="J13" s="87" t="n"/>
      <c r="K13" s="88" t="n"/>
      <c r="L13" s="90" t="n"/>
    </row>
    <row r="14" ht="15" customHeight="1" s="56">
      <c r="A14" s="79" t="inlineStr">
        <is>
          <t>Accommodation</t>
        </is>
      </c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</row>
    <row r="15" ht="26.85" customHeight="1" s="56">
      <c r="A15" s="81" t="n"/>
      <c r="B15" s="82" t="inlineStr">
        <is>
          <t>Mehood Theater Hotel, Future Sci-Tech City (~1.7 km to HZNU Cangqian; 3 ppl Family Room; 4 ppl 2 rooms)</t>
        </is>
      </c>
      <c r="C15" s="83" t="inlineStr">
        <is>
          <t>25–29 Jan (4 nights)</t>
        </is>
      </c>
      <c r="D15" s="81" t="n"/>
      <c r="E15" s="85" t="n">
        <v>450</v>
      </c>
      <c r="F15" s="86" t="inlineStr">
        <is>
          <t>CNY</t>
        </is>
      </c>
      <c r="G15" s="91" t="n">
        <v>4</v>
      </c>
      <c r="H15" s="88">
        <f>E15*G15*IF(F15="USD",Compare!$B$8,IF(F15="CNY",Compare!$B$9,IF(F15="HKD",Compare!$B$10,1)))</f>
        <v/>
      </c>
      <c r="I15" s="85" t="n">
        <v>712</v>
      </c>
      <c r="J15" s="91" t="n">
        <v>4</v>
      </c>
      <c r="K15" s="88">
        <f>I15*J15*IF(F15="USD",Compare!$B$8,IF(F15="CNY",Compare!$B$9,IF(F15="HKD",Compare!$B$10,1)))</f>
        <v/>
      </c>
      <c r="L15" s="90" t="inlineStr">
        <is>
          <t>Trip.com 1 Oct: ¥1,800 (3 ppl, Family Room) / ¥2,848 (4 ppl, 2 double rooms) for 4 nights; rated 9.6 (2,037 reviews). Was Atour S ¥2,141 / ¥3,379 on Booking.com</t>
        </is>
      </c>
    </row>
    <row r="16" ht="26.85" customHeight="1" s="56">
      <c r="A16" s="81" t="n"/>
      <c r="B16" s="82" t="n"/>
      <c r="C16" s="83" t="n"/>
      <c r="D16" s="81" t="n"/>
      <c r="E16" s="85" t="n"/>
      <c r="F16" s="86" t="n"/>
      <c r="G16" s="91" t="n"/>
      <c r="H16" s="88" t="n"/>
      <c r="I16" s="85" t="n"/>
      <c r="J16" s="91" t="n"/>
      <c r="K16" s="88" t="n"/>
      <c r="L16" s="90" t="n"/>
    </row>
    <row r="17" ht="15" customHeight="1" s="56">
      <c r="A17" s="79" t="inlineStr">
        <is>
          <t>Meals &amp; local transport</t>
        </is>
      </c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</row>
    <row r="18" ht="15" customHeight="1" s="56">
      <c r="A18" s="81" t="n"/>
      <c r="B18" s="82" t="inlineStr">
        <is>
          <t>Meals</t>
        </is>
      </c>
      <c r="C18" s="83" t="inlineStr">
        <is>
          <t>in China</t>
        </is>
      </c>
      <c r="D18" s="81" t="n"/>
      <c r="E18" s="92" t="n">
        <v>80</v>
      </c>
      <c r="F18" s="86" t="inlineStr">
        <is>
          <t>CNY</t>
        </is>
      </c>
      <c r="G18" s="87">
        <f>Compare!$B$6*$B$4</f>
        <v/>
      </c>
      <c r="H18" s="88">
        <f>E18*G18*IF(F18="USD",Compare!$B$8,IF(F18="CNY",Compare!$B$9,IF(F18="HKD",Compare!$B$10,1)))</f>
        <v/>
      </c>
      <c r="I18" s="93">
        <f>E18</f>
        <v/>
      </c>
      <c r="J18" s="87">
        <f>Compare!$B$7*$B$4</f>
        <v/>
      </c>
      <c r="K18" s="88">
        <f>I18*J18*IF(F18="USD",Compare!$B$8,IF(F18="CNY",Compare!$B$9,IF(F18="HKD",Compare!$B$10,1)))</f>
        <v/>
      </c>
      <c r="L18" s="90" t="inlineStr">
        <is>
          <t>ASSUMPTION 80 CNY/person/day; EC Final usually includes banquets</t>
        </is>
      </c>
    </row>
    <row r="19" ht="15" customHeight="1" s="56">
      <c r="A19" s="81" t="n"/>
      <c r="B19" s="82" t="inlineStr">
        <is>
          <t>Local transport (metro, taxis)</t>
        </is>
      </c>
      <c r="C19" s="83" t="inlineStr">
        <is>
          <t>in China</t>
        </is>
      </c>
      <c r="D19" s="81" t="n"/>
      <c r="E19" s="92" t="n">
        <v>30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93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90" t="inlineStr">
        <is>
          <t>ASSUMPTION 30 CNY/person/day</t>
        </is>
      </c>
    </row>
    <row r="20" ht="26.85" customHeight="1" s="56">
      <c r="A20" s="81" t="n"/>
      <c r="B20" s="82" t="inlineStr">
        <is>
          <t>Taxi Hangzhou airport ↔ Cangqian (~55 km), both ways</t>
        </is>
      </c>
      <c r="C20" s="83" t="inlineStr">
        <is>
          <t>25 &amp; 29 Jan</t>
        </is>
      </c>
      <c r="D20" s="81" t="n"/>
      <c r="E20" s="92" t="n">
        <v>150</v>
      </c>
      <c r="F20" s="86" t="inlineStr">
        <is>
          <t>CNY</t>
        </is>
      </c>
      <c r="G20" s="91" t="n">
        <v>2</v>
      </c>
      <c r="H20" s="88">
        <f>E20*G20*IF(F20="USD",Compare!$B$8,IF(F20="CNY",Compare!$B$9,IF(F20="HKD",Compare!$B$10,1)))</f>
        <v/>
      </c>
      <c r="I20" s="93">
        <f>E20</f>
        <v/>
      </c>
      <c r="J20" s="91" t="n">
        <v>2</v>
      </c>
      <c r="K20" s="88">
        <f>I20*J20*IF(F20="USD",Compare!$B$8,IF(F20="CNY",Compare!$B$9,IF(F20="HKD",Compare!$B$10,1)))</f>
        <v/>
      </c>
      <c r="L20" s="90" t="inlineStr">
        <is>
          <t>ASSUMPTION ~150 CNY per car per trip</t>
        </is>
      </c>
    </row>
    <row r="21" ht="15" customHeight="1" s="56">
      <c r="A21" s="94" t="inlineStr">
        <is>
          <t>PAID PERSONALLY (university won't cover)</t>
        </is>
      </c>
      <c r="B21" s="95" t="n"/>
      <c r="C21" s="95" t="n"/>
      <c r="D21" s="95" t="n"/>
      <c r="E21" s="95" t="n"/>
      <c r="F21" s="95" t="n"/>
      <c r="G21" s="95" t="n"/>
      <c r="H21" s="95" t="n"/>
      <c r="I21" s="95" t="n"/>
      <c r="J21" s="95" t="n"/>
      <c r="K21" s="95" t="n"/>
      <c r="L21" s="95" t="n"/>
    </row>
    <row r="22" ht="15" customHeight="1" s="56">
      <c r="A22" s="79" t="inlineStr">
        <is>
          <t>Contest fee</t>
        </is>
      </c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</row>
    <row r="23" ht="15" customHeight="1" s="56">
      <c r="A23" s="81" t="n"/>
      <c r="B23" s="82" t="inlineStr">
        <is>
          <t>EC Final registration fee (per team)</t>
        </is>
      </c>
      <c r="C23" s="83" t="inlineStr">
        <is>
          <t>TBC</t>
        </is>
      </c>
      <c r="D23" s="81" t="n"/>
      <c r="E23" s="92" t="n">
        <v>1500</v>
      </c>
      <c r="F23" s="86" t="inlineStr">
        <is>
          <t>CNY</t>
        </is>
      </c>
      <c r="G23" s="91" t="n">
        <v>1</v>
      </c>
      <c r="H23" s="88">
        <f>E23*G23*IF(F23="USD",Compare!$B$8,IF(F23="CNY",Compare!$B$9,IF(F23="HKD",Compare!$B$10,1)))</f>
        <v/>
      </c>
      <c r="I23" s="93">
        <f>E23</f>
        <v/>
      </c>
      <c r="J23" s="91" t="n">
        <v>1</v>
      </c>
      <c r="K23" s="88">
        <f>I23*J23*IF(F23="USD",Compare!$B$8,IF(F23="CNY",Compare!$B$9,IF(F23="HKD",Compare!$B$10,1)))</f>
        <v/>
      </c>
      <c r="L23" s="90" t="inlineStr">
        <is>
          <t>ASSUMPTION: no public figure found; 1,500 CNY/team like regionals</t>
        </is>
      </c>
    </row>
    <row r="24" ht="15" customHeight="1" s="56">
      <c r="A24" s="79" t="inlineStr">
        <is>
          <t>Other</t>
        </is>
      </c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</row>
    <row r="25" ht="15" customHeight="1" s="56">
      <c r="A25" s="81" t="n"/>
      <c r="B25" s="82" t="inlineStr">
        <is>
          <t>Taxi to/from Chinggis Khaan airport (UB), per trip</t>
        </is>
      </c>
      <c r="C25" s="83" t="inlineStr">
        <is>
          <t>out &amp; back</t>
        </is>
      </c>
      <c r="D25" s="84" t="n">
        <v>0.04166666666666666</v>
      </c>
      <c r="E25" s="92" t="n">
        <v>100000</v>
      </c>
      <c r="F25" s="86" t="inlineStr">
        <is>
          <t>MNT</t>
        </is>
      </c>
      <c r="G25" s="91" t="n">
        <v>2</v>
      </c>
      <c r="H25" s="88">
        <f>E25*G25*IF(F25="USD",Compare!$B$8,IF(F25="CNY",Compare!$B$9,IF(F25="HKD",Compare!$B$10,1)))</f>
        <v/>
      </c>
      <c r="I25" s="93">
        <f>E25</f>
        <v/>
      </c>
      <c r="J25" s="91" t="n">
        <v>2</v>
      </c>
      <c r="K25" s="88">
        <f>I25*J25*IF(F25="USD",Compare!$B$8,IF(F25="CNY",Compare!$B$9,IF(F25="HKD",Compare!$B$10,1)))</f>
        <v/>
      </c>
      <c r="L25" s="90" t="inlineStr">
        <is>
          <t>ASSUMPTION 100k MNT per trip for the group</t>
        </is>
      </c>
    </row>
    <row r="26" ht="15" customHeight="1" s="56">
      <c r="A26" s="81" t="n"/>
      <c r="B26" s="82" t="inlineStr">
        <is>
          <t>Travel medical insurance</t>
        </is>
      </c>
      <c r="C26" s="83" t="n"/>
      <c r="D26" s="81" t="n"/>
      <c r="E26" s="92" t="n">
        <v>30000</v>
      </c>
      <c r="F26" s="86" t="inlineStr">
        <is>
          <t>MNT</t>
        </is>
      </c>
      <c r="G26" s="87">
        <f>Compare!$B$6</f>
        <v/>
      </c>
      <c r="H26" s="88">
        <f>E26*G26*IF(F26="USD",Compare!$B$8,IF(F26="CNY",Compare!$B$9,IF(F26="HKD",Compare!$B$10,1)))</f>
        <v/>
      </c>
      <c r="I26" s="93">
        <f>E26</f>
        <v/>
      </c>
      <c r="J26" s="87">
        <f>Compare!$B$7</f>
        <v/>
      </c>
      <c r="K26" s="88">
        <f>I26*J26*IF(F26="USD",Compare!$B$8,IF(F26="CNY",Compare!$B$9,IF(F26="HKD",Compare!$B$10,1)))</f>
        <v/>
      </c>
      <c r="L26" s="90" t="inlineStr">
        <is>
          <t>ASSUMPTION ~30k MNT per person, Mongolian insurer</t>
        </is>
      </c>
    </row>
    <row r="27" ht="15" customHeight="1" s="56">
      <c r="A27" s="81" t="n"/>
      <c r="B27" s="82" t="inlineStr">
        <is>
          <t>Mobile data eSIM</t>
        </is>
      </c>
      <c r="C27" s="83" t="n"/>
      <c r="D27" s="81" t="n"/>
      <c r="E27" s="92" t="n">
        <v>10</v>
      </c>
      <c r="F27" s="86" t="inlineStr">
        <is>
          <t>USD</t>
        </is>
      </c>
      <c r="G27" s="87">
        <f>Compare!$B$6</f>
        <v/>
      </c>
      <c r="H27" s="88">
        <f>E27*G27*IF(F27="USD",Compare!$B$8,IF(F27="CNY",Compare!$B$9,IF(F27="HKD",Compare!$B$10,1)))</f>
        <v/>
      </c>
      <c r="I27" s="93">
        <f>E27</f>
        <v/>
      </c>
      <c r="J27" s="87">
        <f>Compare!$B$7</f>
        <v/>
      </c>
      <c r="K27" s="88">
        <f>I27*J27*IF(F27="USD",Compare!$B$8,IF(F27="CNY",Compare!$B$9,IF(F27="HKD",Compare!$B$10,1)))</f>
        <v/>
      </c>
      <c r="L27" s="90" t="inlineStr">
        <is>
          <t>ASSUMPTION ~$10 pp</t>
        </is>
      </c>
    </row>
    <row r="28" ht="22.35" customHeight="1" s="56">
      <c r="A28" s="81" t="n"/>
      <c r="B28" s="82" t="inlineStr">
        <is>
          <t>Visa</t>
        </is>
      </c>
      <c r="C28" s="83" t="n"/>
      <c r="D28" s="81" t="n"/>
      <c r="E28" s="85" t="n">
        <v>0</v>
      </c>
      <c r="F28" s="86" t="inlineStr">
        <is>
          <t>MNT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89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Mongolian passports: visa-free (mainland China up to 30 days; Hong Kong up to 14 days)</t>
        </is>
      </c>
    </row>
    <row r="29"/>
    <row r="30" ht="15" customHeight="1" s="56">
      <c r="G30" s="60" t="n"/>
      <c r="H30" s="96" t="inlineStr">
        <is>
          <t>3 people</t>
        </is>
      </c>
      <c r="K30" s="96" t="inlineStr">
        <is>
          <t>4 people</t>
        </is>
      </c>
    </row>
    <row r="31" ht="15" customHeight="1" s="56">
      <c r="G31" s="97" t="inlineStr">
        <is>
          <t>University-paid subtotal</t>
        </is>
      </c>
      <c r="H31" s="98">
        <f>SUM(H9:H20)</f>
        <v/>
      </c>
      <c r="K31" s="98">
        <f>SUM(K9:K20)</f>
        <v/>
      </c>
    </row>
    <row r="32" ht="15" customHeight="1" s="56">
      <c r="G32" s="99" t="inlineStr">
        <is>
          <t>Contingency</t>
        </is>
      </c>
      <c r="H32" s="100">
        <f>H31*Compare!$B$11</f>
        <v/>
      </c>
      <c r="K32" s="100">
        <f>K31*Compare!$B$11</f>
        <v/>
      </c>
    </row>
    <row r="33" ht="15" customHeight="1" s="56">
      <c r="G33" s="97" t="inlineStr">
        <is>
          <t>University-paid total incl. contingency</t>
        </is>
      </c>
      <c r="H33" s="98">
        <f>H31+H32</f>
        <v/>
      </c>
      <c r="K33" s="98">
        <f>K31+K32</f>
        <v/>
      </c>
    </row>
    <row r="34" ht="15" customHeight="1" s="56">
      <c r="G34" s="97" t="inlineStr">
        <is>
          <t>Funding left (negative = over)</t>
        </is>
      </c>
      <c r="H34" s="101">
        <f>Compare!$B$5-H33</f>
        <v/>
      </c>
      <c r="K34" s="101">
        <f>Compare!$B$5-K33</f>
        <v/>
      </c>
    </row>
    <row r="35" ht="15" customHeight="1" s="56">
      <c r="G35" s="97" t="inlineStr">
        <is>
          <t>Personal costs – team</t>
        </is>
      </c>
      <c r="H35" s="102">
        <f>SUM(H22:H28)</f>
        <v/>
      </c>
      <c r="K35" s="102">
        <f>SUM(K22:K28)</f>
        <v/>
      </c>
    </row>
    <row r="36" ht="15" customHeight="1" s="56">
      <c r="G36" s="97" t="inlineStr">
        <is>
          <t>Out-of-pocket per person (personal + any overrun)</t>
        </is>
      </c>
      <c r="H36" s="102">
        <f>(H35+MAX(0,-H34))/Compare!$B$6</f>
        <v/>
      </c>
      <c r="K36" s="102">
        <f>(K35+MAX(0,-K34))/Compare!$B$7</f>
        <v/>
      </c>
    </row>
    <row r="37" ht="15" customHeight="1" s="56">
      <c r="G37" s="97" t="inlineStr">
        <is>
          <t>Whole trip cost (university + personal)</t>
        </is>
      </c>
      <c r="H37" s="103">
        <f>H33+H35</f>
        <v/>
      </c>
      <c r="K37" s="103">
        <f>K33+K35</f>
        <v/>
      </c>
    </row>
    <row r="38" ht="15" customHeight="1" s="56">
      <c r="G38" s="99" t="inlineStr">
        <is>
          <t>Time in planes &amp; trains</t>
        </is>
      </c>
      <c r="H38" s="104">
        <f>SUM(D10:D13)</f>
        <v/>
      </c>
      <c r="K38" s="104">
        <f>SUM(D10:D13)</f>
        <v/>
      </c>
    </row>
    <row r="39"/>
    <row r="40" ht="15" customHeight="1" s="56">
      <c r="A40" s="72" t="inlineStr">
        <is>
          <t>Key facts</t>
        </is>
      </c>
    </row>
    <row r="41" ht="30" customHeight="1" s="56">
      <c r="A41" s="75" t="inlineStr">
        <is>
          <t>Contest</t>
        </is>
      </c>
      <c r="B41" s="74" t="inlineStr">
        <is>
          <t>ICPC Asia East Continent Final, 26–28 Jan 2027 (provisional), Hangzhou Normal University (Cangqian campus assumed). Qualification-only.</t>
        </is>
      </c>
    </row>
    <row r="42" ht="30" customHeight="1" s="56">
      <c r="A42" s="75" t="inlineStr">
        <is>
          <t>Why this plan</t>
        </is>
      </c>
      <c r="B42" s="74" t="inlineStr">
        <is>
          <t>Out via Hohhot: Aero Mongolia's early flight + a nonstop Xiamen Airlines flight land in Hangzhou at 13:40 for ¥2,752 pp, ¥513 less than the Air China through ticket via Beijing (lands 18:45). Back: Air China through ticket, home on 29 Jan.</t>
        </is>
      </c>
    </row>
    <row r="43" ht="30" customHeight="1" s="56">
      <c r="A43" s="75" t="inlineStr">
        <is>
          <t>Buying tickets</t>
        </is>
      </c>
      <c r="B43" s="74" t="inlineStr">
        <is>
          <t>Book on Trip.com as soon as the EC Final slot is confirmed. The outbound is two separate tickets: if Aero Mongolia is late the domestic ticket is not protected (fallback: Air China 19:40 HET → HGH). Late January is the Spring Festival rush; re-check fares about 40 days ahead.</t>
        </is>
      </c>
    </row>
    <row r="44"/>
    <row r="45" ht="15" customHeight="1" s="56">
      <c r="A45" s="72" t="inlineStr">
        <is>
          <t>Day-by-day plan</t>
        </is>
      </c>
    </row>
    <row r="46" ht="15" customHeight="1" s="56">
      <c r="A46" s="96" t="inlineStr">
        <is>
          <t>Date</t>
        </is>
      </c>
      <c r="B46" s="96" t="inlineStr">
        <is>
          <t>Sleep in</t>
        </is>
      </c>
      <c r="C46" s="96" t="inlineStr">
        <is>
          <t>What happens</t>
        </is>
      </c>
    </row>
    <row r="47" ht="30" customHeight="1" s="56">
      <c r="A47" s="74" t="inlineStr">
        <is>
          <t>Mon 25 Jan</t>
        </is>
      </c>
      <c r="B47" s="74" t="inlineStr">
        <is>
          <t>Hangzhou</t>
        </is>
      </c>
      <c r="C47" s="74" t="inlineStr">
        <is>
          <t>Aero Mongolia UB 06:30 → Hohhot 08:00 (immigration, collect bags, re-check) → Xiamen Airlines 11:15 → Hangzhou 13:40. Taxi to hotel.</t>
        </is>
      </c>
    </row>
    <row r="48" ht="15" customHeight="1" s="56">
      <c r="A48" s="74" t="inlineStr">
        <is>
          <t>Tue 26 Jan</t>
        </is>
      </c>
      <c r="B48" s="74" t="inlineStr">
        <is>
          <t>Hangzhou</t>
        </is>
      </c>
      <c r="C48" s="74" t="inlineStr">
        <is>
          <t>EC Final day 1: check-in, opening, warm-up.</t>
        </is>
      </c>
    </row>
    <row r="49" ht="15" customHeight="1" s="56">
      <c r="A49" s="74" t="inlineStr">
        <is>
          <t>Wed 27 Jan</t>
        </is>
      </c>
      <c r="B49" s="74" t="inlineStr">
        <is>
          <t>Hangzhou</t>
        </is>
      </c>
      <c r="C49" s="74" t="inlineStr">
        <is>
          <t>EC FINAL contest day.</t>
        </is>
      </c>
    </row>
    <row r="50" ht="15" customHeight="1" s="56">
      <c r="A50" s="74" t="inlineStr">
        <is>
          <t>Thu 28 Jan</t>
        </is>
      </c>
      <c r="B50" s="74" t="inlineStr">
        <is>
          <t>Hangzhou</t>
        </is>
      </c>
      <c r="C50" s="74" t="inlineStr">
        <is>
          <t>Forums, closing ceremony &amp; awards banquet.</t>
        </is>
      </c>
    </row>
    <row r="51" ht="15" customHeight="1" s="56">
      <c r="A51" s="74" t="inlineStr">
        <is>
          <t>Fri 29 Jan</t>
        </is>
      </c>
      <c r="B51" s="74" t="inlineStr">
        <is>
          <t>Home</t>
        </is>
      </c>
      <c r="C51" s="74" t="inlineStr">
        <is>
          <t>Air China through ticket Hangzhou 08:00 → Beijing Capital 10:20 (exit immigration) → Beijing 12:55 → UB 15:05. Home the same day.</t>
        </is>
      </c>
    </row>
    <row r="52" ht="15" customHeight="1" s="56">
      <c r="A52" s="74" t="n"/>
      <c r="B52" s="74" t="n"/>
      <c r="C52" s="74" t="n"/>
    </row>
    <row r="53"/>
    <row r="54" ht="15" customHeight="1" s="56">
      <c r="A54" s="72" t="inlineStr">
        <is>
          <t>Door-to-door travel times</t>
        </is>
      </c>
    </row>
    <row r="55" ht="15" customHeight="1" s="56">
      <c r="A55" s="96" t="inlineStr">
        <is>
          <t>Date</t>
        </is>
      </c>
      <c r="B55" s="96" t="inlineStr">
        <is>
          <t>Leg</t>
        </is>
      </c>
      <c r="C55" s="96" t="inlineStr">
        <is>
          <t>Mode</t>
        </is>
      </c>
      <c r="D55" s="96" t="inlineStr">
        <is>
          <t>Expected time</t>
        </is>
      </c>
      <c r="E55" s="96" t="inlineStr">
        <is>
          <t>Notes</t>
        </is>
      </c>
    </row>
    <row r="56" ht="15" customHeight="1" s="56">
      <c r="A56" s="105" t="inlineStr">
        <is>
          <t>25 Jan</t>
        </is>
      </c>
      <c r="B56" s="105" t="inlineStr">
        <is>
          <t>Home → Chinggis Khaan airport</t>
        </is>
      </c>
      <c r="C56" s="82" t="inlineStr">
        <is>
          <t>Taxi (~50 km)</t>
        </is>
      </c>
      <c r="D56" s="104" t="n">
        <v>0.04166666666666666</v>
      </c>
      <c r="E56" s="106" t="inlineStr">
        <is>
          <t>Leave ~03:30 for the 06:30 flight</t>
        </is>
      </c>
      <c r="F56" s="107" t="n"/>
      <c r="G56" s="107" t="n"/>
      <c r="H56" s="107" t="n"/>
      <c r="I56" s="107" t="n"/>
      <c r="J56" s="107" t="n"/>
      <c r="K56" s="107" t="n"/>
      <c r="L56" s="107" t="n"/>
    </row>
    <row r="57" ht="26.85" customHeight="1" s="56">
      <c r="A57" s="105" t="inlineStr">
        <is>
          <t>25 Jan</t>
        </is>
      </c>
      <c r="B57" s="105" t="inlineStr">
        <is>
          <t>Ulaanbaatar → Hohhot (HET)</t>
        </is>
      </c>
      <c r="C57" s="82" t="inlineStr">
        <is>
          <t>Aero Mongolia 06:30–08:00</t>
        </is>
      </c>
      <c r="D57" s="84" t="n">
        <v>0.0625</v>
      </c>
      <c r="E57" s="106" t="n"/>
      <c r="F57" s="107" t="n"/>
      <c r="G57" s="107" t="n"/>
      <c r="H57" s="107" t="n"/>
      <c r="I57" s="107" t="n"/>
      <c r="J57" s="107" t="n"/>
      <c r="K57" s="107" t="n"/>
      <c r="L57" s="107" t="n"/>
    </row>
    <row r="58" ht="15" customHeight="1" s="56">
      <c r="A58" s="105" t="inlineStr">
        <is>
          <t>25 Jan</t>
        </is>
      </c>
      <c r="B58" s="105" t="inlineStr">
        <is>
          <t>HET: immigration, collect bags, check in for the domestic flight</t>
        </is>
      </c>
      <c r="C58" s="82" t="inlineStr">
        <is>
          <t>—</t>
        </is>
      </c>
      <c r="D58" s="104" t="n">
        <v>0.1354166666666667</v>
      </c>
      <c r="E58" s="106" t="inlineStr">
        <is>
          <t>Self-transfer on separate tickets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25 Jan</t>
        </is>
      </c>
      <c r="B59" s="105" t="inlineStr">
        <is>
          <t>Hohhot → Hangzhou (HGH)</t>
        </is>
      </c>
      <c r="C59" s="82" t="inlineStr">
        <is>
          <t>Xiamen Airlines 11:15–13:40</t>
        </is>
      </c>
      <c r="D59" s="104" t="n">
        <v>0.1006944444444444</v>
      </c>
      <c r="E59" s="106" t="n"/>
      <c r="F59" s="107" t="n"/>
      <c r="G59" s="107" t="n"/>
      <c r="H59" s="107" t="n"/>
      <c r="I59" s="107" t="n"/>
      <c r="J59" s="107" t="n"/>
      <c r="K59" s="107" t="n"/>
      <c r="L59" s="107" t="n"/>
    </row>
    <row r="60" ht="39.55" customHeight="1" s="56">
      <c r="A60" s="105" t="inlineStr">
        <is>
          <t>25 Jan</t>
        </is>
      </c>
      <c r="B60" s="105" t="inlineStr">
        <is>
          <t>HGH → hotel (Cangqian)</t>
        </is>
      </c>
      <c r="C60" s="82" t="inlineStr">
        <is>
          <t>Taxi (~55 km)</t>
        </is>
      </c>
      <c r="D60" s="104" t="n">
        <v>0.04166666666666666</v>
      </c>
      <c r="E60" s="106" t="inlineStr">
        <is>
          <t>Estimate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26–28 Jan</t>
        </is>
      </c>
      <c r="B61" s="105" t="inlineStr">
        <is>
          <t>Hotel ↔ HZNU Cangqian (each way)</t>
        </is>
      </c>
      <c r="C61" s="82" t="inlineStr">
        <is>
          <t>Walk</t>
        </is>
      </c>
      <c r="D61" s="104" t="inlineStr">
        <is>
          <t>daily</t>
        </is>
      </c>
      <c r="E61" s="106" t="inlineStr">
        <is>
          <t>~20 min walk (1.7 km)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29 Jan</t>
        </is>
      </c>
      <c r="B62" s="105" t="inlineStr">
        <is>
          <t>Hotel → HGH</t>
        </is>
      </c>
      <c r="C62" s="82" t="inlineStr">
        <is>
          <t>Taxi</t>
        </is>
      </c>
      <c r="D62" s="110" t="n">
        <v>0.04166666666666666</v>
      </c>
      <c r="E62" s="106" t="inlineStr">
        <is>
          <t>Leave ~05:30</t>
        </is>
      </c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29 Jan</t>
        </is>
      </c>
      <c r="B63" s="105" t="inlineStr">
        <is>
          <t>HGH check-in &amp; security</t>
        </is>
      </c>
      <c r="C63" s="82" t="inlineStr">
        <is>
          <t>—</t>
        </is>
      </c>
      <c r="D63" s="104" t="n">
        <v>0.0625</v>
      </c>
      <c r="E63" s="106" t="n"/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29 Jan</t>
        </is>
      </c>
      <c r="B64" s="105" t="inlineStr">
        <is>
          <t>Hangzhou → Beijing Capital (PEK)</t>
        </is>
      </c>
      <c r="C64" s="82" t="inlineStr">
        <is>
          <t>Air China 08:00–10:20</t>
        </is>
      </c>
      <c r="D64" s="104" t="n">
        <v>0.09722222222222222</v>
      </c>
      <c r="E64" s="106" t="n"/>
      <c r="F64" s="107" t="n"/>
      <c r="G64" s="107" t="n"/>
      <c r="H64" s="107" t="n"/>
      <c r="I64" s="107" t="n"/>
      <c r="J64" s="107" t="n"/>
      <c r="K64" s="107" t="n"/>
      <c r="L64" s="107" t="n"/>
    </row>
    <row r="65" ht="39.55" customHeight="1" s="56">
      <c r="A65" s="105" t="inlineStr">
        <is>
          <t>29 Jan</t>
        </is>
      </c>
      <c r="B65" s="105" t="inlineStr">
        <is>
          <t>PEK: domestic-to-international transfer, exit immigration</t>
        </is>
      </c>
      <c r="C65" s="82" t="inlineStr">
        <is>
          <t>—</t>
        </is>
      </c>
      <c r="D65" s="104" t="n">
        <v>0.1076388888888889</v>
      </c>
      <c r="E65" s="106" t="n"/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29 Jan</t>
        </is>
      </c>
      <c r="B66" s="105" t="inlineStr">
        <is>
          <t>Beijing Capital → Ulaanbaatar</t>
        </is>
      </c>
      <c r="C66" s="82" t="inlineStr">
        <is>
          <t>Air China 12:55–15:05</t>
        </is>
      </c>
      <c r="D66" s="104" t="n">
        <v>0.09027777777777778</v>
      </c>
      <c r="E66" s="106" t="n"/>
      <c r="F66" s="107" t="n"/>
      <c r="G66" s="107" t="n"/>
      <c r="H66" s="107" t="n"/>
      <c r="I66" s="107" t="n"/>
      <c r="J66" s="107" t="n"/>
      <c r="K66" s="107" t="n"/>
      <c r="L66" s="107" t="n"/>
    </row>
    <row r="67" ht="15" customHeight="1" s="56">
      <c r="A67" s="105" t="inlineStr">
        <is>
          <t>29 Jan</t>
        </is>
      </c>
      <c r="B67" s="105" t="inlineStr">
        <is>
          <t>Chinggis Khaan airport → home</t>
        </is>
      </c>
      <c r="C67" s="82" t="inlineStr">
        <is>
          <t>Taxi</t>
        </is>
      </c>
      <c r="D67" s="104" t="n">
        <v>0.04166666666666666</v>
      </c>
      <c r="E67" s="106" t="n"/>
      <c r="F67" s="107" t="n"/>
      <c r="G67" s="107" t="n"/>
      <c r="H67" s="107" t="n"/>
      <c r="I67" s="107" t="n"/>
      <c r="J67" s="107" t="n"/>
      <c r="K67" s="107" t="n"/>
      <c r="L67" s="107" t="n"/>
    </row>
    <row r="68" ht="26.85" customHeight="1" s="56">
      <c r="A68" s="105" t="n"/>
      <c r="B68" s="105" t="n"/>
      <c r="C68" s="82" t="n"/>
      <c r="D68" s="84" t="n"/>
      <c r="E68" s="106" t="n"/>
      <c r="F68" s="107" t="n"/>
      <c r="G68" s="107" t="n"/>
      <c r="H68" s="107" t="n"/>
      <c r="I68" s="107" t="n"/>
      <c r="J68" s="107" t="n"/>
      <c r="K68" s="107" t="n"/>
      <c r="L68" s="107" t="n"/>
    </row>
    <row r="69" ht="14.15" customHeight="1" s="56">
      <c r="A69" s="105" t="n"/>
      <c r="B69" s="105" t="n"/>
      <c r="C69" s="82" t="n"/>
      <c r="D69" s="104" t="n"/>
      <c r="E69" s="106" t="n"/>
      <c r="F69" s="107" t="n"/>
      <c r="G69" s="107" t="n"/>
      <c r="H69" s="107" t="n"/>
      <c r="I69" s="107" t="n"/>
      <c r="J69" s="107" t="n"/>
      <c r="K69" s="107" t="n"/>
      <c r="L69" s="107" t="n"/>
    </row>
    <row r="70" ht="15" customHeight="1" s="56">
      <c r="C70" s="59" t="inlineStr">
        <is>
          <t>Total door-to-door</t>
        </is>
      </c>
      <c r="D70" s="109">
        <f>SUM(D56:D69)</f>
        <v/>
      </c>
    </row>
  </sheetData>
  <mergeCells count="25">
    <mergeCell ref="E56:L56"/>
    <mergeCell ref="E58:L58"/>
    <mergeCell ref="C52:L52"/>
    <mergeCell ref="E68:L68"/>
    <mergeCell ref="C48:L48"/>
    <mergeCell ref="E55:L55"/>
    <mergeCell ref="E62:L62"/>
    <mergeCell ref="E67:L67"/>
    <mergeCell ref="B43:L43"/>
    <mergeCell ref="E64:L64"/>
    <mergeCell ref="C49:L49"/>
    <mergeCell ref="E63:L63"/>
    <mergeCell ref="B42:L42"/>
    <mergeCell ref="E60:L60"/>
    <mergeCell ref="E69:L69"/>
    <mergeCell ref="E65:L65"/>
    <mergeCell ref="E59:L59"/>
    <mergeCell ref="C47:L47"/>
    <mergeCell ref="C50:L50"/>
    <mergeCell ref="E61:L61"/>
    <mergeCell ref="E57:L57"/>
    <mergeCell ref="E66:L66"/>
    <mergeCell ref="C51:L51"/>
    <mergeCell ref="C46:L46"/>
    <mergeCell ref="B41:L4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2026-09-30T14:38:02Z</dcterms:created>
  <dcterms:modified xsi:type="dcterms:W3CDTF">2026-10-02T21:09:50Z</dcterms:modified>
  <cp:revision>0</cp:revision>
</cp:coreProperties>
</file>