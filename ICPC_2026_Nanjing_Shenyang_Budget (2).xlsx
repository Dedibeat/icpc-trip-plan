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mpare" sheetId="1" state="visible" r:id="rId3"/>
    <sheet name="A Balanced" sheetId="2" state="visible" r:id="rId4"/>
    <sheet name="B Budget" sheetId="3" state="visible" r:id="rId5"/>
    <sheet name="C Home between" sheetId="4" state="visible" r:id="rId6"/>
    <sheet name="Itineraries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<sst xmlns="http://schemas.openxmlformats.org/spreadsheetml/2006/main" count="435" uniqueCount="187">
  <si>
    <t xml:space="preserve">ICPC 2026 Asia EC — Nanjing (7–8 Nov) + Shenyang (14–15 Nov): 3 trip variants</t>
  </si>
  <si>
    <t xml:space="preserve">3 contestants from Ulaanbaatar. Prices checked 30 Sep 2026. Blue = inputs; yellow = key assumptions; green = links to another sheet.</t>
  </si>
  <si>
    <t xml:space="preserve">Shared inputs</t>
  </si>
  <si>
    <t xml:space="preserve">University funding (MNT)</t>
  </si>
  <si>
    <t xml:space="preserve">Given by team (raised from 12M on 30 Sep)</t>
  </si>
  <si>
    <t xml:space="preserve">Travelers</t>
  </si>
  <si>
    <t xml:space="preserve">3 contestants, no coach travelling</t>
  </si>
  <si>
    <t xml:space="preserve">USD → MNT</t>
  </si>
  <si>
    <t xml:space="preserve">Mid-market, Xe/Investing.com, 29–30 Sep 2026</t>
  </si>
  <si>
    <t xml:space="preserve">CNY → MNT</t>
  </si>
  <si>
    <t xml:space="preserve">Mid-market, Xe/currency.wiki, late Sep 2026</t>
  </si>
  <si>
    <t xml:space="preserve">Contingency %</t>
  </si>
  <si>
    <t xml:space="preserve">Buffer for fare changes, FX spread, extras</t>
  </si>
  <si>
    <t xml:space="preserve">Side-by-side</t>
  </si>
  <si>
    <t xml:space="preserve">A Balanced</t>
  </si>
  <si>
    <t xml:space="preserve">B Budget</t>
  </si>
  <si>
    <t xml:space="preserve">C Home between</t>
  </si>
  <si>
    <t xml:space="preserve">Subtotal (MNT)</t>
  </si>
  <si>
    <t xml:space="preserve">Contingency</t>
  </si>
  <si>
    <t xml:space="preserve">TOTAL incl. contingency</t>
  </si>
  <si>
    <t xml:space="preserve">Funding left after subtotal (negative = over)</t>
  </si>
  <si>
    <t xml:space="preserve">Out-of-pocket incl. contingency</t>
  </si>
  <si>
    <t xml:space="preserve">Per person incl. contingency</t>
  </si>
  <si>
    <t xml:space="preserve">Nights away from home</t>
  </si>
  <si>
    <t xml:space="preserve">10</t>
  </si>
  <si>
    <t xml:space="preserve">7 (home 10–13 Nov)</t>
  </si>
  <si>
    <t xml:space="preserve">Nanjing hotel → NUAA Jiangjun Rd</t>
  </si>
  <si>
    <t xml:space="preserve">~500 m walk</t>
  </si>
  <si>
    <t xml:space="preserve">~50–60 min metro</t>
  </si>
  <si>
    <t xml:space="preserve">Shenyang hotel → NEU Nanhu</t>
  </si>
  <si>
    <t xml:space="preserve">~1.4 km</t>
  </si>
  <si>
    <t xml:space="preserve">~25 min metro</t>
  </si>
  <si>
    <t xml:space="preserve">Beijing → Nanjing train</t>
  </si>
  <si>
    <t xml:space="preserve">Fast, ~3 h 25 min</t>
  </si>
  <si>
    <t xml:space="preserve">Slower, ~4 h 50 min</t>
  </si>
  <si>
    <t xml:space="preserve">Fast, both ways</t>
  </si>
  <si>
    <t xml:space="preserve">Main trade-off</t>
  </si>
  <si>
    <t xml:space="preserve">Best rest &amp; least commuting on contest days; ~₮2M headroom</t>
  </si>
  <si>
    <t xml:space="preserve">Cheapest; subtotal fits even the original ₮12M; longer commutes, basic rooms</t>
  </si>
  <si>
    <t xml:space="preserve">Less class missed, sleep at home; ~4 extra travel legs; over ₮15M</t>
  </si>
  <si>
    <t xml:space="preserve">Hotels near both venues; fly MIAT via Beijing; high-speed rail; stay in Nanjing during the gap week.</t>
  </si>
  <si>
    <t xml:space="preserve">Variant inputs</t>
  </si>
  <si>
    <t xml:space="preserve">Days in China (meals &amp; local transport)</t>
  </si>
  <si>
    <t xml:space="preserve">Evening 6 Nov → morning 16 Nov</t>
  </si>
  <si>
    <t xml:space="preserve">Shared inputs (funding, FX, travelers, contingency) are on the Compare sheet.</t>
  </si>
  <si>
    <t xml:space="preserve">Category</t>
  </si>
  <si>
    <t xml:space="preserve">Item</t>
  </si>
  <si>
    <t xml:space="preserve">Date</t>
  </si>
  <si>
    <t xml:space="preserve">Unit cost</t>
  </si>
  <si>
    <t xml:space="preserve">Currency</t>
  </si>
  <si>
    <t xml:space="preserve">Qty</t>
  </si>
  <si>
    <t xml:space="preserve">Total (orig. ccy)</t>
  </si>
  <si>
    <t xml:space="preserve">Total (MNT)</t>
  </si>
  <si>
    <t xml:space="preserve">Source / notes</t>
  </si>
  <si>
    <t xml:space="preserve">Flights</t>
  </si>
  <si>
    <t xml:space="preserve">MIAT OM223 Ulaanbaatar → Beijing (PEK), nonstop 17:15–19:30</t>
  </si>
  <si>
    <t xml:space="preserve">6 Nov</t>
  </si>
  <si>
    <t xml:space="preserve">USD</t>
  </si>
  <si>
    <t xml:space="preserve">SlickTrip 30 Sep: $462 for 3 ($154 pp)</t>
  </si>
  <si>
    <t xml:space="preserve">Spring Airlines 9C7758 Nanjing → Shenyang, 19:55–23:50</t>
  </si>
  <si>
    <t xml:space="preserve">13 Nov</t>
  </si>
  <si>
    <t xml:space="preserve">SlickTrip 30 Sep: $332 for 3. Budget carrier – hand baggage only</t>
  </si>
  <si>
    <t xml:space="preserve">Spring Airlines checked bag (1 per person)</t>
  </si>
  <si>
    <t xml:space="preserve">CNY</t>
  </si>
  <si>
    <t xml:space="preserve">ASSUMPTION ~100 CNY/bag if pre-bought; confirm on booking</t>
  </si>
  <si>
    <t xml:space="preserve">MIAT OM224 Beijing (PEK) → Ulaanbaatar, nonstop 11:30–13:50</t>
  </si>
  <si>
    <t xml:space="preserve">16 Nov</t>
  </si>
  <si>
    <t xml:space="preserve">SlickTrip 30 Sep: $589 for 3 ($196.33 pp)</t>
  </si>
  <si>
    <t xml:space="preserve">Trains</t>
  </si>
  <si>
    <t xml:space="preserve">High-speed rail Beijing South → Nanjing South, fast G-train (~3 h 25 min)</t>
  </si>
  <si>
    <t xml:space="preserve">7 Nov</t>
  </si>
  <si>
    <t xml:space="preserve">Ctrip: 504 CNY on the ~3 h 23 min trains (slower ~4 h 50 min trains are 445)</t>
  </si>
  <si>
    <t xml:space="preserve">High-speed rail Shenyang North → Beijing Chaoyang, 2nd class (~2 h 45 min)</t>
  </si>
  <si>
    <t xml:space="preserve">15 Nov (eve)</t>
  </si>
  <si>
    <t xml:space="preserve">12306 fare 339 CNY</t>
  </si>
  <si>
    <t xml:space="preserve">Accommodation (1 room for 3)</t>
  </si>
  <si>
    <t xml:space="preserve">Beijing budget hotel near Beijing South</t>
  </si>
  <si>
    <t xml:space="preserve">6 Nov (1 night)</t>
  </si>
  <si>
    <t xml:space="preserve">Booking.com 6–7 Nov: 227–366 CNY/night for 3 people</t>
  </si>
  <si>
    <t xml:space="preserve">Magnotel NUAA Shengtai West Road (~500 m walk to NUAA Jiangjun Rd campus)</t>
  </si>
  <si>
    <t xml:space="preserve">7–13 Nov (6 nights)</t>
  </si>
  <si>
    <t xml:space="preserve">Booking.com 7–13 Nov, 3 adults/1 room: 3,616 CNY for 6 nights = 602.67/night</t>
  </si>
  <si>
    <t xml:space="preserve">Atour Hotel Shenyang Youth Street Golden Gallery (~1.4 km to NEU Nanhu campus)</t>
  </si>
  <si>
    <t xml:space="preserve">13–15 Nov (2 nights)</t>
  </si>
  <si>
    <t xml:space="preserve">Booking.com 13–15 Nov, 3 adults/1 room: 1,048 CNY for 2 nights, rated 9.5</t>
  </si>
  <si>
    <t xml:space="preserve">Beijing budget hotel near Chaoyang station / airport</t>
  </si>
  <si>
    <t xml:space="preserve">15 Nov (1 night)</t>
  </si>
  <si>
    <t xml:space="preserve">Same rate as 6 Nov Beijing search</t>
  </si>
  <si>
    <t xml:space="preserve">Contest fees</t>
  </si>
  <si>
    <t xml:space="preserve">Nanjing regional registration fee (per team)</t>
  </si>
  <si>
    <t xml:space="preserve">pay by mid-Oct</t>
  </si>
  <si>
    <t xml:space="preserve">1,500 CNY/team in 2023–2025 Nanjing guides; 2026 guide published 30 Sep – confirm</t>
  </si>
  <si>
    <t xml:space="preserve">Shenyang regional registration fee (per team)</t>
  </si>
  <si>
    <t xml:space="preserve">TBC</t>
  </si>
  <si>
    <t xml:space="preserve">ASSUMPTION: same as Nanjing; 2026 Shenyang invitation not yet out</t>
  </si>
  <si>
    <t xml:space="preserve">Daily costs</t>
  </si>
  <si>
    <t xml:space="preserve">Meals (canteen / cheap restaurants)</t>
  </si>
  <si>
    <t xml:space="preserve">in China</t>
  </si>
  <si>
    <t xml:space="preserve">ASSUMPTION 80 CNY/person/day; hosts usually feed teams on contest days</t>
  </si>
  <si>
    <t xml:space="preserve">Local transport (metro, taxis, airport ↔ station)</t>
  </si>
  <si>
    <t xml:space="preserve">ASSUMPTION 30 CNY/person/day</t>
  </si>
  <si>
    <t xml:space="preserve">Other</t>
  </si>
  <si>
    <t xml:space="preserve">Taxi to/from Chinggis Khaan airport (UB)</t>
  </si>
  <si>
    <t xml:space="preserve">each airport trip</t>
  </si>
  <si>
    <t xml:space="preserve">MNT</t>
  </si>
  <si>
    <t xml:space="preserve">ASSUMPTION 100k MNT per trip for the group</t>
  </si>
  <si>
    <t xml:space="preserve">Travel medical insurance (per trip)</t>
  </si>
  <si>
    <t xml:space="preserve">ASSUMPTION ~30k MNT per person per trip, Mongolian insurer</t>
  </si>
  <si>
    <t xml:space="preserve">China mobile data eSIM</t>
  </si>
  <si>
    <t xml:space="preserve">ASSUMPTION ~$10 pp; needed for Alipay/WeChat Pay, maps</t>
  </si>
  <si>
    <t xml:space="preserve">China visa</t>
  </si>
  <si>
    <t xml:space="preserve">Mongolian passports: visa-free up to 30 days – no cost</t>
  </si>
  <si>
    <t xml:space="preserve">Subtotal</t>
  </si>
  <si>
    <t xml:space="preserve">University funding</t>
  </si>
  <si>
    <t xml:space="preserve">By category</t>
  </si>
  <si>
    <t xml:space="preserve">Cheapest found everything: hostels/budget chains farther from venues (metro commute), slower trains.</t>
  </si>
  <si>
    <t xml:space="preserve">High-speed rail Beijing South → Nanjing South, slower G-train (~4 h 35–50 min)</t>
  </si>
  <si>
    <t xml:space="preserve">Ctrip: 445 CNY 2nd class</t>
  </si>
  <si>
    <t xml:space="preserve">Beijing LeftBank Youth Hostel (Fengtai, near Beijing South)</t>
  </si>
  <si>
    <t xml:space="preserve">Booking.com 6–7 Nov: 226.80 CNY for 3 people</t>
  </si>
  <si>
    <t xml:space="preserve">Jinjiang Inn Nanjing Train Station 1 (Gulou; ~50–60 min metro to NUAA Jiangjun Rd)</t>
  </si>
  <si>
    <t xml:space="preserve">Booking.com: 725 CNY for 5 nights (7–12 Nov) = 145/night; rated 7.1</t>
  </si>
  <si>
    <t xml:space="preserve">Bestay Hotel Express Shenyang (Huaiyuanmen; ~25 min metro to NEU Nanhu)</t>
  </si>
  <si>
    <t xml:space="preserve">Booking.com: 258 CNY for 3 nights = 86/night. Unusually cheap – re-check</t>
  </si>
  <si>
    <t xml:space="preserve">Beijing hostel near Chaoyang station</t>
  </si>
  <si>
    <t xml:space="preserve">Same rate as 6 Nov hostel</t>
  </si>
  <si>
    <t xml:space="preserve">Fly home to UB after Nanjing (10 Nov), back to China 13 Nov. Fewer days away, two extra flights.</t>
  </si>
  <si>
    <t xml:space="preserve">6–10 Nov + 13–16 Nov</t>
  </si>
  <si>
    <t xml:space="preserve">MIAT OM224 Beijing (PEK) → Ulaanbaatar, 20:45–23:05</t>
  </si>
  <si>
    <t xml:space="preserve">10 Nov</t>
  </si>
  <si>
    <t xml:space="preserve">SlickTrip 30 Sep: $669 for 3 ($223 pp). 9 Nov 11:30 flight is $294.67 pp</t>
  </si>
  <si>
    <t xml:space="preserve">MIAT OM223 Ulaanbaatar → Beijing (PEK), 17:15–19:30</t>
  </si>
  <si>
    <t xml:space="preserve">Ctrip: 504 CNY</t>
  </si>
  <si>
    <t xml:space="preserve">High-speed rail Nanjing South → Beijing South, fast G-train (~3 h 25 min)</t>
  </si>
  <si>
    <t xml:space="preserve">10 Nov (midday)</t>
  </si>
  <si>
    <t xml:space="preserve">Ctrip: 504 CNY; arrive Beijing late afternoon for 20:45 flight</t>
  </si>
  <si>
    <t xml:space="preserve">High-speed rail Beijing Chaoyang → Shenyang North (~2 h 45 min)</t>
  </si>
  <si>
    <t xml:space="preserve">14 Nov (morning)</t>
  </si>
  <si>
    <t xml:space="preserve">Booking.com 6–7 Nov: 227–366 CNY/night</t>
  </si>
  <si>
    <t xml:space="preserve">7–10 Nov (3 nights)</t>
  </si>
  <si>
    <t xml:space="preserve">Booking.com 7–13 Nov, 3 adults/1 room: 3,616 CNY for 6 nights = 602.67/night (rate assumed to hold for 3 nights)</t>
  </si>
  <si>
    <t xml:space="preserve">Beijing budget hotel near Chaoyang station</t>
  </si>
  <si>
    <t xml:space="preserve">13 Nov (1 night)</t>
  </si>
  <si>
    <t xml:space="preserve">ASSUMPTION same Beijing rate</t>
  </si>
  <si>
    <t xml:space="preserve">14–15 Nov (1 night)</t>
  </si>
  <si>
    <t xml:space="preserve">Booking.com 13–15 Nov, 3 adults/1 room: 1,048 CNY for 2 nights, rated 9.5 (rate assumed for 1 night)</t>
  </si>
  <si>
    <t xml:space="preserve">Same Beijing rate</t>
  </si>
  <si>
    <t xml:space="preserve">A Balanced / B Budget (same route)</t>
  </si>
  <si>
    <t xml:space="preserve">Sleep in</t>
  </si>
  <si>
    <t xml:space="preserve">What happens</t>
  </si>
  <si>
    <t xml:space="preserve">Fri 6 Nov</t>
  </si>
  <si>
    <t xml:space="preserve">Beijing</t>
  </si>
  <si>
    <t xml:space="preserve">MIAT OM223 UB 17:15 → Beijing Capital 19:30. Hotel/hostel near Beijing South.</t>
  </si>
  <si>
    <t xml:space="preserve">Sat 7 Nov</t>
  </si>
  <si>
    <t xml:space="preserve">Nanjing</t>
  </si>
  <si>
    <t xml:space="preserve">Morning G-train Beijing South → Nanjing South (A: ~3 h 25 min fast train; B: ~4 h 50 min). Check-in &amp; practice at NUAA Jiangjun Road campus.</t>
  </si>
  <si>
    <t xml:space="preserve">Sun 8 Nov</t>
  </si>
  <si>
    <t xml:space="preserve">NANJING REGIONAL contest day.</t>
  </si>
  <si>
    <t xml:space="preserve">9–12 Nov</t>
  </si>
  <si>
    <t xml:space="preserve">Rest / upsolve / train in Nanjing.</t>
  </si>
  <si>
    <t xml:space="preserve">Fri 13 Nov</t>
  </si>
  <si>
    <t xml:space="preserve">Shenyang</t>
  </si>
  <si>
    <t xml:space="preserve">Spring 9C7758 Nanjing 19:55 → Shenyang 23:50. Taxi to hotel.</t>
  </si>
  <si>
    <t xml:space="preserve">Sat 14 Nov</t>
  </si>
  <si>
    <t xml:space="preserve">Check-in &amp; practice at Northeastern University Nanhu campus.</t>
  </si>
  <si>
    <t xml:space="preserve">Sun 15 Nov</t>
  </si>
  <si>
    <t xml:space="preserve">SHENYANG REGIONAL contest day. Evening G-train Shenyang North → Beijing Chaoyang (~2 h 45 min).</t>
  </si>
  <si>
    <t xml:space="preserve">Mon 16 Nov</t>
  </si>
  <si>
    <t xml:space="preserve">Home</t>
  </si>
  <si>
    <t xml:space="preserve">MIAT OM224 Beijing Capital 11:30 → UB 13:50.</t>
  </si>
  <si>
    <t xml:space="preserve">MIAT OM223 UB 17:15 → Beijing 19:30.</t>
  </si>
  <si>
    <t xml:space="preserve">Fast G-train to Nanjing South. Check-in &amp; practice at NUAA.</t>
  </si>
  <si>
    <t xml:space="preserve">Mon 9 Nov</t>
  </si>
  <si>
    <t xml:space="preserve">Rest day in Nanjing (or leave a day early: 9 Nov MIAT 11:30 is $294.67 pp).</t>
  </si>
  <si>
    <t xml:space="preserve">Tue 10 Nov</t>
  </si>
  <si>
    <t xml:space="preserve">Home (late)</t>
  </si>
  <si>
    <t xml:space="preserve">Midday fast train Nanjing South → Beijing South; MIAT OM224 PEK 20:45 → UB 23:05.</t>
  </si>
  <si>
    <t xml:space="preserve">11–12 Nov</t>
  </si>
  <si>
    <t xml:space="preserve">Classes / rest at home.</t>
  </si>
  <si>
    <t xml:space="preserve">MIAT OM223 UB 17:15 → Beijing 19:30. Hotel near Beijing Chaoyang station.</t>
  </si>
  <si>
    <t xml:space="preserve">Morning G-train Beijing Chaoyang → Shenyang North (~2 h 45 min). Check-in &amp; practice at NEU Nanhu.</t>
  </si>
  <si>
    <t xml:space="preserve">SHENYANG REGIONAL contest day. Evening train back to Beijing.</t>
  </si>
  <si>
    <t xml:space="preserve">MIAT OM224 Beijing 11:30 → UB 13:50.</t>
  </si>
  <si>
    <t xml:space="preserve">Note</t>
  </si>
  <si>
    <t xml:space="preserve">Dates are the organisers' provisional dates (ICPC Beijing HQ summary, 5 Aug 2026); venues are last year's campuses. Confirm both in each 2026 invitation before paying for anything non-refundable.</t>
  </si>
  <si>
    <t xml:space="preserve">If the Shenyang awards ceremony runs late on 15 Nov: sleep in Shenyang, train on 16 Nov, fly MIAT OM224 17 Nov 20:45 (same fare) – roughly +1 Beijing night.</t>
  </si>
  <si>
    <t xml:space="preserve">Chinese train tickets open ~15 days before travel on 12306 / Trip.com; passports needed to buy.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</si>
</sst>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&quot; ₮&quot;;\(#,##0&quot; ₮)&quot;;\-"/>
    <numFmt numFmtId="166" formatCode="0"/>
    <numFmt numFmtId="167" formatCode="#,##0"/>
    <numFmt numFmtId="168" formatCode="0%"/>
    <numFmt numFmtId="169" formatCode="#,##0.00;\(#,##0.00\);\-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11"/>
      <color rgb="FF595959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8000"/>
      <name val="Arial"/>
      <family val="0"/>
      <charset val="1"/>
    </font>
    <font>
      <sz val="9"/>
      <color rgb="FF595959"/>
      <name val="Arial"/>
      <family val="0"/>
      <charset val="1"/>
    </font>
    <font>
      <b val="true"/>
      <sz val="12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3864"/>
        <bgColor rgb="FF333333"/>
      </patternFill>
    </fill>
    <fill>
      <patternFill patternType="solid">
        <fgColor rgb="FFE2EFDA"/>
        <bgColor rgb="FFD9E1F2"/>
      </patternFill>
    </fill>
    <fill>
      <patternFill patternType="solid">
        <fgColor rgb="FFD9E1F2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4" min="2" style="0" width="34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4" t="s">
        <v>3</v>
      </c>
      <c r="B5" s="5" t="n">
        <v>15000000</v>
      </c>
      <c r="C5" s="2" t="s">
        <v>4</v>
      </c>
    </row>
    <row r="6" customFormat="false" ht="15" hidden="false" customHeight="false" outlineLevel="0" collapsed="false">
      <c r="A6" s="4" t="s">
        <v>5</v>
      </c>
      <c r="B6" s="6" t="n">
        <v>3</v>
      </c>
      <c r="C6" s="2" t="s">
        <v>6</v>
      </c>
    </row>
    <row r="7" customFormat="false" ht="15" hidden="false" customHeight="false" outlineLevel="0" collapsed="false">
      <c r="A7" s="4" t="s">
        <v>7</v>
      </c>
      <c r="B7" s="7" t="n">
        <v>3598</v>
      </c>
      <c r="C7" s="2" t="s">
        <v>8</v>
      </c>
    </row>
    <row r="8" customFormat="false" ht="15" hidden="false" customHeight="false" outlineLevel="0" collapsed="false">
      <c r="A8" s="4" t="s">
        <v>9</v>
      </c>
      <c r="B8" s="7" t="n">
        <v>536</v>
      </c>
      <c r="C8" s="2" t="s">
        <v>10</v>
      </c>
    </row>
    <row r="9" customFormat="false" ht="15" hidden="false" customHeight="false" outlineLevel="0" collapsed="false">
      <c r="A9" s="4" t="s">
        <v>11</v>
      </c>
      <c r="B9" s="8" t="n">
        <v>0.1</v>
      </c>
      <c r="C9" s="2" t="s">
        <v>12</v>
      </c>
    </row>
    <row r="11" customFormat="false" ht="15" hidden="false" customHeight="false" outlineLevel="0" collapsed="false">
      <c r="A11" s="3" t="s">
        <v>13</v>
      </c>
    </row>
    <row r="12" customFormat="false" ht="15" hidden="false" customHeight="false" outlineLevel="0" collapsed="false">
      <c r="A12" s="9"/>
      <c r="B12" s="9" t="s">
        <v>14</v>
      </c>
      <c r="C12" s="9" t="s">
        <v>15</v>
      </c>
      <c r="D12" s="9" t="s">
        <v>16</v>
      </c>
    </row>
    <row r="13" customFormat="false" ht="15" hidden="false" customHeight="false" outlineLevel="0" collapsed="false">
      <c r="A13" s="4" t="s">
        <v>17</v>
      </c>
      <c r="B13" s="10" t="n">
        <f aca="false">'A Balanced'!H39</f>
        <v>13088632.72</v>
      </c>
      <c r="C13" s="10" t="n">
        <f aca="false">'B Budget'!H39</f>
        <v>10974102</v>
      </c>
      <c r="D13" s="10" t="n">
        <f aca="false">'C Home between'!H42</f>
        <v>15828345.38</v>
      </c>
    </row>
    <row r="14" customFormat="false" ht="15" hidden="false" customHeight="false" outlineLevel="0" collapsed="false">
      <c r="A14" s="4" t="s">
        <v>18</v>
      </c>
      <c r="B14" s="10" t="n">
        <f aca="false">'A Balanced'!H40</f>
        <v>1308863.272</v>
      </c>
      <c r="C14" s="10" t="n">
        <f aca="false">'B Budget'!H40</f>
        <v>1097410.2</v>
      </c>
      <c r="D14" s="10" t="n">
        <f aca="false">'C Home between'!H43</f>
        <v>1582834.538</v>
      </c>
    </row>
    <row r="15" customFormat="false" ht="15" hidden="false" customHeight="false" outlineLevel="0" collapsed="false">
      <c r="A15" s="3" t="s">
        <v>19</v>
      </c>
      <c r="B15" s="11" t="n">
        <f aca="false">'A Balanced'!H41</f>
        <v>14397495.992</v>
      </c>
      <c r="C15" s="11" t="n">
        <f aca="false">'B Budget'!H41</f>
        <v>12071512.2</v>
      </c>
      <c r="D15" s="11" t="n">
        <f aca="false">'C Home between'!H44</f>
        <v>17411179.918</v>
      </c>
    </row>
    <row r="16" customFormat="false" ht="15" hidden="false" customHeight="false" outlineLevel="0" collapsed="false">
      <c r="A16" s="4" t="s">
        <v>20</v>
      </c>
      <c r="B16" s="10" t="n">
        <f aca="false">'A Balanced'!H44</f>
        <v>1911367.28</v>
      </c>
      <c r="C16" s="10" t="n">
        <f aca="false">'B Budget'!H44</f>
        <v>4025898</v>
      </c>
      <c r="D16" s="10" t="n">
        <f aca="false">'C Home between'!H47</f>
        <v>-828345.379999999</v>
      </c>
    </row>
    <row r="17" customFormat="false" ht="15" hidden="false" customHeight="false" outlineLevel="0" collapsed="false">
      <c r="A17" s="3" t="s">
        <v>21</v>
      </c>
      <c r="B17" s="11" t="n">
        <f aca="false">'A Balanced'!H45</f>
        <v>0</v>
      </c>
      <c r="C17" s="11" t="n">
        <f aca="false">'B Budget'!H45</f>
        <v>0</v>
      </c>
      <c r="D17" s="11" t="n">
        <f aca="false">'C Home between'!H48</f>
        <v>2411179.918</v>
      </c>
    </row>
    <row r="18" customFormat="false" ht="15" hidden="false" customHeight="false" outlineLevel="0" collapsed="false">
      <c r="A18" s="4" t="s">
        <v>22</v>
      </c>
      <c r="B18" s="10" t="n">
        <f aca="false">'A Balanced'!H46</f>
        <v>4799165.33066667</v>
      </c>
      <c r="C18" s="10" t="n">
        <f aca="false">'B Budget'!H46</f>
        <v>4023837.4</v>
      </c>
      <c r="D18" s="10" t="n">
        <f aca="false">'C Home between'!H49</f>
        <v>5803726.63933333</v>
      </c>
    </row>
    <row r="19" customFormat="false" ht="15" hidden="false" customHeight="false" outlineLevel="0" collapsed="false">
      <c r="A19" s="12" t="s">
        <v>23</v>
      </c>
      <c r="B19" s="13" t="s">
        <v>24</v>
      </c>
      <c r="C19" s="13" t="s">
        <v>24</v>
      </c>
      <c r="D19" s="13" t="s">
        <v>25</v>
      </c>
    </row>
    <row r="20" customFormat="false" ht="15" hidden="false" customHeight="false" outlineLevel="0" collapsed="false">
      <c r="A20" s="12" t="s">
        <v>26</v>
      </c>
      <c r="B20" s="13" t="s">
        <v>27</v>
      </c>
      <c r="C20" s="13" t="s">
        <v>28</v>
      </c>
      <c r="D20" s="13" t="s">
        <v>27</v>
      </c>
    </row>
    <row r="21" customFormat="false" ht="15" hidden="false" customHeight="false" outlineLevel="0" collapsed="false">
      <c r="A21" s="12" t="s">
        <v>29</v>
      </c>
      <c r="B21" s="13" t="s">
        <v>30</v>
      </c>
      <c r="C21" s="13" t="s">
        <v>31</v>
      </c>
      <c r="D21" s="13" t="s">
        <v>30</v>
      </c>
    </row>
    <row r="22" customFormat="false" ht="15" hidden="false" customHeight="false" outlineLevel="0" collapsed="false">
      <c r="A22" s="12" t="s">
        <v>32</v>
      </c>
      <c r="B22" s="13" t="s">
        <v>33</v>
      </c>
      <c r="C22" s="13" t="s">
        <v>34</v>
      </c>
      <c r="D22" s="13" t="s">
        <v>35</v>
      </c>
    </row>
    <row r="23" customFormat="false" ht="39.55" hidden="false" customHeight="false" outlineLevel="0" collapsed="false">
      <c r="A23" s="12" t="s">
        <v>36</v>
      </c>
      <c r="B23" s="13" t="s">
        <v>37</v>
      </c>
      <c r="C23" s="13" t="s">
        <v>38</v>
      </c>
      <c r="D23" s="13" t="s">
        <v>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3" topLeftCell="A1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58"/>
    <col collapsed="false" customWidth="true" hidden="false" outlineLevel="0" max="3" min="3" style="0" width="20"/>
    <col collapsed="false" customWidth="true" hidden="false" outlineLevel="0" max="4" min="4" style="0" width="12"/>
    <col collapsed="false" customWidth="true" hidden="false" outlineLevel="0" max="5" min="5" style="0" width="9"/>
    <col collapsed="false" customWidth="true" hidden="false" outlineLevel="0" max="6" min="6" style="0" width="6"/>
    <col collapsed="false" customWidth="true" hidden="false" outlineLevel="0" max="7" min="7" style="0" width="22"/>
    <col collapsed="false" customWidth="true" hidden="false" outlineLevel="0" max="8" min="8" style="0" width="18"/>
    <col collapsed="false" customWidth="true" hidden="false" outlineLevel="0" max="9" min="9" style="0" width="66"/>
  </cols>
  <sheetData>
    <row r="1" customFormat="false" ht="17.35" hidden="false" customHeight="false" outlineLevel="0" collapsed="false">
      <c r="A1" s="1" t="s">
        <v>14</v>
      </c>
    </row>
    <row r="2" customFormat="false" ht="15" hidden="false" customHeight="false" outlineLevel="0" collapsed="false">
      <c r="A2" s="2" t="s">
        <v>40</v>
      </c>
    </row>
    <row r="4" customFormat="false" ht="15" hidden="false" customHeight="false" outlineLevel="0" collapsed="false">
      <c r="A4" s="3" t="s">
        <v>41</v>
      </c>
    </row>
    <row r="5" customFormat="false" ht="15" hidden="false" customHeight="false" outlineLevel="0" collapsed="false">
      <c r="A5" s="0" t="s">
        <v>42</v>
      </c>
      <c r="B5" s="14" t="n">
        <v>10</v>
      </c>
      <c r="C5" s="2" t="s">
        <v>43</v>
      </c>
    </row>
    <row r="6" customFormat="false" ht="15" hidden="false" customHeight="false" outlineLevel="0" collapsed="false">
      <c r="A6" s="2" t="s">
        <v>44</v>
      </c>
    </row>
    <row r="13" customFormat="false" ht="30" hidden="false" customHeight="true" outlineLevel="0" collapsed="false">
      <c r="A13" s="15" t="s">
        <v>45</v>
      </c>
      <c r="B13" s="15" t="s">
        <v>46</v>
      </c>
      <c r="C13" s="15" t="s">
        <v>47</v>
      </c>
      <c r="D13" s="15" t="s">
        <v>48</v>
      </c>
      <c r="E13" s="15" t="s">
        <v>49</v>
      </c>
      <c r="F13" s="15" t="s">
        <v>50</v>
      </c>
      <c r="G13" s="15" t="s">
        <v>51</v>
      </c>
      <c r="H13" s="15" t="s">
        <v>52</v>
      </c>
      <c r="I13" s="15" t="s">
        <v>53</v>
      </c>
    </row>
    <row r="14" customFormat="false" ht="15" hidden="false" customHeight="false" outlineLevel="0" collapsed="false">
      <c r="A14" s="16" t="s">
        <v>54</v>
      </c>
      <c r="B14" s="17"/>
      <c r="C14" s="17"/>
      <c r="D14" s="17"/>
      <c r="E14" s="17"/>
      <c r="F14" s="17"/>
      <c r="G14" s="17"/>
      <c r="H14" s="17"/>
      <c r="I14" s="17"/>
    </row>
    <row r="15" customFormat="false" ht="15" hidden="false" customHeight="false" outlineLevel="0" collapsed="false">
      <c r="A15" s="18"/>
      <c r="B15" s="19" t="s">
        <v>55</v>
      </c>
      <c r="C15" s="19" t="s">
        <v>56</v>
      </c>
      <c r="D15" s="20" t="n">
        <v>154</v>
      </c>
      <c r="E15" s="21" t="s">
        <v>57</v>
      </c>
      <c r="F15" s="22" t="n">
        <f aca="false">Compare!$B$6</f>
        <v>3</v>
      </c>
      <c r="G15" s="23" t="n">
        <f aca="false">D15*F15</f>
        <v>462</v>
      </c>
      <c r="H15" s="24" t="n">
        <f aca="false">G15*IF(E15="USD",Compare!$B$7,IF(E15="CNY",Compare!$B$8,1))</f>
        <v>1662276</v>
      </c>
      <c r="I15" s="25" t="s">
        <v>58</v>
      </c>
    </row>
    <row r="16" customFormat="false" ht="15" hidden="false" customHeight="false" outlineLevel="0" collapsed="false">
      <c r="A16" s="18"/>
      <c r="B16" s="19" t="s">
        <v>59</v>
      </c>
      <c r="C16" s="19" t="s">
        <v>60</v>
      </c>
      <c r="D16" s="20" t="n">
        <v>110.67</v>
      </c>
      <c r="E16" s="21" t="s">
        <v>57</v>
      </c>
      <c r="F16" s="22" t="n">
        <f aca="false">Compare!$B$6</f>
        <v>3</v>
      </c>
      <c r="G16" s="23" t="n">
        <f aca="false">D16*F16</f>
        <v>332.01</v>
      </c>
      <c r="H16" s="24" t="n">
        <f aca="false">G16*IF(E16="USD",Compare!$B$7,IF(E16="CNY",Compare!$B$8,1))</f>
        <v>1194571.98</v>
      </c>
      <c r="I16" s="25" t="s">
        <v>61</v>
      </c>
    </row>
    <row r="17" customFormat="false" ht="15" hidden="false" customHeight="false" outlineLevel="0" collapsed="false">
      <c r="A17" s="18"/>
      <c r="B17" s="19" t="s">
        <v>62</v>
      </c>
      <c r="C17" s="19" t="s">
        <v>60</v>
      </c>
      <c r="D17" s="26" t="n">
        <v>100</v>
      </c>
      <c r="E17" s="21" t="s">
        <v>63</v>
      </c>
      <c r="F17" s="22" t="n">
        <f aca="false">Compare!$B$6</f>
        <v>3</v>
      </c>
      <c r="G17" s="23" t="n">
        <f aca="false">D17*F17</f>
        <v>300</v>
      </c>
      <c r="H17" s="24" t="n">
        <f aca="false">G17*IF(E17="USD",Compare!$B$7,IF(E17="CNY",Compare!$B$8,1))</f>
        <v>160800</v>
      </c>
      <c r="I17" s="25" t="s">
        <v>64</v>
      </c>
    </row>
    <row r="18" customFormat="false" ht="15" hidden="false" customHeight="false" outlineLevel="0" collapsed="false">
      <c r="A18" s="18"/>
      <c r="B18" s="19" t="s">
        <v>65</v>
      </c>
      <c r="C18" s="19" t="s">
        <v>66</v>
      </c>
      <c r="D18" s="20" t="n">
        <v>196.33</v>
      </c>
      <c r="E18" s="21" t="s">
        <v>57</v>
      </c>
      <c r="F18" s="22" t="n">
        <f aca="false">Compare!$B$6</f>
        <v>3</v>
      </c>
      <c r="G18" s="23" t="n">
        <f aca="false">D18*F18</f>
        <v>588.99</v>
      </c>
      <c r="H18" s="24" t="n">
        <f aca="false">G18*IF(E18="USD",Compare!$B$7,IF(E18="CNY",Compare!$B$8,1))</f>
        <v>2119186.02</v>
      </c>
      <c r="I18" s="25" t="s">
        <v>67</v>
      </c>
    </row>
    <row r="19" customFormat="false" ht="15" hidden="false" customHeight="false" outlineLevel="0" collapsed="false">
      <c r="A19" s="16" t="s">
        <v>68</v>
      </c>
      <c r="B19" s="17"/>
      <c r="C19" s="17"/>
      <c r="D19" s="17"/>
      <c r="E19" s="17"/>
      <c r="F19" s="17"/>
      <c r="G19" s="17"/>
      <c r="H19" s="17"/>
      <c r="I19" s="17"/>
    </row>
    <row r="20" customFormat="false" ht="15" hidden="false" customHeight="false" outlineLevel="0" collapsed="false">
      <c r="A20" s="18"/>
      <c r="B20" s="19" t="s">
        <v>69</v>
      </c>
      <c r="C20" s="19" t="s">
        <v>70</v>
      </c>
      <c r="D20" s="20" t="n">
        <v>504</v>
      </c>
      <c r="E20" s="21" t="s">
        <v>63</v>
      </c>
      <c r="F20" s="22" t="n">
        <f aca="false">Compare!$B$6</f>
        <v>3</v>
      </c>
      <c r="G20" s="23" t="n">
        <f aca="false">D20*F20</f>
        <v>1512</v>
      </c>
      <c r="H20" s="24" t="n">
        <f aca="false">G20*IF(E20="USD",Compare!$B$7,IF(E20="CNY",Compare!$B$8,1))</f>
        <v>810432</v>
      </c>
      <c r="I20" s="25" t="s">
        <v>71</v>
      </c>
    </row>
    <row r="21" customFormat="false" ht="15" hidden="false" customHeight="false" outlineLevel="0" collapsed="false">
      <c r="A21" s="18"/>
      <c r="B21" s="19" t="s">
        <v>72</v>
      </c>
      <c r="C21" s="19" t="s">
        <v>73</v>
      </c>
      <c r="D21" s="20" t="n">
        <v>339</v>
      </c>
      <c r="E21" s="21" t="s">
        <v>63</v>
      </c>
      <c r="F21" s="22" t="n">
        <f aca="false">Compare!$B$6</f>
        <v>3</v>
      </c>
      <c r="G21" s="23" t="n">
        <f aca="false">D21*F21</f>
        <v>1017</v>
      </c>
      <c r="H21" s="24" t="n">
        <f aca="false">G21*IF(E21="USD",Compare!$B$7,IF(E21="CNY",Compare!$B$8,1))</f>
        <v>545112</v>
      </c>
      <c r="I21" s="25" t="s">
        <v>74</v>
      </c>
    </row>
    <row r="22" customFormat="false" ht="15" hidden="false" customHeight="false" outlineLevel="0" collapsed="false">
      <c r="A22" s="16" t="s">
        <v>75</v>
      </c>
      <c r="B22" s="17"/>
      <c r="C22" s="17"/>
      <c r="D22" s="17"/>
      <c r="E22" s="17"/>
      <c r="F22" s="17"/>
      <c r="G22" s="17"/>
      <c r="H22" s="17"/>
      <c r="I22" s="17"/>
    </row>
    <row r="23" customFormat="false" ht="15" hidden="false" customHeight="false" outlineLevel="0" collapsed="false">
      <c r="A23" s="18"/>
      <c r="B23" s="19" t="s">
        <v>76</v>
      </c>
      <c r="C23" s="19" t="s">
        <v>77</v>
      </c>
      <c r="D23" s="20" t="n">
        <v>300</v>
      </c>
      <c r="E23" s="21" t="s">
        <v>63</v>
      </c>
      <c r="F23" s="27" t="n">
        <v>1</v>
      </c>
      <c r="G23" s="23" t="n">
        <f aca="false">D23*F23</f>
        <v>300</v>
      </c>
      <c r="H23" s="24" t="n">
        <f aca="false">G23*IF(E23="USD",Compare!$B$7,IF(E23="CNY",Compare!$B$8,1))</f>
        <v>160800</v>
      </c>
      <c r="I23" s="25" t="s">
        <v>78</v>
      </c>
    </row>
    <row r="24" customFormat="false" ht="15" hidden="false" customHeight="false" outlineLevel="0" collapsed="false">
      <c r="A24" s="18"/>
      <c r="B24" s="19" t="s">
        <v>79</v>
      </c>
      <c r="C24" s="19" t="s">
        <v>80</v>
      </c>
      <c r="D24" s="20" t="n">
        <v>602.67</v>
      </c>
      <c r="E24" s="21" t="s">
        <v>63</v>
      </c>
      <c r="F24" s="27" t="n">
        <v>6</v>
      </c>
      <c r="G24" s="23" t="n">
        <f aca="false">D24*F24</f>
        <v>3616.02</v>
      </c>
      <c r="H24" s="24" t="n">
        <f aca="false">G24*IF(E24="USD",Compare!$B$7,IF(E24="CNY",Compare!$B$8,1))</f>
        <v>1938186.72</v>
      </c>
      <c r="I24" s="25" t="s">
        <v>81</v>
      </c>
    </row>
    <row r="25" customFormat="false" ht="15" hidden="false" customHeight="false" outlineLevel="0" collapsed="false">
      <c r="A25" s="18"/>
      <c r="B25" s="19" t="s">
        <v>82</v>
      </c>
      <c r="C25" s="19" t="s">
        <v>83</v>
      </c>
      <c r="D25" s="20" t="n">
        <v>524</v>
      </c>
      <c r="E25" s="21" t="s">
        <v>63</v>
      </c>
      <c r="F25" s="27" t="n">
        <v>2</v>
      </c>
      <c r="G25" s="23" t="n">
        <f aca="false">D25*F25</f>
        <v>1048</v>
      </c>
      <c r="H25" s="24" t="n">
        <f aca="false">G25*IF(E25="USD",Compare!$B$7,IF(E25="CNY",Compare!$B$8,1))</f>
        <v>561728</v>
      </c>
      <c r="I25" s="25" t="s">
        <v>84</v>
      </c>
    </row>
    <row r="26" customFormat="false" ht="15" hidden="false" customHeight="false" outlineLevel="0" collapsed="false">
      <c r="A26" s="18"/>
      <c r="B26" s="19" t="s">
        <v>85</v>
      </c>
      <c r="C26" s="19" t="s">
        <v>86</v>
      </c>
      <c r="D26" s="20" t="n">
        <v>300</v>
      </c>
      <c r="E26" s="21" t="s">
        <v>63</v>
      </c>
      <c r="F26" s="27" t="n">
        <v>1</v>
      </c>
      <c r="G26" s="23" t="n">
        <f aca="false">D26*F26</f>
        <v>300</v>
      </c>
      <c r="H26" s="24" t="n">
        <f aca="false">G26*IF(E26="USD",Compare!$B$7,IF(E26="CNY",Compare!$B$8,1))</f>
        <v>160800</v>
      </c>
      <c r="I26" s="25" t="s">
        <v>87</v>
      </c>
    </row>
    <row r="27" customFormat="false" ht="15" hidden="false" customHeight="false" outlineLevel="0" collapsed="false">
      <c r="A27" s="16" t="s">
        <v>88</v>
      </c>
      <c r="B27" s="17"/>
      <c r="C27" s="17"/>
      <c r="D27" s="17"/>
      <c r="E27" s="17"/>
      <c r="F27" s="17"/>
      <c r="G27" s="17"/>
      <c r="H27" s="17"/>
      <c r="I27" s="17"/>
    </row>
    <row r="28" customFormat="false" ht="15" hidden="false" customHeight="false" outlineLevel="0" collapsed="false">
      <c r="A28" s="18"/>
      <c r="B28" s="19" t="s">
        <v>89</v>
      </c>
      <c r="C28" s="19" t="s">
        <v>90</v>
      </c>
      <c r="D28" s="20" t="n">
        <v>1500</v>
      </c>
      <c r="E28" s="21" t="s">
        <v>63</v>
      </c>
      <c r="F28" s="27" t="n">
        <v>1</v>
      </c>
      <c r="G28" s="23" t="n">
        <f aca="false">D28*F28</f>
        <v>1500</v>
      </c>
      <c r="H28" s="24" t="n">
        <f aca="false">G28*IF(E28="USD",Compare!$B$7,IF(E28="CNY",Compare!$B$8,1))</f>
        <v>804000</v>
      </c>
      <c r="I28" s="25" t="s">
        <v>91</v>
      </c>
    </row>
    <row r="29" customFormat="false" ht="15" hidden="false" customHeight="false" outlineLevel="0" collapsed="false">
      <c r="A29" s="18"/>
      <c r="B29" s="19" t="s">
        <v>92</v>
      </c>
      <c r="C29" s="19" t="s">
        <v>93</v>
      </c>
      <c r="D29" s="26" t="n">
        <v>1500</v>
      </c>
      <c r="E29" s="21" t="s">
        <v>63</v>
      </c>
      <c r="F29" s="27" t="n">
        <v>1</v>
      </c>
      <c r="G29" s="23" t="n">
        <f aca="false">D29*F29</f>
        <v>1500</v>
      </c>
      <c r="H29" s="24" t="n">
        <f aca="false">G29*IF(E29="USD",Compare!$B$7,IF(E29="CNY",Compare!$B$8,1))</f>
        <v>804000</v>
      </c>
      <c r="I29" s="25" t="s">
        <v>94</v>
      </c>
    </row>
    <row r="30" customFormat="false" ht="15" hidden="false" customHeight="false" outlineLevel="0" collapsed="false">
      <c r="A30" s="16" t="s">
        <v>95</v>
      </c>
      <c r="B30" s="17"/>
      <c r="C30" s="17"/>
      <c r="D30" s="17"/>
      <c r="E30" s="17"/>
      <c r="F30" s="17"/>
      <c r="G30" s="17"/>
      <c r="H30" s="17"/>
      <c r="I30" s="17"/>
    </row>
    <row r="31" customFormat="false" ht="15" hidden="false" customHeight="false" outlineLevel="0" collapsed="false">
      <c r="A31" s="18"/>
      <c r="B31" s="19" t="s">
        <v>96</v>
      </c>
      <c r="C31" s="19" t="s">
        <v>97</v>
      </c>
      <c r="D31" s="26" t="n">
        <v>80</v>
      </c>
      <c r="E31" s="21" t="s">
        <v>63</v>
      </c>
      <c r="F31" s="22" t="n">
        <f aca="false">Compare!$B$6*$B$5</f>
        <v>30</v>
      </c>
      <c r="G31" s="23" t="n">
        <f aca="false">D31*F31</f>
        <v>2400</v>
      </c>
      <c r="H31" s="24" t="n">
        <f aca="false">G31*IF(E31="USD",Compare!$B$7,IF(E31="CNY",Compare!$B$8,1))</f>
        <v>1286400</v>
      </c>
      <c r="I31" s="25" t="s">
        <v>98</v>
      </c>
    </row>
    <row r="32" customFormat="false" ht="15" hidden="false" customHeight="false" outlineLevel="0" collapsed="false">
      <c r="A32" s="18"/>
      <c r="B32" s="19" t="s">
        <v>99</v>
      </c>
      <c r="C32" s="19" t="s">
        <v>97</v>
      </c>
      <c r="D32" s="26" t="n">
        <v>30</v>
      </c>
      <c r="E32" s="21" t="s">
        <v>63</v>
      </c>
      <c r="F32" s="22" t="n">
        <f aca="false">Compare!$B$6*$B$5</f>
        <v>30</v>
      </c>
      <c r="G32" s="23" t="n">
        <f aca="false">D32*F32</f>
        <v>900</v>
      </c>
      <c r="H32" s="24" t="n">
        <f aca="false">G32*IF(E32="USD",Compare!$B$7,IF(E32="CNY",Compare!$B$8,1))</f>
        <v>482400</v>
      </c>
      <c r="I32" s="25" t="s">
        <v>100</v>
      </c>
    </row>
    <row r="33" customFormat="false" ht="15" hidden="false" customHeight="false" outlineLevel="0" collapsed="false">
      <c r="A33" s="16" t="s">
        <v>101</v>
      </c>
      <c r="B33" s="17"/>
      <c r="C33" s="17"/>
      <c r="D33" s="17"/>
      <c r="E33" s="17"/>
      <c r="F33" s="17"/>
      <c r="G33" s="17"/>
      <c r="H33" s="17"/>
      <c r="I33" s="17"/>
    </row>
    <row r="34" customFormat="false" ht="15" hidden="false" customHeight="false" outlineLevel="0" collapsed="false">
      <c r="A34" s="18"/>
      <c r="B34" s="19" t="s">
        <v>102</v>
      </c>
      <c r="C34" s="19" t="s">
        <v>103</v>
      </c>
      <c r="D34" s="26" t="n">
        <v>100000</v>
      </c>
      <c r="E34" s="21" t="s">
        <v>104</v>
      </c>
      <c r="F34" s="27" t="n">
        <v>2</v>
      </c>
      <c r="G34" s="23" t="n">
        <f aca="false">D34*F34</f>
        <v>200000</v>
      </c>
      <c r="H34" s="24" t="n">
        <f aca="false">G34*IF(E34="USD",Compare!$B$7,IF(E34="CNY",Compare!$B$8,1))</f>
        <v>200000</v>
      </c>
      <c r="I34" s="25" t="s">
        <v>105</v>
      </c>
    </row>
    <row r="35" customFormat="false" ht="15" hidden="false" customHeight="false" outlineLevel="0" collapsed="false">
      <c r="A35" s="18"/>
      <c r="B35" s="19" t="s">
        <v>106</v>
      </c>
      <c r="C35" s="19"/>
      <c r="D35" s="26" t="n">
        <v>30000</v>
      </c>
      <c r="E35" s="21" t="s">
        <v>104</v>
      </c>
      <c r="F35" s="22" t="n">
        <f aca="false">Compare!$B$6</f>
        <v>3</v>
      </c>
      <c r="G35" s="23" t="n">
        <f aca="false">D35*F35</f>
        <v>90000</v>
      </c>
      <c r="H35" s="24" t="n">
        <f aca="false">G35*IF(E35="USD",Compare!$B$7,IF(E35="CNY",Compare!$B$8,1))</f>
        <v>90000</v>
      </c>
      <c r="I35" s="25" t="s">
        <v>107</v>
      </c>
    </row>
    <row r="36" customFormat="false" ht="15" hidden="false" customHeight="false" outlineLevel="0" collapsed="false">
      <c r="A36" s="18"/>
      <c r="B36" s="19" t="s">
        <v>108</v>
      </c>
      <c r="C36" s="19"/>
      <c r="D36" s="26" t="n">
        <v>10</v>
      </c>
      <c r="E36" s="21" t="s">
        <v>57</v>
      </c>
      <c r="F36" s="22" t="n">
        <f aca="false">Compare!$B$6</f>
        <v>3</v>
      </c>
      <c r="G36" s="23" t="n">
        <f aca="false">D36*F36</f>
        <v>30</v>
      </c>
      <c r="H36" s="24" t="n">
        <f aca="false">G36*IF(E36="USD",Compare!$B$7,IF(E36="CNY",Compare!$B$8,1))</f>
        <v>107940</v>
      </c>
      <c r="I36" s="25" t="s">
        <v>109</v>
      </c>
    </row>
    <row r="37" customFormat="false" ht="15" hidden="false" customHeight="false" outlineLevel="0" collapsed="false">
      <c r="A37" s="18"/>
      <c r="B37" s="19" t="s">
        <v>110</v>
      </c>
      <c r="C37" s="19"/>
      <c r="D37" s="20" t="n">
        <v>0</v>
      </c>
      <c r="E37" s="21" t="s">
        <v>104</v>
      </c>
      <c r="F37" s="22" t="n">
        <f aca="false">Compare!$B$6</f>
        <v>3</v>
      </c>
      <c r="G37" s="23" t="n">
        <f aca="false">D37*F37</f>
        <v>0</v>
      </c>
      <c r="H37" s="24" t="n">
        <f aca="false">G37*IF(E37="USD",Compare!$B$7,IF(E37="CNY",Compare!$B$8,1))</f>
        <v>0</v>
      </c>
      <c r="I37" s="25" t="s">
        <v>111</v>
      </c>
    </row>
    <row r="39" customFormat="false" ht="15" hidden="false" customHeight="false" outlineLevel="0" collapsed="false">
      <c r="G39" s="28" t="s">
        <v>112</v>
      </c>
      <c r="H39" s="29" t="n">
        <f aca="false">SUM(H14:H37)</f>
        <v>13088632.72</v>
      </c>
    </row>
    <row r="40" customFormat="false" ht="15" hidden="false" customHeight="false" outlineLevel="0" collapsed="false">
      <c r="G40" s="30" t="s">
        <v>18</v>
      </c>
      <c r="H40" s="31" t="n">
        <f aca="false">H39*Compare!$B$9</f>
        <v>1308863.272</v>
      </c>
    </row>
    <row r="41" customFormat="false" ht="15" hidden="false" customHeight="false" outlineLevel="0" collapsed="false">
      <c r="G41" s="28" t="s">
        <v>19</v>
      </c>
      <c r="H41" s="29" t="n">
        <f aca="false">H39+H40</f>
        <v>14397495.992</v>
      </c>
    </row>
    <row r="43" customFormat="false" ht="15" hidden="false" customHeight="false" outlineLevel="0" collapsed="false">
      <c r="G43" s="19" t="s">
        <v>113</v>
      </c>
      <c r="H43" s="10" t="n">
        <f aca="false">Compare!$B$5</f>
        <v>15000000</v>
      </c>
    </row>
    <row r="44" customFormat="false" ht="15" hidden="false" customHeight="false" outlineLevel="0" collapsed="false">
      <c r="G44" s="32" t="s">
        <v>20</v>
      </c>
      <c r="H44" s="33" t="n">
        <f aca="false">H43-H39</f>
        <v>1911367.28</v>
      </c>
    </row>
    <row r="45" customFormat="false" ht="15" hidden="false" customHeight="false" outlineLevel="0" collapsed="false">
      <c r="G45" s="32" t="s">
        <v>21</v>
      </c>
      <c r="H45" s="33" t="n">
        <f aca="false">MAX(0,H41-H43)</f>
        <v>0</v>
      </c>
    </row>
    <row r="46" customFormat="false" ht="15" hidden="false" customHeight="false" outlineLevel="0" collapsed="false">
      <c r="G46" s="19" t="s">
        <v>22</v>
      </c>
      <c r="H46" s="24" t="n">
        <f aca="false">H41/Compare!$B$6</f>
        <v>4799165.33066667</v>
      </c>
    </row>
    <row r="48" customFormat="false" ht="15" hidden="false" customHeight="false" outlineLevel="0" collapsed="false">
      <c r="G48" s="3" t="s">
        <v>114</v>
      </c>
    </row>
    <row r="49" customFormat="false" ht="15" hidden="false" customHeight="false" outlineLevel="0" collapsed="false">
      <c r="G49" s="4" t="s">
        <v>54</v>
      </c>
      <c r="H49" s="34" t="n">
        <f aca="false">SUMPRODUCT((LOOKUP(ROW(H14:H37),ROW(H14:H37)/(A14:A37&lt;&gt;""),A14:A37)="Flights")*H14:H37)</f>
        <v>5136834</v>
      </c>
    </row>
    <row r="50" customFormat="false" ht="15" hidden="false" customHeight="false" outlineLevel="0" collapsed="false">
      <c r="G50" s="4" t="s">
        <v>68</v>
      </c>
      <c r="H50" s="34" t="n">
        <f aca="false">SUMPRODUCT((LOOKUP(ROW(H14:H37),ROW(H14:H37)/(A14:A37&lt;&gt;""),A14:A37)="Trains")*H14:H37)</f>
        <v>1355544</v>
      </c>
    </row>
    <row r="51" customFormat="false" ht="15" hidden="false" customHeight="false" outlineLevel="0" collapsed="false">
      <c r="G51" s="4" t="s">
        <v>75</v>
      </c>
      <c r="H51" s="34" t="n">
        <f aca="false">SUMPRODUCT((LOOKUP(ROW(H14:H37),ROW(H14:H37)/(A14:A37&lt;&gt;""),A14:A37)="Accommodation (1 room for 3)")*H14:H37)</f>
        <v>2821514.72</v>
      </c>
    </row>
    <row r="52" customFormat="false" ht="15" hidden="false" customHeight="false" outlineLevel="0" collapsed="false">
      <c r="G52" s="4" t="s">
        <v>88</v>
      </c>
      <c r="H52" s="34" t="n">
        <f aca="false">SUMPRODUCT((LOOKUP(ROW(H14:H37),ROW(H14:H37)/(A14:A37&lt;&gt;""),A14:A37)="Contest fees")*H14:H37)</f>
        <v>1608000</v>
      </c>
    </row>
    <row r="53" customFormat="false" ht="15" hidden="false" customHeight="false" outlineLevel="0" collapsed="false">
      <c r="G53" s="4" t="s">
        <v>95</v>
      </c>
      <c r="H53" s="34" t="n">
        <f aca="false">SUMPRODUCT((LOOKUP(ROW(H14:H37),ROW(H14:H37)/(A14:A37&lt;&gt;""),A14:A37)="Daily costs")*H14:H37)</f>
        <v>1768800</v>
      </c>
    </row>
    <row r="54" customFormat="false" ht="15" hidden="false" customHeight="false" outlineLevel="0" collapsed="false">
      <c r="G54" s="4" t="s">
        <v>101</v>
      </c>
      <c r="H54" s="34" t="n">
        <f aca="false">SUMPRODUCT((LOOKUP(ROW(H14:H37),ROW(H14:H37)/(A14:A37&lt;&gt;""),A14:A37)="Other")*H14:H37)</f>
        <v>397940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3" topLeftCell="A1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58"/>
    <col collapsed="false" customWidth="true" hidden="false" outlineLevel="0" max="3" min="3" style="0" width="20"/>
    <col collapsed="false" customWidth="true" hidden="false" outlineLevel="0" max="4" min="4" style="0" width="12"/>
    <col collapsed="false" customWidth="true" hidden="false" outlineLevel="0" max="5" min="5" style="0" width="9"/>
    <col collapsed="false" customWidth="true" hidden="false" outlineLevel="0" max="6" min="6" style="0" width="6"/>
    <col collapsed="false" customWidth="true" hidden="false" outlineLevel="0" max="7" min="7" style="0" width="22"/>
    <col collapsed="false" customWidth="true" hidden="false" outlineLevel="0" max="8" min="8" style="0" width="18"/>
    <col collapsed="false" customWidth="true" hidden="false" outlineLevel="0" max="9" min="9" style="0" width="66"/>
  </cols>
  <sheetData>
    <row r="1" customFormat="false" ht="17.35" hidden="false" customHeight="false" outlineLevel="0" collapsed="false">
      <c r="A1" s="1" t="s">
        <v>15</v>
      </c>
    </row>
    <row r="2" customFormat="false" ht="15" hidden="false" customHeight="false" outlineLevel="0" collapsed="false">
      <c r="A2" s="2" t="s">
        <v>115</v>
      </c>
    </row>
    <row r="4" customFormat="false" ht="15" hidden="false" customHeight="false" outlineLevel="0" collapsed="false">
      <c r="A4" s="3" t="s">
        <v>41</v>
      </c>
    </row>
    <row r="5" customFormat="false" ht="15" hidden="false" customHeight="false" outlineLevel="0" collapsed="false">
      <c r="A5" s="0" t="s">
        <v>42</v>
      </c>
      <c r="B5" s="14" t="n">
        <v>10</v>
      </c>
      <c r="C5" s="2" t="s">
        <v>43</v>
      </c>
    </row>
    <row r="6" customFormat="false" ht="15" hidden="false" customHeight="false" outlineLevel="0" collapsed="false">
      <c r="A6" s="2" t="s">
        <v>44</v>
      </c>
    </row>
    <row r="13" customFormat="false" ht="30" hidden="false" customHeight="true" outlineLevel="0" collapsed="false">
      <c r="A13" s="15" t="s">
        <v>45</v>
      </c>
      <c r="B13" s="15" t="s">
        <v>46</v>
      </c>
      <c r="C13" s="15" t="s">
        <v>47</v>
      </c>
      <c r="D13" s="15" t="s">
        <v>48</v>
      </c>
      <c r="E13" s="15" t="s">
        <v>49</v>
      </c>
      <c r="F13" s="15" t="s">
        <v>50</v>
      </c>
      <c r="G13" s="15" t="s">
        <v>51</v>
      </c>
      <c r="H13" s="15" t="s">
        <v>52</v>
      </c>
      <c r="I13" s="15" t="s">
        <v>53</v>
      </c>
    </row>
    <row r="14" customFormat="false" ht="15" hidden="false" customHeight="false" outlineLevel="0" collapsed="false">
      <c r="A14" s="16" t="s">
        <v>54</v>
      </c>
      <c r="B14" s="17"/>
      <c r="C14" s="17"/>
      <c r="D14" s="17"/>
      <c r="E14" s="17"/>
      <c r="F14" s="17"/>
      <c r="G14" s="17"/>
      <c r="H14" s="17"/>
      <c r="I14" s="17"/>
    </row>
    <row r="15" customFormat="false" ht="15" hidden="false" customHeight="false" outlineLevel="0" collapsed="false">
      <c r="A15" s="18"/>
      <c r="B15" s="19" t="s">
        <v>55</v>
      </c>
      <c r="C15" s="19" t="s">
        <v>56</v>
      </c>
      <c r="D15" s="20" t="n">
        <v>154</v>
      </c>
      <c r="E15" s="21" t="s">
        <v>57</v>
      </c>
      <c r="F15" s="22" t="n">
        <f aca="false">Compare!$B$6</f>
        <v>3</v>
      </c>
      <c r="G15" s="23" t="n">
        <f aca="false">D15*F15</f>
        <v>462</v>
      </c>
      <c r="H15" s="24" t="n">
        <f aca="false">G15*IF(E15="USD",Compare!$B$7,IF(E15="CNY",Compare!$B$8,1))</f>
        <v>1662276</v>
      </c>
      <c r="I15" s="25" t="s">
        <v>58</v>
      </c>
    </row>
    <row r="16" customFormat="false" ht="15" hidden="false" customHeight="false" outlineLevel="0" collapsed="false">
      <c r="A16" s="18"/>
      <c r="B16" s="19" t="s">
        <v>59</v>
      </c>
      <c r="C16" s="19" t="s">
        <v>60</v>
      </c>
      <c r="D16" s="20" t="n">
        <v>110.67</v>
      </c>
      <c r="E16" s="21" t="s">
        <v>57</v>
      </c>
      <c r="F16" s="22" t="n">
        <f aca="false">Compare!$B$6</f>
        <v>3</v>
      </c>
      <c r="G16" s="23" t="n">
        <f aca="false">D16*F16</f>
        <v>332.01</v>
      </c>
      <c r="H16" s="24" t="n">
        <f aca="false">G16*IF(E16="USD",Compare!$B$7,IF(E16="CNY",Compare!$B$8,1))</f>
        <v>1194571.98</v>
      </c>
      <c r="I16" s="25" t="s">
        <v>61</v>
      </c>
    </row>
    <row r="17" customFormat="false" ht="15" hidden="false" customHeight="false" outlineLevel="0" collapsed="false">
      <c r="A17" s="18"/>
      <c r="B17" s="19" t="s">
        <v>62</v>
      </c>
      <c r="C17" s="19" t="s">
        <v>60</v>
      </c>
      <c r="D17" s="26" t="n">
        <v>100</v>
      </c>
      <c r="E17" s="21" t="s">
        <v>63</v>
      </c>
      <c r="F17" s="22" t="n">
        <f aca="false">Compare!$B$6</f>
        <v>3</v>
      </c>
      <c r="G17" s="23" t="n">
        <f aca="false">D17*F17</f>
        <v>300</v>
      </c>
      <c r="H17" s="24" t="n">
        <f aca="false">G17*IF(E17="USD",Compare!$B$7,IF(E17="CNY",Compare!$B$8,1))</f>
        <v>160800</v>
      </c>
      <c r="I17" s="25" t="s">
        <v>64</v>
      </c>
    </row>
    <row r="18" customFormat="false" ht="15" hidden="false" customHeight="false" outlineLevel="0" collapsed="false">
      <c r="A18" s="18"/>
      <c r="B18" s="19" t="s">
        <v>65</v>
      </c>
      <c r="C18" s="19" t="s">
        <v>66</v>
      </c>
      <c r="D18" s="20" t="n">
        <v>196.33</v>
      </c>
      <c r="E18" s="21" t="s">
        <v>57</v>
      </c>
      <c r="F18" s="22" t="n">
        <f aca="false">Compare!$B$6</f>
        <v>3</v>
      </c>
      <c r="G18" s="23" t="n">
        <f aca="false">D18*F18</f>
        <v>588.99</v>
      </c>
      <c r="H18" s="24" t="n">
        <f aca="false">G18*IF(E18="USD",Compare!$B$7,IF(E18="CNY",Compare!$B$8,1))</f>
        <v>2119186.02</v>
      </c>
      <c r="I18" s="25" t="s">
        <v>67</v>
      </c>
    </row>
    <row r="19" customFormat="false" ht="15" hidden="false" customHeight="false" outlineLevel="0" collapsed="false">
      <c r="A19" s="16" t="s">
        <v>68</v>
      </c>
      <c r="B19" s="17"/>
      <c r="C19" s="17"/>
      <c r="D19" s="17"/>
      <c r="E19" s="17"/>
      <c r="F19" s="17"/>
      <c r="G19" s="17"/>
      <c r="H19" s="17"/>
      <c r="I19" s="17"/>
    </row>
    <row r="20" customFormat="false" ht="15" hidden="false" customHeight="false" outlineLevel="0" collapsed="false">
      <c r="A20" s="18"/>
      <c r="B20" s="19" t="s">
        <v>116</v>
      </c>
      <c r="C20" s="19" t="s">
        <v>70</v>
      </c>
      <c r="D20" s="20" t="n">
        <v>445</v>
      </c>
      <c r="E20" s="21" t="s">
        <v>63</v>
      </c>
      <c r="F20" s="22" t="n">
        <f aca="false">Compare!$B$6</f>
        <v>3</v>
      </c>
      <c r="G20" s="23" t="n">
        <f aca="false">D20*F20</f>
        <v>1335</v>
      </c>
      <c r="H20" s="24" t="n">
        <f aca="false">G20*IF(E20="USD",Compare!$B$7,IF(E20="CNY",Compare!$B$8,1))</f>
        <v>715560</v>
      </c>
      <c r="I20" s="25" t="s">
        <v>117</v>
      </c>
    </row>
    <row r="21" customFormat="false" ht="15" hidden="false" customHeight="false" outlineLevel="0" collapsed="false">
      <c r="A21" s="18"/>
      <c r="B21" s="19" t="s">
        <v>72</v>
      </c>
      <c r="C21" s="19" t="s">
        <v>73</v>
      </c>
      <c r="D21" s="20" t="n">
        <v>339</v>
      </c>
      <c r="E21" s="21" t="s">
        <v>63</v>
      </c>
      <c r="F21" s="22" t="n">
        <f aca="false">Compare!$B$6</f>
        <v>3</v>
      </c>
      <c r="G21" s="23" t="n">
        <f aca="false">D21*F21</f>
        <v>1017</v>
      </c>
      <c r="H21" s="24" t="n">
        <f aca="false">G21*IF(E21="USD",Compare!$B$7,IF(E21="CNY",Compare!$B$8,1))</f>
        <v>545112</v>
      </c>
      <c r="I21" s="25" t="s">
        <v>74</v>
      </c>
    </row>
    <row r="22" customFormat="false" ht="15" hidden="false" customHeight="false" outlineLevel="0" collapsed="false">
      <c r="A22" s="16" t="s">
        <v>75</v>
      </c>
      <c r="B22" s="17"/>
      <c r="C22" s="17"/>
      <c r="D22" s="17"/>
      <c r="E22" s="17"/>
      <c r="F22" s="17"/>
      <c r="G22" s="17"/>
      <c r="H22" s="17"/>
      <c r="I22" s="17"/>
    </row>
    <row r="23" customFormat="false" ht="15" hidden="false" customHeight="false" outlineLevel="0" collapsed="false">
      <c r="A23" s="18"/>
      <c r="B23" s="19" t="s">
        <v>118</v>
      </c>
      <c r="C23" s="19" t="s">
        <v>77</v>
      </c>
      <c r="D23" s="20" t="n">
        <v>227</v>
      </c>
      <c r="E23" s="21" t="s">
        <v>63</v>
      </c>
      <c r="F23" s="27" t="n">
        <v>1</v>
      </c>
      <c r="G23" s="23" t="n">
        <f aca="false">D23*F23</f>
        <v>227</v>
      </c>
      <c r="H23" s="24" t="n">
        <f aca="false">G23*IF(E23="USD",Compare!$B$7,IF(E23="CNY",Compare!$B$8,1))</f>
        <v>121672</v>
      </c>
      <c r="I23" s="25" t="s">
        <v>119</v>
      </c>
    </row>
    <row r="24" customFormat="false" ht="15" hidden="false" customHeight="false" outlineLevel="0" collapsed="false">
      <c r="A24" s="18"/>
      <c r="B24" s="19" t="s">
        <v>120</v>
      </c>
      <c r="C24" s="19" t="s">
        <v>80</v>
      </c>
      <c r="D24" s="20" t="n">
        <v>145</v>
      </c>
      <c r="E24" s="21" t="s">
        <v>63</v>
      </c>
      <c r="F24" s="27" t="n">
        <v>6</v>
      </c>
      <c r="G24" s="23" t="n">
        <f aca="false">D24*F24</f>
        <v>870</v>
      </c>
      <c r="H24" s="24" t="n">
        <f aca="false">G24*IF(E24="USD",Compare!$B$7,IF(E24="CNY",Compare!$B$8,1))</f>
        <v>466320</v>
      </c>
      <c r="I24" s="25" t="s">
        <v>121</v>
      </c>
    </row>
    <row r="25" customFormat="false" ht="15" hidden="false" customHeight="false" outlineLevel="0" collapsed="false">
      <c r="A25" s="18"/>
      <c r="B25" s="19" t="s">
        <v>122</v>
      </c>
      <c r="C25" s="19" t="s">
        <v>83</v>
      </c>
      <c r="D25" s="20" t="n">
        <v>86</v>
      </c>
      <c r="E25" s="21" t="s">
        <v>63</v>
      </c>
      <c r="F25" s="27" t="n">
        <v>2</v>
      </c>
      <c r="G25" s="23" t="n">
        <f aca="false">D25*F25</f>
        <v>172</v>
      </c>
      <c r="H25" s="24" t="n">
        <f aca="false">G25*IF(E25="USD",Compare!$B$7,IF(E25="CNY",Compare!$B$8,1))</f>
        <v>92192</v>
      </c>
      <c r="I25" s="25" t="s">
        <v>123</v>
      </c>
    </row>
    <row r="26" customFormat="false" ht="15" hidden="false" customHeight="false" outlineLevel="0" collapsed="false">
      <c r="A26" s="18"/>
      <c r="B26" s="19" t="s">
        <v>124</v>
      </c>
      <c r="C26" s="19" t="s">
        <v>86</v>
      </c>
      <c r="D26" s="20" t="n">
        <v>227</v>
      </c>
      <c r="E26" s="21" t="s">
        <v>63</v>
      </c>
      <c r="F26" s="27" t="n">
        <v>1</v>
      </c>
      <c r="G26" s="23" t="n">
        <f aca="false">D26*F26</f>
        <v>227</v>
      </c>
      <c r="H26" s="24" t="n">
        <f aca="false">G26*IF(E26="USD",Compare!$B$7,IF(E26="CNY",Compare!$B$8,1))</f>
        <v>121672</v>
      </c>
      <c r="I26" s="25" t="s">
        <v>125</v>
      </c>
    </row>
    <row r="27" customFormat="false" ht="15" hidden="false" customHeight="false" outlineLevel="0" collapsed="false">
      <c r="A27" s="16" t="s">
        <v>88</v>
      </c>
      <c r="B27" s="17"/>
      <c r="C27" s="17"/>
      <c r="D27" s="17"/>
      <c r="E27" s="17"/>
      <c r="F27" s="17"/>
      <c r="G27" s="17"/>
      <c r="H27" s="17"/>
      <c r="I27" s="17"/>
    </row>
    <row r="28" customFormat="false" ht="15" hidden="false" customHeight="false" outlineLevel="0" collapsed="false">
      <c r="A28" s="18"/>
      <c r="B28" s="19" t="s">
        <v>89</v>
      </c>
      <c r="C28" s="19" t="s">
        <v>90</v>
      </c>
      <c r="D28" s="20" t="n">
        <v>1500</v>
      </c>
      <c r="E28" s="21" t="s">
        <v>63</v>
      </c>
      <c r="F28" s="27" t="n">
        <v>1</v>
      </c>
      <c r="G28" s="23" t="n">
        <f aca="false">D28*F28</f>
        <v>1500</v>
      </c>
      <c r="H28" s="24" t="n">
        <f aca="false">G28*IF(E28="USD",Compare!$B$7,IF(E28="CNY",Compare!$B$8,1))</f>
        <v>804000</v>
      </c>
      <c r="I28" s="25" t="s">
        <v>91</v>
      </c>
    </row>
    <row r="29" customFormat="false" ht="15" hidden="false" customHeight="false" outlineLevel="0" collapsed="false">
      <c r="A29" s="18"/>
      <c r="B29" s="19" t="s">
        <v>92</v>
      </c>
      <c r="C29" s="19" t="s">
        <v>93</v>
      </c>
      <c r="D29" s="26" t="n">
        <v>1500</v>
      </c>
      <c r="E29" s="21" t="s">
        <v>63</v>
      </c>
      <c r="F29" s="27" t="n">
        <v>1</v>
      </c>
      <c r="G29" s="23" t="n">
        <f aca="false">D29*F29</f>
        <v>1500</v>
      </c>
      <c r="H29" s="24" t="n">
        <f aca="false">G29*IF(E29="USD",Compare!$B$7,IF(E29="CNY",Compare!$B$8,1))</f>
        <v>804000</v>
      </c>
      <c r="I29" s="25" t="s">
        <v>94</v>
      </c>
    </row>
    <row r="30" customFormat="false" ht="15" hidden="false" customHeight="false" outlineLevel="0" collapsed="false">
      <c r="A30" s="16" t="s">
        <v>95</v>
      </c>
      <c r="B30" s="17"/>
      <c r="C30" s="17"/>
      <c r="D30" s="17"/>
      <c r="E30" s="17"/>
      <c r="F30" s="17"/>
      <c r="G30" s="17"/>
      <c r="H30" s="17"/>
      <c r="I30" s="17"/>
    </row>
    <row r="31" customFormat="false" ht="15" hidden="false" customHeight="false" outlineLevel="0" collapsed="false">
      <c r="A31" s="18"/>
      <c r="B31" s="19" t="s">
        <v>96</v>
      </c>
      <c r="C31" s="19" t="s">
        <v>97</v>
      </c>
      <c r="D31" s="26" t="n">
        <v>80</v>
      </c>
      <c r="E31" s="21" t="s">
        <v>63</v>
      </c>
      <c r="F31" s="22" t="n">
        <f aca="false">Compare!$B$6*$B$5</f>
        <v>30</v>
      </c>
      <c r="G31" s="23" t="n">
        <f aca="false">D31*F31</f>
        <v>2400</v>
      </c>
      <c r="H31" s="24" t="n">
        <f aca="false">G31*IF(E31="USD",Compare!$B$7,IF(E31="CNY",Compare!$B$8,1))</f>
        <v>1286400</v>
      </c>
      <c r="I31" s="25" t="s">
        <v>98</v>
      </c>
    </row>
    <row r="32" customFormat="false" ht="15" hidden="false" customHeight="false" outlineLevel="0" collapsed="false">
      <c r="A32" s="18"/>
      <c r="B32" s="19" t="s">
        <v>99</v>
      </c>
      <c r="C32" s="19" t="s">
        <v>97</v>
      </c>
      <c r="D32" s="26" t="n">
        <v>30</v>
      </c>
      <c r="E32" s="21" t="s">
        <v>63</v>
      </c>
      <c r="F32" s="22" t="n">
        <f aca="false">Compare!$B$6*$B$5</f>
        <v>30</v>
      </c>
      <c r="G32" s="23" t="n">
        <f aca="false">D32*F32</f>
        <v>900</v>
      </c>
      <c r="H32" s="24" t="n">
        <f aca="false">G32*IF(E32="USD",Compare!$B$7,IF(E32="CNY",Compare!$B$8,1))</f>
        <v>482400</v>
      </c>
      <c r="I32" s="25" t="s">
        <v>100</v>
      </c>
    </row>
    <row r="33" customFormat="false" ht="15" hidden="false" customHeight="false" outlineLevel="0" collapsed="false">
      <c r="A33" s="16" t="s">
        <v>101</v>
      </c>
      <c r="B33" s="17"/>
      <c r="C33" s="17"/>
      <c r="D33" s="17"/>
      <c r="E33" s="17"/>
      <c r="F33" s="17"/>
      <c r="G33" s="17"/>
      <c r="H33" s="17"/>
      <c r="I33" s="17"/>
    </row>
    <row r="34" customFormat="false" ht="15" hidden="false" customHeight="false" outlineLevel="0" collapsed="false">
      <c r="A34" s="18"/>
      <c r="B34" s="19" t="s">
        <v>102</v>
      </c>
      <c r="C34" s="19" t="s">
        <v>103</v>
      </c>
      <c r="D34" s="26" t="n">
        <v>100000</v>
      </c>
      <c r="E34" s="21" t="s">
        <v>104</v>
      </c>
      <c r="F34" s="27" t="n">
        <v>2</v>
      </c>
      <c r="G34" s="23" t="n">
        <f aca="false">D34*F34</f>
        <v>200000</v>
      </c>
      <c r="H34" s="24" t="n">
        <f aca="false">G34*IF(E34="USD",Compare!$B$7,IF(E34="CNY",Compare!$B$8,1))</f>
        <v>200000</v>
      </c>
      <c r="I34" s="25" t="s">
        <v>105</v>
      </c>
    </row>
    <row r="35" customFormat="false" ht="15" hidden="false" customHeight="false" outlineLevel="0" collapsed="false">
      <c r="A35" s="18"/>
      <c r="B35" s="19" t="s">
        <v>106</v>
      </c>
      <c r="C35" s="19"/>
      <c r="D35" s="26" t="n">
        <v>30000</v>
      </c>
      <c r="E35" s="21" t="s">
        <v>104</v>
      </c>
      <c r="F35" s="22" t="n">
        <f aca="false">Compare!$B$6</f>
        <v>3</v>
      </c>
      <c r="G35" s="23" t="n">
        <f aca="false">D35*F35</f>
        <v>90000</v>
      </c>
      <c r="H35" s="24" t="n">
        <f aca="false">G35*IF(E35="USD",Compare!$B$7,IF(E35="CNY",Compare!$B$8,1))</f>
        <v>90000</v>
      </c>
      <c r="I35" s="25" t="s">
        <v>107</v>
      </c>
    </row>
    <row r="36" customFormat="false" ht="15" hidden="false" customHeight="false" outlineLevel="0" collapsed="false">
      <c r="A36" s="18"/>
      <c r="B36" s="19" t="s">
        <v>108</v>
      </c>
      <c r="C36" s="19"/>
      <c r="D36" s="26" t="n">
        <v>10</v>
      </c>
      <c r="E36" s="21" t="s">
        <v>57</v>
      </c>
      <c r="F36" s="22" t="n">
        <f aca="false">Compare!$B$6</f>
        <v>3</v>
      </c>
      <c r="G36" s="23" t="n">
        <f aca="false">D36*F36</f>
        <v>30</v>
      </c>
      <c r="H36" s="24" t="n">
        <f aca="false">G36*IF(E36="USD",Compare!$B$7,IF(E36="CNY",Compare!$B$8,1))</f>
        <v>107940</v>
      </c>
      <c r="I36" s="25" t="s">
        <v>109</v>
      </c>
    </row>
    <row r="37" customFormat="false" ht="15" hidden="false" customHeight="false" outlineLevel="0" collapsed="false">
      <c r="A37" s="18"/>
      <c r="B37" s="19" t="s">
        <v>110</v>
      </c>
      <c r="C37" s="19"/>
      <c r="D37" s="20" t="n">
        <v>0</v>
      </c>
      <c r="E37" s="21" t="s">
        <v>104</v>
      </c>
      <c r="F37" s="22" t="n">
        <f aca="false">Compare!$B$6</f>
        <v>3</v>
      </c>
      <c r="G37" s="23" t="n">
        <f aca="false">D37*F37</f>
        <v>0</v>
      </c>
      <c r="H37" s="24" t="n">
        <f aca="false">G37*IF(E37="USD",Compare!$B$7,IF(E37="CNY",Compare!$B$8,1))</f>
        <v>0</v>
      </c>
      <c r="I37" s="25" t="s">
        <v>111</v>
      </c>
    </row>
    <row r="39" customFormat="false" ht="15" hidden="false" customHeight="false" outlineLevel="0" collapsed="false">
      <c r="G39" s="28" t="s">
        <v>112</v>
      </c>
      <c r="H39" s="29" t="n">
        <f aca="false">SUM(H14:H37)</f>
        <v>10974102</v>
      </c>
    </row>
    <row r="40" customFormat="false" ht="15" hidden="false" customHeight="false" outlineLevel="0" collapsed="false">
      <c r="G40" s="30" t="s">
        <v>18</v>
      </c>
      <c r="H40" s="31" t="n">
        <f aca="false">H39*Compare!$B$9</f>
        <v>1097410.2</v>
      </c>
    </row>
    <row r="41" customFormat="false" ht="15" hidden="false" customHeight="false" outlineLevel="0" collapsed="false">
      <c r="G41" s="28" t="s">
        <v>19</v>
      </c>
      <c r="H41" s="29" t="n">
        <f aca="false">H39+H40</f>
        <v>12071512.2</v>
      </c>
    </row>
    <row r="43" customFormat="false" ht="15" hidden="false" customHeight="false" outlineLevel="0" collapsed="false">
      <c r="G43" s="19" t="s">
        <v>113</v>
      </c>
      <c r="H43" s="10" t="n">
        <f aca="false">Compare!$B$5</f>
        <v>15000000</v>
      </c>
    </row>
    <row r="44" customFormat="false" ht="15" hidden="false" customHeight="false" outlineLevel="0" collapsed="false">
      <c r="G44" s="32" t="s">
        <v>20</v>
      </c>
      <c r="H44" s="33" t="n">
        <f aca="false">H43-H39</f>
        <v>4025898</v>
      </c>
    </row>
    <row r="45" customFormat="false" ht="15" hidden="false" customHeight="false" outlineLevel="0" collapsed="false">
      <c r="G45" s="32" t="s">
        <v>21</v>
      </c>
      <c r="H45" s="33" t="n">
        <f aca="false">MAX(0,H41-H43)</f>
        <v>0</v>
      </c>
    </row>
    <row r="46" customFormat="false" ht="15" hidden="false" customHeight="false" outlineLevel="0" collapsed="false">
      <c r="G46" s="19" t="s">
        <v>22</v>
      </c>
      <c r="H46" s="24" t="n">
        <f aca="false">H41/Compare!$B$6</f>
        <v>4023837.4</v>
      </c>
    </row>
    <row r="48" customFormat="false" ht="15" hidden="false" customHeight="false" outlineLevel="0" collapsed="false">
      <c r="G48" s="3" t="s">
        <v>114</v>
      </c>
    </row>
    <row r="49" customFormat="false" ht="15" hidden="false" customHeight="false" outlineLevel="0" collapsed="false">
      <c r="G49" s="4" t="s">
        <v>54</v>
      </c>
      <c r="H49" s="34" t="n">
        <f aca="false">SUMPRODUCT((LOOKUP(ROW(H14:H37),ROW(H14:H37)/(A14:A37&lt;&gt;""),A14:A37)="Flights")*H14:H37)</f>
        <v>5136834</v>
      </c>
    </row>
    <row r="50" customFormat="false" ht="15" hidden="false" customHeight="false" outlineLevel="0" collapsed="false">
      <c r="G50" s="4" t="s">
        <v>68</v>
      </c>
      <c r="H50" s="34" t="n">
        <f aca="false">SUMPRODUCT((LOOKUP(ROW(H14:H37),ROW(H14:H37)/(A14:A37&lt;&gt;""),A14:A37)="Trains")*H14:H37)</f>
        <v>1260672</v>
      </c>
    </row>
    <row r="51" customFormat="false" ht="15" hidden="false" customHeight="false" outlineLevel="0" collapsed="false">
      <c r="G51" s="4" t="s">
        <v>75</v>
      </c>
      <c r="H51" s="34" t="n">
        <f aca="false">SUMPRODUCT((LOOKUP(ROW(H14:H37),ROW(H14:H37)/(A14:A37&lt;&gt;""),A14:A37)="Accommodation (1 room for 3)")*H14:H37)</f>
        <v>801856</v>
      </c>
    </row>
    <row r="52" customFormat="false" ht="15" hidden="false" customHeight="false" outlineLevel="0" collapsed="false">
      <c r="G52" s="4" t="s">
        <v>88</v>
      </c>
      <c r="H52" s="34" t="n">
        <f aca="false">SUMPRODUCT((LOOKUP(ROW(H14:H37),ROW(H14:H37)/(A14:A37&lt;&gt;""),A14:A37)="Contest fees")*H14:H37)</f>
        <v>1608000</v>
      </c>
    </row>
    <row r="53" customFormat="false" ht="15" hidden="false" customHeight="false" outlineLevel="0" collapsed="false">
      <c r="G53" s="4" t="s">
        <v>95</v>
      </c>
      <c r="H53" s="34" t="n">
        <f aca="false">SUMPRODUCT((LOOKUP(ROW(H14:H37),ROW(H14:H37)/(A14:A37&lt;&gt;""),A14:A37)="Daily costs")*H14:H37)</f>
        <v>1768800</v>
      </c>
    </row>
    <row r="54" customFormat="false" ht="15" hidden="false" customHeight="false" outlineLevel="0" collapsed="false">
      <c r="G54" s="4" t="s">
        <v>101</v>
      </c>
      <c r="H54" s="34" t="n">
        <f aca="false">SUMPRODUCT((LOOKUP(ROW(H14:H37),ROW(H14:H37)/(A14:A37&lt;&gt;""),A14:A37)="Other")*H14:H37)</f>
        <v>397940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3" topLeftCell="A1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58"/>
    <col collapsed="false" customWidth="true" hidden="false" outlineLevel="0" max="3" min="3" style="0" width="20"/>
    <col collapsed="false" customWidth="true" hidden="false" outlineLevel="0" max="4" min="4" style="0" width="12"/>
    <col collapsed="false" customWidth="true" hidden="false" outlineLevel="0" max="5" min="5" style="0" width="9"/>
    <col collapsed="false" customWidth="true" hidden="false" outlineLevel="0" max="6" min="6" style="0" width="6"/>
    <col collapsed="false" customWidth="true" hidden="false" outlineLevel="0" max="7" min="7" style="0" width="22"/>
    <col collapsed="false" customWidth="true" hidden="false" outlineLevel="0" max="8" min="8" style="0" width="18"/>
    <col collapsed="false" customWidth="true" hidden="false" outlineLevel="0" max="9" min="9" style="0" width="66"/>
  </cols>
  <sheetData>
    <row r="1" customFormat="false" ht="17.35" hidden="false" customHeight="false" outlineLevel="0" collapsed="false">
      <c r="A1" s="1" t="s">
        <v>16</v>
      </c>
    </row>
    <row r="2" customFormat="false" ht="15" hidden="false" customHeight="false" outlineLevel="0" collapsed="false">
      <c r="A2" s="2" t="s">
        <v>126</v>
      </c>
    </row>
    <row r="4" customFormat="false" ht="15" hidden="false" customHeight="false" outlineLevel="0" collapsed="false">
      <c r="A4" s="3" t="s">
        <v>41</v>
      </c>
    </row>
    <row r="5" customFormat="false" ht="15" hidden="false" customHeight="false" outlineLevel="0" collapsed="false">
      <c r="A5" s="0" t="s">
        <v>42</v>
      </c>
      <c r="B5" s="14" t="n">
        <v>7</v>
      </c>
      <c r="C5" s="2" t="s">
        <v>127</v>
      </c>
    </row>
    <row r="6" customFormat="false" ht="15" hidden="false" customHeight="false" outlineLevel="0" collapsed="false">
      <c r="A6" s="2" t="s">
        <v>44</v>
      </c>
    </row>
    <row r="13" customFormat="false" ht="30" hidden="false" customHeight="true" outlineLevel="0" collapsed="false">
      <c r="A13" s="15" t="s">
        <v>45</v>
      </c>
      <c r="B13" s="15" t="s">
        <v>46</v>
      </c>
      <c r="C13" s="15" t="s">
        <v>47</v>
      </c>
      <c r="D13" s="15" t="s">
        <v>48</v>
      </c>
      <c r="E13" s="15" t="s">
        <v>49</v>
      </c>
      <c r="F13" s="15" t="s">
        <v>50</v>
      </c>
      <c r="G13" s="15" t="s">
        <v>51</v>
      </c>
      <c r="H13" s="15" t="s">
        <v>52</v>
      </c>
      <c r="I13" s="15" t="s">
        <v>53</v>
      </c>
    </row>
    <row r="14" customFormat="false" ht="15" hidden="false" customHeight="false" outlineLevel="0" collapsed="false">
      <c r="A14" s="16" t="s">
        <v>54</v>
      </c>
      <c r="B14" s="17"/>
      <c r="C14" s="17"/>
      <c r="D14" s="17"/>
      <c r="E14" s="17"/>
      <c r="F14" s="17"/>
      <c r="G14" s="17"/>
      <c r="H14" s="17"/>
      <c r="I14" s="17"/>
    </row>
    <row r="15" customFormat="false" ht="15" hidden="false" customHeight="false" outlineLevel="0" collapsed="false">
      <c r="A15" s="18"/>
      <c r="B15" s="19" t="s">
        <v>55</v>
      </c>
      <c r="C15" s="19" t="s">
        <v>56</v>
      </c>
      <c r="D15" s="20" t="n">
        <v>154</v>
      </c>
      <c r="E15" s="21" t="s">
        <v>57</v>
      </c>
      <c r="F15" s="22" t="n">
        <f aca="false">Compare!$B$6</f>
        <v>3</v>
      </c>
      <c r="G15" s="23" t="n">
        <f aca="false">D15*F15</f>
        <v>462</v>
      </c>
      <c r="H15" s="24" t="n">
        <f aca="false">G15*IF(E15="USD",Compare!$B$7,IF(E15="CNY",Compare!$B$8,1))</f>
        <v>1662276</v>
      </c>
      <c r="I15" s="25" t="s">
        <v>58</v>
      </c>
    </row>
    <row r="16" customFormat="false" ht="15" hidden="false" customHeight="false" outlineLevel="0" collapsed="false">
      <c r="A16" s="18"/>
      <c r="B16" s="19" t="s">
        <v>128</v>
      </c>
      <c r="C16" s="19" t="s">
        <v>129</v>
      </c>
      <c r="D16" s="20" t="n">
        <v>223</v>
      </c>
      <c r="E16" s="21" t="s">
        <v>57</v>
      </c>
      <c r="F16" s="22" t="n">
        <f aca="false">Compare!$B$6</f>
        <v>3</v>
      </c>
      <c r="G16" s="23" t="n">
        <f aca="false">D16*F16</f>
        <v>669</v>
      </c>
      <c r="H16" s="24" t="n">
        <f aca="false">G16*IF(E16="USD",Compare!$B$7,IF(E16="CNY",Compare!$B$8,1))</f>
        <v>2407062</v>
      </c>
      <c r="I16" s="25" t="s">
        <v>130</v>
      </c>
    </row>
    <row r="17" customFormat="false" ht="15" hidden="false" customHeight="false" outlineLevel="0" collapsed="false">
      <c r="A17" s="18"/>
      <c r="B17" s="19" t="s">
        <v>131</v>
      </c>
      <c r="C17" s="19" t="s">
        <v>60</v>
      </c>
      <c r="D17" s="20" t="n">
        <v>154</v>
      </c>
      <c r="E17" s="21" t="s">
        <v>57</v>
      </c>
      <c r="F17" s="22" t="n">
        <f aca="false">Compare!$B$6</f>
        <v>3</v>
      </c>
      <c r="G17" s="23" t="n">
        <f aca="false">D17*F17</f>
        <v>462</v>
      </c>
      <c r="H17" s="24" t="n">
        <f aca="false">G17*IF(E17="USD",Compare!$B$7,IF(E17="CNY",Compare!$B$8,1))</f>
        <v>1662276</v>
      </c>
      <c r="I17" s="25" t="s">
        <v>58</v>
      </c>
    </row>
    <row r="18" customFormat="false" ht="15" hidden="false" customHeight="false" outlineLevel="0" collapsed="false">
      <c r="A18" s="18"/>
      <c r="B18" s="19" t="s">
        <v>65</v>
      </c>
      <c r="C18" s="19" t="s">
        <v>66</v>
      </c>
      <c r="D18" s="20" t="n">
        <v>196.33</v>
      </c>
      <c r="E18" s="21" t="s">
        <v>57</v>
      </c>
      <c r="F18" s="22" t="n">
        <f aca="false">Compare!$B$6</f>
        <v>3</v>
      </c>
      <c r="G18" s="23" t="n">
        <f aca="false">D18*F18</f>
        <v>588.99</v>
      </c>
      <c r="H18" s="24" t="n">
        <f aca="false">G18*IF(E18="USD",Compare!$B$7,IF(E18="CNY",Compare!$B$8,1))</f>
        <v>2119186.02</v>
      </c>
      <c r="I18" s="25" t="s">
        <v>67</v>
      </c>
    </row>
    <row r="19" customFormat="false" ht="15" hidden="false" customHeight="false" outlineLevel="0" collapsed="false">
      <c r="A19" s="16" t="s">
        <v>68</v>
      </c>
      <c r="B19" s="17"/>
      <c r="C19" s="17"/>
      <c r="D19" s="17"/>
      <c r="E19" s="17"/>
      <c r="F19" s="17"/>
      <c r="G19" s="17"/>
      <c r="H19" s="17"/>
      <c r="I19" s="17"/>
    </row>
    <row r="20" customFormat="false" ht="15" hidden="false" customHeight="false" outlineLevel="0" collapsed="false">
      <c r="A20" s="18"/>
      <c r="B20" s="19" t="s">
        <v>69</v>
      </c>
      <c r="C20" s="19" t="s">
        <v>70</v>
      </c>
      <c r="D20" s="20" t="n">
        <v>504</v>
      </c>
      <c r="E20" s="21" t="s">
        <v>63</v>
      </c>
      <c r="F20" s="22" t="n">
        <f aca="false">Compare!$B$6</f>
        <v>3</v>
      </c>
      <c r="G20" s="23" t="n">
        <f aca="false">D20*F20</f>
        <v>1512</v>
      </c>
      <c r="H20" s="24" t="n">
        <f aca="false">G20*IF(E20="USD",Compare!$B$7,IF(E20="CNY",Compare!$B$8,1))</f>
        <v>810432</v>
      </c>
      <c r="I20" s="25" t="s">
        <v>132</v>
      </c>
    </row>
    <row r="21" customFormat="false" ht="15" hidden="false" customHeight="false" outlineLevel="0" collapsed="false">
      <c r="A21" s="18"/>
      <c r="B21" s="19" t="s">
        <v>133</v>
      </c>
      <c r="C21" s="19" t="s">
        <v>134</v>
      </c>
      <c r="D21" s="20" t="n">
        <v>504</v>
      </c>
      <c r="E21" s="21" t="s">
        <v>63</v>
      </c>
      <c r="F21" s="22" t="n">
        <f aca="false">Compare!$B$6</f>
        <v>3</v>
      </c>
      <c r="G21" s="23" t="n">
        <f aca="false">D21*F21</f>
        <v>1512</v>
      </c>
      <c r="H21" s="24" t="n">
        <f aca="false">G21*IF(E21="USD",Compare!$B$7,IF(E21="CNY",Compare!$B$8,1))</f>
        <v>810432</v>
      </c>
      <c r="I21" s="25" t="s">
        <v>135</v>
      </c>
    </row>
    <row r="22" customFormat="false" ht="15" hidden="false" customHeight="false" outlineLevel="0" collapsed="false">
      <c r="A22" s="18"/>
      <c r="B22" s="19" t="s">
        <v>136</v>
      </c>
      <c r="C22" s="19" t="s">
        <v>137</v>
      </c>
      <c r="D22" s="20" t="n">
        <v>339</v>
      </c>
      <c r="E22" s="21" t="s">
        <v>63</v>
      </c>
      <c r="F22" s="22" t="n">
        <f aca="false">Compare!$B$6</f>
        <v>3</v>
      </c>
      <c r="G22" s="23" t="n">
        <f aca="false">D22*F22</f>
        <v>1017</v>
      </c>
      <c r="H22" s="24" t="n">
        <f aca="false">G22*IF(E22="USD",Compare!$B$7,IF(E22="CNY",Compare!$B$8,1))</f>
        <v>545112</v>
      </c>
      <c r="I22" s="25" t="s">
        <v>74</v>
      </c>
    </row>
    <row r="23" customFormat="false" ht="15" hidden="false" customHeight="false" outlineLevel="0" collapsed="false">
      <c r="A23" s="18"/>
      <c r="B23" s="19" t="s">
        <v>72</v>
      </c>
      <c r="C23" s="19" t="s">
        <v>73</v>
      </c>
      <c r="D23" s="20" t="n">
        <v>339</v>
      </c>
      <c r="E23" s="21" t="s">
        <v>63</v>
      </c>
      <c r="F23" s="22" t="n">
        <f aca="false">Compare!$B$6</f>
        <v>3</v>
      </c>
      <c r="G23" s="23" t="n">
        <f aca="false">D23*F23</f>
        <v>1017</v>
      </c>
      <c r="H23" s="24" t="n">
        <f aca="false">G23*IF(E23="USD",Compare!$B$7,IF(E23="CNY",Compare!$B$8,1))</f>
        <v>545112</v>
      </c>
      <c r="I23" s="25" t="s">
        <v>74</v>
      </c>
    </row>
    <row r="24" customFormat="false" ht="15" hidden="false" customHeight="false" outlineLevel="0" collapsed="false">
      <c r="A24" s="16" t="s">
        <v>75</v>
      </c>
      <c r="B24" s="17"/>
      <c r="C24" s="17"/>
      <c r="D24" s="17"/>
      <c r="E24" s="17"/>
      <c r="F24" s="17"/>
      <c r="G24" s="17"/>
      <c r="H24" s="17"/>
      <c r="I24" s="17"/>
    </row>
    <row r="25" customFormat="false" ht="15" hidden="false" customHeight="false" outlineLevel="0" collapsed="false">
      <c r="A25" s="18"/>
      <c r="B25" s="19" t="s">
        <v>76</v>
      </c>
      <c r="C25" s="19" t="s">
        <v>77</v>
      </c>
      <c r="D25" s="20" t="n">
        <v>300</v>
      </c>
      <c r="E25" s="21" t="s">
        <v>63</v>
      </c>
      <c r="F25" s="27" t="n">
        <v>1</v>
      </c>
      <c r="G25" s="23" t="n">
        <f aca="false">D25*F25</f>
        <v>300</v>
      </c>
      <c r="H25" s="24" t="n">
        <f aca="false">G25*IF(E25="USD",Compare!$B$7,IF(E25="CNY",Compare!$B$8,1))</f>
        <v>160800</v>
      </c>
      <c r="I25" s="25" t="s">
        <v>138</v>
      </c>
    </row>
    <row r="26" customFormat="false" ht="15" hidden="false" customHeight="false" outlineLevel="0" collapsed="false">
      <c r="A26" s="18"/>
      <c r="B26" s="19" t="s">
        <v>79</v>
      </c>
      <c r="C26" s="19" t="s">
        <v>139</v>
      </c>
      <c r="D26" s="20" t="n">
        <v>602.67</v>
      </c>
      <c r="E26" s="21" t="s">
        <v>63</v>
      </c>
      <c r="F26" s="27" t="n">
        <v>3</v>
      </c>
      <c r="G26" s="23" t="n">
        <f aca="false">D26*F26</f>
        <v>1808.01</v>
      </c>
      <c r="H26" s="24" t="n">
        <f aca="false">G26*IF(E26="USD",Compare!$B$7,IF(E26="CNY",Compare!$B$8,1))</f>
        <v>969093.36</v>
      </c>
      <c r="I26" s="25" t="s">
        <v>140</v>
      </c>
    </row>
    <row r="27" customFormat="false" ht="15" hidden="false" customHeight="false" outlineLevel="0" collapsed="false">
      <c r="A27" s="18"/>
      <c r="B27" s="19" t="s">
        <v>141</v>
      </c>
      <c r="C27" s="19" t="s">
        <v>142</v>
      </c>
      <c r="D27" s="26" t="n">
        <v>300</v>
      </c>
      <c r="E27" s="21" t="s">
        <v>63</v>
      </c>
      <c r="F27" s="27" t="n">
        <v>1</v>
      </c>
      <c r="G27" s="23" t="n">
        <f aca="false">D27*F27</f>
        <v>300</v>
      </c>
      <c r="H27" s="24" t="n">
        <f aca="false">G27*IF(E27="USD",Compare!$B$7,IF(E27="CNY",Compare!$B$8,1))</f>
        <v>160800</v>
      </c>
      <c r="I27" s="25" t="s">
        <v>143</v>
      </c>
    </row>
    <row r="28" customFormat="false" ht="15" hidden="false" customHeight="false" outlineLevel="0" collapsed="false">
      <c r="A28" s="18"/>
      <c r="B28" s="19" t="s">
        <v>82</v>
      </c>
      <c r="C28" s="19" t="s">
        <v>144</v>
      </c>
      <c r="D28" s="20" t="n">
        <v>524</v>
      </c>
      <c r="E28" s="21" t="s">
        <v>63</v>
      </c>
      <c r="F28" s="27" t="n">
        <v>1</v>
      </c>
      <c r="G28" s="23" t="n">
        <f aca="false">D28*F28</f>
        <v>524</v>
      </c>
      <c r="H28" s="24" t="n">
        <f aca="false">G28*IF(E28="USD",Compare!$B$7,IF(E28="CNY",Compare!$B$8,1))</f>
        <v>280864</v>
      </c>
      <c r="I28" s="25" t="s">
        <v>145</v>
      </c>
    </row>
    <row r="29" customFormat="false" ht="15" hidden="false" customHeight="false" outlineLevel="0" collapsed="false">
      <c r="A29" s="18"/>
      <c r="B29" s="19" t="s">
        <v>85</v>
      </c>
      <c r="C29" s="19" t="s">
        <v>86</v>
      </c>
      <c r="D29" s="20" t="n">
        <v>300</v>
      </c>
      <c r="E29" s="21" t="s">
        <v>63</v>
      </c>
      <c r="F29" s="27" t="n">
        <v>1</v>
      </c>
      <c r="G29" s="23" t="n">
        <f aca="false">D29*F29</f>
        <v>300</v>
      </c>
      <c r="H29" s="24" t="n">
        <f aca="false">G29*IF(E29="USD",Compare!$B$7,IF(E29="CNY",Compare!$B$8,1))</f>
        <v>160800</v>
      </c>
      <c r="I29" s="25" t="s">
        <v>146</v>
      </c>
    </row>
    <row r="30" customFormat="false" ht="15" hidden="false" customHeight="false" outlineLevel="0" collapsed="false">
      <c r="A30" s="16" t="s">
        <v>88</v>
      </c>
      <c r="B30" s="17"/>
      <c r="C30" s="17"/>
      <c r="D30" s="17"/>
      <c r="E30" s="17"/>
      <c r="F30" s="17"/>
      <c r="G30" s="17"/>
      <c r="H30" s="17"/>
      <c r="I30" s="17"/>
    </row>
    <row r="31" customFormat="false" ht="15" hidden="false" customHeight="false" outlineLevel="0" collapsed="false">
      <c r="A31" s="18"/>
      <c r="B31" s="19" t="s">
        <v>89</v>
      </c>
      <c r="C31" s="19" t="s">
        <v>90</v>
      </c>
      <c r="D31" s="20" t="n">
        <v>1500</v>
      </c>
      <c r="E31" s="21" t="s">
        <v>63</v>
      </c>
      <c r="F31" s="27" t="n">
        <v>1</v>
      </c>
      <c r="G31" s="23" t="n">
        <f aca="false">D31*F31</f>
        <v>1500</v>
      </c>
      <c r="H31" s="24" t="n">
        <f aca="false">G31*IF(E31="USD",Compare!$B$7,IF(E31="CNY",Compare!$B$8,1))</f>
        <v>804000</v>
      </c>
      <c r="I31" s="25" t="s">
        <v>91</v>
      </c>
    </row>
    <row r="32" customFormat="false" ht="15" hidden="false" customHeight="false" outlineLevel="0" collapsed="false">
      <c r="A32" s="18"/>
      <c r="B32" s="19" t="s">
        <v>92</v>
      </c>
      <c r="C32" s="19" t="s">
        <v>93</v>
      </c>
      <c r="D32" s="26" t="n">
        <v>1500</v>
      </c>
      <c r="E32" s="21" t="s">
        <v>63</v>
      </c>
      <c r="F32" s="27" t="n">
        <v>1</v>
      </c>
      <c r="G32" s="23" t="n">
        <f aca="false">D32*F32</f>
        <v>1500</v>
      </c>
      <c r="H32" s="24" t="n">
        <f aca="false">G32*IF(E32="USD",Compare!$B$7,IF(E32="CNY",Compare!$B$8,1))</f>
        <v>804000</v>
      </c>
      <c r="I32" s="25" t="s">
        <v>94</v>
      </c>
    </row>
    <row r="33" customFormat="false" ht="15" hidden="false" customHeight="false" outlineLevel="0" collapsed="false">
      <c r="A33" s="16" t="s">
        <v>95</v>
      </c>
      <c r="B33" s="17"/>
      <c r="C33" s="17"/>
      <c r="D33" s="17"/>
      <c r="E33" s="17"/>
      <c r="F33" s="17"/>
      <c r="G33" s="17"/>
      <c r="H33" s="17"/>
      <c r="I33" s="17"/>
    </row>
    <row r="34" customFormat="false" ht="15" hidden="false" customHeight="false" outlineLevel="0" collapsed="false">
      <c r="A34" s="18"/>
      <c r="B34" s="19" t="s">
        <v>96</v>
      </c>
      <c r="C34" s="19" t="s">
        <v>97</v>
      </c>
      <c r="D34" s="26" t="n">
        <v>80</v>
      </c>
      <c r="E34" s="21" t="s">
        <v>63</v>
      </c>
      <c r="F34" s="22" t="n">
        <f aca="false">Compare!$B$6*$B$5</f>
        <v>21</v>
      </c>
      <c r="G34" s="23" t="n">
        <f aca="false">D34*F34</f>
        <v>1680</v>
      </c>
      <c r="H34" s="24" t="n">
        <f aca="false">G34*IF(E34="USD",Compare!$B$7,IF(E34="CNY",Compare!$B$8,1))</f>
        <v>900480</v>
      </c>
      <c r="I34" s="25" t="s">
        <v>98</v>
      </c>
    </row>
    <row r="35" customFormat="false" ht="15" hidden="false" customHeight="false" outlineLevel="0" collapsed="false">
      <c r="A35" s="18"/>
      <c r="B35" s="19" t="s">
        <v>99</v>
      </c>
      <c r="C35" s="19" t="s">
        <v>97</v>
      </c>
      <c r="D35" s="26" t="n">
        <v>30</v>
      </c>
      <c r="E35" s="21" t="s">
        <v>63</v>
      </c>
      <c r="F35" s="22" t="n">
        <f aca="false">Compare!$B$6*$B$5</f>
        <v>21</v>
      </c>
      <c r="G35" s="23" t="n">
        <f aca="false">D35*F35</f>
        <v>630</v>
      </c>
      <c r="H35" s="24" t="n">
        <f aca="false">G35*IF(E35="USD",Compare!$B$7,IF(E35="CNY",Compare!$B$8,1))</f>
        <v>337680</v>
      </c>
      <c r="I35" s="25" t="s">
        <v>100</v>
      </c>
    </row>
    <row r="36" customFormat="false" ht="15" hidden="false" customHeight="false" outlineLevel="0" collapsed="false">
      <c r="A36" s="16" t="s">
        <v>101</v>
      </c>
      <c r="B36" s="17"/>
      <c r="C36" s="17"/>
      <c r="D36" s="17"/>
      <c r="E36" s="17"/>
      <c r="F36" s="17"/>
      <c r="G36" s="17"/>
      <c r="H36" s="17"/>
      <c r="I36" s="17"/>
    </row>
    <row r="37" customFormat="false" ht="15" hidden="false" customHeight="false" outlineLevel="0" collapsed="false">
      <c r="A37" s="18"/>
      <c r="B37" s="19" t="s">
        <v>102</v>
      </c>
      <c r="C37" s="19" t="s">
        <v>103</v>
      </c>
      <c r="D37" s="26" t="n">
        <v>100000</v>
      </c>
      <c r="E37" s="21" t="s">
        <v>104</v>
      </c>
      <c r="F37" s="27" t="n">
        <v>4</v>
      </c>
      <c r="G37" s="23" t="n">
        <f aca="false">D37*F37</f>
        <v>400000</v>
      </c>
      <c r="H37" s="24" t="n">
        <f aca="false">G37*IF(E37="USD",Compare!$B$7,IF(E37="CNY",Compare!$B$8,1))</f>
        <v>400000</v>
      </c>
      <c r="I37" s="25" t="s">
        <v>105</v>
      </c>
    </row>
    <row r="38" customFormat="false" ht="15" hidden="false" customHeight="false" outlineLevel="0" collapsed="false">
      <c r="A38" s="18"/>
      <c r="B38" s="19" t="s">
        <v>106</v>
      </c>
      <c r="C38" s="19"/>
      <c r="D38" s="26" t="n">
        <v>30000</v>
      </c>
      <c r="E38" s="21" t="s">
        <v>104</v>
      </c>
      <c r="F38" s="22" t="n">
        <f aca="false">Compare!$B$6*2</f>
        <v>6</v>
      </c>
      <c r="G38" s="23" t="n">
        <f aca="false">D38*F38</f>
        <v>180000</v>
      </c>
      <c r="H38" s="24" t="n">
        <f aca="false">G38*IF(E38="USD",Compare!$B$7,IF(E38="CNY",Compare!$B$8,1))</f>
        <v>180000</v>
      </c>
      <c r="I38" s="25" t="s">
        <v>107</v>
      </c>
    </row>
    <row r="39" customFormat="false" ht="15" hidden="false" customHeight="false" outlineLevel="0" collapsed="false">
      <c r="A39" s="18"/>
      <c r="B39" s="19" t="s">
        <v>108</v>
      </c>
      <c r="C39" s="19"/>
      <c r="D39" s="26" t="n">
        <v>10</v>
      </c>
      <c r="E39" s="21" t="s">
        <v>57</v>
      </c>
      <c r="F39" s="22" t="n">
        <f aca="false">Compare!$B$6</f>
        <v>3</v>
      </c>
      <c r="G39" s="23" t="n">
        <f aca="false">D39*F39</f>
        <v>30</v>
      </c>
      <c r="H39" s="24" t="n">
        <f aca="false">G39*IF(E39="USD",Compare!$B$7,IF(E39="CNY",Compare!$B$8,1))</f>
        <v>107940</v>
      </c>
      <c r="I39" s="25" t="s">
        <v>109</v>
      </c>
    </row>
    <row r="40" customFormat="false" ht="15" hidden="false" customHeight="false" outlineLevel="0" collapsed="false">
      <c r="A40" s="18"/>
      <c r="B40" s="19" t="s">
        <v>110</v>
      </c>
      <c r="C40" s="19"/>
      <c r="D40" s="20" t="n">
        <v>0</v>
      </c>
      <c r="E40" s="21" t="s">
        <v>104</v>
      </c>
      <c r="F40" s="22" t="n">
        <f aca="false">Compare!$B$6</f>
        <v>3</v>
      </c>
      <c r="G40" s="23" t="n">
        <f aca="false">D40*F40</f>
        <v>0</v>
      </c>
      <c r="H40" s="24" t="n">
        <f aca="false">G40*IF(E40="USD",Compare!$B$7,IF(E40="CNY",Compare!$B$8,1))</f>
        <v>0</v>
      </c>
      <c r="I40" s="25" t="s">
        <v>111</v>
      </c>
    </row>
    <row r="42" customFormat="false" ht="15" hidden="false" customHeight="false" outlineLevel="0" collapsed="false">
      <c r="G42" s="28" t="s">
        <v>112</v>
      </c>
      <c r="H42" s="29" t="n">
        <f aca="false">SUM(H14:H40)</f>
        <v>15828345.38</v>
      </c>
    </row>
    <row r="43" customFormat="false" ht="15" hidden="false" customHeight="false" outlineLevel="0" collapsed="false">
      <c r="G43" s="30" t="s">
        <v>18</v>
      </c>
      <c r="H43" s="31" t="n">
        <f aca="false">H42*Compare!$B$9</f>
        <v>1582834.538</v>
      </c>
    </row>
    <row r="44" customFormat="false" ht="15" hidden="false" customHeight="false" outlineLevel="0" collapsed="false">
      <c r="G44" s="28" t="s">
        <v>19</v>
      </c>
      <c r="H44" s="29" t="n">
        <f aca="false">H42+H43</f>
        <v>17411179.918</v>
      </c>
    </row>
    <row r="46" customFormat="false" ht="15" hidden="false" customHeight="false" outlineLevel="0" collapsed="false">
      <c r="G46" s="19" t="s">
        <v>113</v>
      </c>
      <c r="H46" s="10" t="n">
        <f aca="false">Compare!$B$5</f>
        <v>15000000</v>
      </c>
    </row>
    <row r="47" customFormat="false" ht="15" hidden="false" customHeight="false" outlineLevel="0" collapsed="false">
      <c r="G47" s="32" t="s">
        <v>20</v>
      </c>
      <c r="H47" s="33" t="n">
        <f aca="false">H46-H42</f>
        <v>-828345.379999999</v>
      </c>
    </row>
    <row r="48" customFormat="false" ht="15" hidden="false" customHeight="false" outlineLevel="0" collapsed="false">
      <c r="G48" s="32" t="s">
        <v>21</v>
      </c>
      <c r="H48" s="33" t="n">
        <f aca="false">MAX(0,H44-H46)</f>
        <v>2411179.918</v>
      </c>
    </row>
    <row r="49" customFormat="false" ht="15" hidden="false" customHeight="false" outlineLevel="0" collapsed="false">
      <c r="G49" s="19" t="s">
        <v>22</v>
      </c>
      <c r="H49" s="24" t="n">
        <f aca="false">H44/Compare!$B$6</f>
        <v>5803726.63933333</v>
      </c>
    </row>
    <row r="51" customFormat="false" ht="15" hidden="false" customHeight="false" outlineLevel="0" collapsed="false">
      <c r="G51" s="3" t="s">
        <v>114</v>
      </c>
    </row>
    <row r="52" customFormat="false" ht="15" hidden="false" customHeight="false" outlineLevel="0" collapsed="false">
      <c r="G52" s="4" t="s">
        <v>54</v>
      </c>
      <c r="H52" s="34" t="n">
        <f aca="false">SUMPRODUCT((LOOKUP(ROW(H14:H40),ROW(H14:H40)/(A14:A40&lt;&gt;""),A14:A40)="Flights")*H14:H40)</f>
        <v>7850800.02</v>
      </c>
    </row>
    <row r="53" customFormat="false" ht="15" hidden="false" customHeight="false" outlineLevel="0" collapsed="false">
      <c r="G53" s="4" t="s">
        <v>68</v>
      </c>
      <c r="H53" s="34" t="n">
        <f aca="false">SUMPRODUCT((LOOKUP(ROW(H14:H40),ROW(H14:H40)/(A14:A40&lt;&gt;""),A14:A40)="Trains")*H14:H40)</f>
        <v>2711088</v>
      </c>
    </row>
    <row r="54" customFormat="false" ht="15" hidden="false" customHeight="false" outlineLevel="0" collapsed="false">
      <c r="G54" s="4" t="s">
        <v>75</v>
      </c>
      <c r="H54" s="34" t="n">
        <f aca="false">SUMPRODUCT((LOOKUP(ROW(H14:H40),ROW(H14:H40)/(A14:A40&lt;&gt;""),A14:A40)="Accommodation (1 room for 3)")*H14:H40)</f>
        <v>1732357.36</v>
      </c>
    </row>
    <row r="55" customFormat="false" ht="15" hidden="false" customHeight="false" outlineLevel="0" collapsed="false">
      <c r="G55" s="4" t="s">
        <v>88</v>
      </c>
      <c r="H55" s="34" t="n">
        <f aca="false">SUMPRODUCT((LOOKUP(ROW(H14:H40),ROW(H14:H40)/(A14:A40&lt;&gt;""),A14:A40)="Contest fees")*H14:H40)</f>
        <v>1608000</v>
      </c>
    </row>
    <row r="56" customFormat="false" ht="15" hidden="false" customHeight="false" outlineLevel="0" collapsed="false">
      <c r="G56" s="4" t="s">
        <v>95</v>
      </c>
      <c r="H56" s="34" t="n">
        <f aca="false">SUMPRODUCT((LOOKUP(ROW(H14:H40),ROW(H14:H40)/(A14:A40&lt;&gt;""),A14:A40)="Daily costs")*H14:H40)</f>
        <v>1238160</v>
      </c>
    </row>
    <row r="57" customFormat="false" ht="15" hidden="false" customHeight="false" outlineLevel="0" collapsed="false">
      <c r="G57" s="4" t="s">
        <v>101</v>
      </c>
      <c r="H57" s="34" t="n">
        <f aca="false">SUMPRODUCT((LOOKUP(ROW(H14:H40),ROW(H14:H40)/(A14:A40&lt;&gt;""),A14:A40)="Other")*H14:H40)</f>
        <v>687940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6"/>
    <col collapsed="false" customWidth="true" hidden="false" outlineLevel="0" max="3" min="3" style="0" width="110"/>
  </cols>
  <sheetData>
    <row r="1" customFormat="false" ht="15" hidden="false" customHeight="false" outlineLevel="0" collapsed="false">
      <c r="A1" s="35" t="s">
        <v>147</v>
      </c>
    </row>
    <row r="2" customFormat="false" ht="15" hidden="false" customHeight="false" outlineLevel="0" collapsed="false">
      <c r="A2" s="9" t="s">
        <v>47</v>
      </c>
      <c r="B2" s="9" t="s">
        <v>148</v>
      </c>
      <c r="C2" s="9" t="s">
        <v>149</v>
      </c>
    </row>
    <row r="3" customFormat="false" ht="15" hidden="false" customHeight="false" outlineLevel="0" collapsed="false">
      <c r="A3" s="36" t="s">
        <v>150</v>
      </c>
      <c r="B3" s="36" t="s">
        <v>151</v>
      </c>
      <c r="C3" s="36" t="s">
        <v>152</v>
      </c>
    </row>
    <row r="4" customFormat="false" ht="26.85" hidden="false" customHeight="false" outlineLevel="0" collapsed="false">
      <c r="A4" s="36" t="s">
        <v>153</v>
      </c>
      <c r="B4" s="36" t="s">
        <v>154</v>
      </c>
      <c r="C4" s="36" t="s">
        <v>155</v>
      </c>
    </row>
    <row r="5" customFormat="false" ht="15" hidden="false" customHeight="false" outlineLevel="0" collapsed="false">
      <c r="A5" s="36" t="s">
        <v>156</v>
      </c>
      <c r="B5" s="36" t="s">
        <v>154</v>
      </c>
      <c r="C5" s="36" t="s">
        <v>157</v>
      </c>
    </row>
    <row r="6" customFormat="false" ht="15" hidden="false" customHeight="false" outlineLevel="0" collapsed="false">
      <c r="A6" s="36" t="s">
        <v>158</v>
      </c>
      <c r="B6" s="36" t="s">
        <v>154</v>
      </c>
      <c r="C6" s="36" t="s">
        <v>159</v>
      </c>
    </row>
    <row r="7" customFormat="false" ht="15" hidden="false" customHeight="false" outlineLevel="0" collapsed="false">
      <c r="A7" s="36" t="s">
        <v>160</v>
      </c>
      <c r="B7" s="36" t="s">
        <v>161</v>
      </c>
      <c r="C7" s="36" t="s">
        <v>162</v>
      </c>
    </row>
    <row r="8" customFormat="false" ht="15" hidden="false" customHeight="false" outlineLevel="0" collapsed="false">
      <c r="A8" s="36" t="s">
        <v>163</v>
      </c>
      <c r="B8" s="36" t="s">
        <v>161</v>
      </c>
      <c r="C8" s="36" t="s">
        <v>164</v>
      </c>
    </row>
    <row r="9" customFormat="false" ht="15" hidden="false" customHeight="false" outlineLevel="0" collapsed="false">
      <c r="A9" s="36" t="s">
        <v>165</v>
      </c>
      <c r="B9" s="36" t="s">
        <v>151</v>
      </c>
      <c r="C9" s="36" t="s">
        <v>166</v>
      </c>
    </row>
    <row r="10" customFormat="false" ht="15" hidden="false" customHeight="false" outlineLevel="0" collapsed="false">
      <c r="A10" s="36" t="s">
        <v>167</v>
      </c>
      <c r="B10" s="36" t="s">
        <v>168</v>
      </c>
      <c r="C10" s="36" t="s">
        <v>169</v>
      </c>
    </row>
    <row r="12" customFormat="false" ht="15" hidden="false" customHeight="false" outlineLevel="0" collapsed="false">
      <c r="A12" s="35" t="s">
        <v>16</v>
      </c>
    </row>
    <row r="13" customFormat="false" ht="15" hidden="false" customHeight="false" outlineLevel="0" collapsed="false">
      <c r="A13" s="9" t="s">
        <v>47</v>
      </c>
      <c r="B13" s="9" t="s">
        <v>148</v>
      </c>
      <c r="C13" s="9" t="s">
        <v>149</v>
      </c>
    </row>
    <row r="14" customFormat="false" ht="15" hidden="false" customHeight="false" outlineLevel="0" collapsed="false">
      <c r="A14" s="36" t="s">
        <v>150</v>
      </c>
      <c r="B14" s="36" t="s">
        <v>151</v>
      </c>
      <c r="C14" s="36" t="s">
        <v>170</v>
      </c>
    </row>
    <row r="15" customFormat="false" ht="15" hidden="false" customHeight="false" outlineLevel="0" collapsed="false">
      <c r="A15" s="36" t="s">
        <v>153</v>
      </c>
      <c r="B15" s="36" t="s">
        <v>154</v>
      </c>
      <c r="C15" s="36" t="s">
        <v>171</v>
      </c>
    </row>
    <row r="16" customFormat="false" ht="15" hidden="false" customHeight="false" outlineLevel="0" collapsed="false">
      <c r="A16" s="36" t="s">
        <v>156</v>
      </c>
      <c r="B16" s="36" t="s">
        <v>154</v>
      </c>
      <c r="C16" s="36" t="s">
        <v>157</v>
      </c>
    </row>
    <row r="17" customFormat="false" ht="15" hidden="false" customHeight="false" outlineLevel="0" collapsed="false">
      <c r="A17" s="36" t="s">
        <v>172</v>
      </c>
      <c r="B17" s="36" t="s">
        <v>154</v>
      </c>
      <c r="C17" s="36" t="s">
        <v>173</v>
      </c>
    </row>
    <row r="18" customFormat="false" ht="15" hidden="false" customHeight="false" outlineLevel="0" collapsed="false">
      <c r="A18" s="36" t="s">
        <v>174</v>
      </c>
      <c r="B18" s="36" t="s">
        <v>175</v>
      </c>
      <c r="C18" s="36" t="s">
        <v>176</v>
      </c>
    </row>
    <row r="19" customFormat="false" ht="15" hidden="false" customHeight="false" outlineLevel="0" collapsed="false">
      <c r="A19" s="36" t="s">
        <v>177</v>
      </c>
      <c r="B19" s="36" t="s">
        <v>168</v>
      </c>
      <c r="C19" s="36" t="s">
        <v>178</v>
      </c>
    </row>
    <row r="20" customFormat="false" ht="15" hidden="false" customHeight="false" outlineLevel="0" collapsed="false">
      <c r="A20" s="36" t="s">
        <v>160</v>
      </c>
      <c r="B20" s="36" t="s">
        <v>151</v>
      </c>
      <c r="C20" s="36" t="s">
        <v>179</v>
      </c>
    </row>
    <row r="21" customFormat="false" ht="15" hidden="false" customHeight="false" outlineLevel="0" collapsed="false">
      <c r="A21" s="36" t="s">
        <v>163</v>
      </c>
      <c r="B21" s="36" t="s">
        <v>161</v>
      </c>
      <c r="C21" s="36" t="s">
        <v>180</v>
      </c>
    </row>
    <row r="22" customFormat="false" ht="15" hidden="false" customHeight="false" outlineLevel="0" collapsed="false">
      <c r="A22" s="36" t="s">
        <v>165</v>
      </c>
      <c r="B22" s="36" t="s">
        <v>151</v>
      </c>
      <c r="C22" s="36" t="s">
        <v>181</v>
      </c>
    </row>
    <row r="23" customFormat="false" ht="15" hidden="false" customHeight="false" outlineLevel="0" collapsed="false">
      <c r="A23" s="36" t="s">
        <v>167</v>
      </c>
      <c r="B23" s="36" t="s">
        <v>168</v>
      </c>
      <c r="C23" s="36" t="s">
        <v>182</v>
      </c>
    </row>
    <row r="25" customFormat="false" ht="26.85" hidden="false" customHeight="false" outlineLevel="0" collapsed="false">
      <c r="A25" s="3" t="s">
        <v>183</v>
      </c>
      <c r="C25" s="36" t="s">
        <v>184</v>
      </c>
    </row>
    <row r="26" customFormat="false" ht="26.85" hidden="false" customHeight="false" outlineLevel="0" collapsed="false">
      <c r="A26" s="3" t="s">
        <v>183</v>
      </c>
      <c r="C26" s="36" t="s">
        <v>185</v>
      </c>
    </row>
    <row r="27" customFormat="false" ht="15" hidden="false" customHeight="false" outlineLevel="0" collapsed="false">
      <c r="A27" s="3" t="s">
        <v>183</v>
      </c>
      <c r="C27" s="36" t="s">
        <v>186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2026-09-30T13:58:22Z</dcterms:created>
  <dc:creator>openpyxl</dc:creator>
  <dc:description/>
  <dc:language>en-US</dc:language>
  <cp:lastModifiedBy/>
  <dcterms:modified xsi:type="dcterms:W3CDTF">2026-09-30T13:58:22Z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