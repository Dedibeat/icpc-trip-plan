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mpare" sheetId="1" state="visible" r:id="rId1"/>
    <sheet name="A Balanced" sheetId="2" state="visible" r:id="rId2"/>
    <sheet name="B Budget" sheetId="3" state="visible" r:id="rId3"/>
    <sheet name="C Home between" sheetId="4" state="visible" r:id="rId4"/>
    <sheet name="Itinerari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&quot; ₮&quot;;\(#,##0&quot; ₮)&quot;;\-"/>
    <numFmt numFmtId="165" formatCode="#,##0.00;\(#,##0.00\);\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95959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8000"/>
      <sz val="11"/>
    </font>
    <font>
      <name val="Arial"/>
      <charset val="1"/>
      <family val="0"/>
      <color rgb="FF595959"/>
      <sz val="9"/>
    </font>
    <font>
      <name val="Arial"/>
      <charset val="1"/>
      <family val="0"/>
      <b val="1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1" fontId="8" fillId="2" borderId="1" applyAlignment="1" pivotButton="0" quotePrefix="0" xfId="0">
      <alignment horizontal="general" vertical="bottom"/>
    </xf>
    <xf numFmtId="3" fontId="8" fillId="2" borderId="1" applyAlignment="1" pivotButton="0" quotePrefix="0" xfId="0">
      <alignment horizontal="general" vertical="bottom"/>
    </xf>
    <xf numFmtId="9" fontId="8" fillId="2" borderId="1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8" fillId="2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164" fontId="6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1" fontId="8" fillId="2" borderId="1" applyAlignment="1" pivotButton="0" quotePrefix="0" xfId="0">
      <alignment horizontal="general" vertical="bottom"/>
    </xf>
    <xf numFmtId="3" fontId="8" fillId="2" borderId="1" applyAlignment="1" pivotButton="0" quotePrefix="0" xfId="0">
      <alignment horizontal="general" vertical="bottom"/>
    </xf>
    <xf numFmtId="9" fontId="8" fillId="2" borderId="1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165" fontId="8" fillId="2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164" fontId="6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37" min="1" max="1"/>
    <col width="34" customWidth="1" style="37" min="2" max="4"/>
  </cols>
  <sheetData>
    <row r="1" ht="17.35" customHeight="1" s="38">
      <c r="A1" s="39" t="inlineStr">
        <is>
          <t>ICPC 2026 Asia EC — Nanjing (7–8 Nov) + Shenyang (14–15 Nov): 3 trip variants</t>
        </is>
      </c>
    </row>
    <row r="2" ht="15" customHeight="1" s="38">
      <c r="A2" s="40" t="inlineStr">
        <is>
          <t>3 contestants from Ulaanbaatar. Prices checked 30 Sep 2026; flights re-priced on Trip.com 30 Sep – 1 Oct 2026; trains (Ctrip) and hotels (Trip.com) re-checked 1 Oct; official fares and sale times from 12306 on 3 Oct. Blue = inputs; yellow = key assumptions; green = links to another sheet.</t>
        </is>
      </c>
    </row>
    <row r="4" ht="15" customHeight="1" s="38">
      <c r="A4" s="41" t="inlineStr">
        <is>
          <t>Shared inputs</t>
        </is>
      </c>
    </row>
    <row r="5" ht="15" customHeight="1" s="38">
      <c r="A5" s="42" t="inlineStr">
        <is>
          <t>University funding (MNT)</t>
        </is>
      </c>
      <c r="B5" s="43" t="n">
        <v>15000000</v>
      </c>
      <c r="C5" s="40" t="inlineStr">
        <is>
          <t>Given by team (raised from 12M on 30 Sep)</t>
        </is>
      </c>
    </row>
    <row r="6" ht="15" customHeight="1" s="38">
      <c r="A6" s="42" t="inlineStr">
        <is>
          <t>Travelers</t>
        </is>
      </c>
      <c r="B6" s="44" t="n">
        <v>3</v>
      </c>
      <c r="C6" s="40" t="inlineStr">
        <is>
          <t>3 contestants, no coach travelling</t>
        </is>
      </c>
    </row>
    <row r="7" ht="15" customHeight="1" s="38">
      <c r="A7" s="42" t="inlineStr">
        <is>
          <t>USD → MNT</t>
        </is>
      </c>
      <c r="B7" s="45" t="n">
        <v>3598</v>
      </c>
      <c r="C7" s="40" t="inlineStr">
        <is>
          <t>Mid-market, Xe/Investing.com, 29–30 Sep 2026</t>
        </is>
      </c>
    </row>
    <row r="8" ht="15" customHeight="1" s="38">
      <c r="A8" s="42" t="inlineStr">
        <is>
          <t>CNY → MNT</t>
        </is>
      </c>
      <c r="B8" s="45" t="n">
        <v>536</v>
      </c>
      <c r="C8" s="40" t="inlineStr">
        <is>
          <t>Mid-market, Xe/currency.wiki, late Sep 2026</t>
        </is>
      </c>
    </row>
    <row r="9" ht="15" customHeight="1" s="38">
      <c r="A9" s="42" t="inlineStr">
        <is>
          <t>Contingency %</t>
        </is>
      </c>
      <c r="B9" s="46" t="n">
        <v>0.1</v>
      </c>
      <c r="C9" s="40" t="inlineStr">
        <is>
          <t>Buffer for fare changes, FX spread, extras</t>
        </is>
      </c>
    </row>
    <row r="11" ht="15" customHeight="1" s="38">
      <c r="A11" s="41" t="inlineStr">
        <is>
          <t>Side-by-side</t>
        </is>
      </c>
    </row>
    <row r="12" ht="15" customHeight="1" s="38">
      <c r="A12" s="47" t="n"/>
      <c r="B12" s="47" t="inlineStr">
        <is>
          <t>A Balanced</t>
        </is>
      </c>
      <c r="C12" s="47" t="inlineStr">
        <is>
          <t>B Budget</t>
        </is>
      </c>
      <c r="D12" s="47" t="inlineStr">
        <is>
          <t>C Home between</t>
        </is>
      </c>
    </row>
    <row r="13" ht="15" customHeight="1" s="38">
      <c r="A13" s="42" t="inlineStr">
        <is>
          <t>Subtotal (MNT)</t>
        </is>
      </c>
      <c r="B13" s="48">
        <f>'A Balanced'!H39</f>
        <v/>
      </c>
      <c r="C13" s="48">
        <f>'B Budget'!H39</f>
        <v/>
      </c>
      <c r="D13" s="48">
        <f>'C Home between'!H42</f>
        <v/>
      </c>
    </row>
    <row r="14" ht="15" customHeight="1" s="38">
      <c r="A14" s="42" t="inlineStr">
        <is>
          <t>Contingency</t>
        </is>
      </c>
      <c r="B14" s="48">
        <f>'A Balanced'!H40</f>
        <v/>
      </c>
      <c r="C14" s="48">
        <f>'B Budget'!H40</f>
        <v/>
      </c>
      <c r="D14" s="48">
        <f>'C Home between'!H43</f>
        <v/>
      </c>
    </row>
    <row r="15" ht="15" customHeight="1" s="38">
      <c r="A15" s="41" t="inlineStr">
        <is>
          <t>TOTAL incl. contingency</t>
        </is>
      </c>
      <c r="B15" s="49">
        <f>'A Balanced'!H41</f>
        <v/>
      </c>
      <c r="C15" s="49">
        <f>'B Budget'!H41</f>
        <v/>
      </c>
      <c r="D15" s="49">
        <f>'C Home between'!H44</f>
        <v/>
      </c>
    </row>
    <row r="16" ht="15" customHeight="1" s="38">
      <c r="A16" s="42" t="inlineStr">
        <is>
          <t>Funding left after subtotal (negative = over)</t>
        </is>
      </c>
      <c r="B16" s="48">
        <f>'A Balanced'!H44</f>
        <v/>
      </c>
      <c r="C16" s="48">
        <f>'B Budget'!H44</f>
        <v/>
      </c>
      <c r="D16" s="48">
        <f>'C Home between'!H47</f>
        <v/>
      </c>
    </row>
    <row r="17" ht="15" customHeight="1" s="38">
      <c r="A17" s="41" t="inlineStr">
        <is>
          <t>Out-of-pocket incl. contingency</t>
        </is>
      </c>
      <c r="B17" s="49">
        <f>'A Balanced'!H45</f>
        <v/>
      </c>
      <c r="C17" s="49">
        <f>'B Budget'!H45</f>
        <v/>
      </c>
      <c r="D17" s="49">
        <f>'C Home between'!H48</f>
        <v/>
      </c>
    </row>
    <row r="18" ht="15" customHeight="1" s="38">
      <c r="A18" s="42" t="inlineStr">
        <is>
          <t>Per person incl. contingency</t>
        </is>
      </c>
      <c r="B18" s="48">
        <f>'A Balanced'!H46</f>
        <v/>
      </c>
      <c r="C18" s="48">
        <f>'B Budget'!H46</f>
        <v/>
      </c>
      <c r="D18" s="48">
        <f>'C Home between'!H49</f>
        <v/>
      </c>
    </row>
    <row r="19" ht="15" customHeight="1" s="38">
      <c r="A19" s="50" t="inlineStr">
        <is>
          <t>Nights away from home</t>
        </is>
      </c>
      <c r="B19" s="51" t="inlineStr">
        <is>
          <t>10</t>
        </is>
      </c>
      <c r="C19" s="51" t="inlineStr">
        <is>
          <t>10</t>
        </is>
      </c>
      <c r="D19" s="51" t="inlineStr">
        <is>
          <t>7 (home 10–13 Nov)</t>
        </is>
      </c>
    </row>
    <row r="20" ht="15" customHeight="1" s="38">
      <c r="A20" s="50" t="inlineStr">
        <is>
          <t>Nanjing hotel → NUAA Jiangjun Rd</t>
        </is>
      </c>
      <c r="B20" s="51" t="inlineStr">
        <is>
          <t>~1 km walk</t>
        </is>
      </c>
      <c r="C20" s="51" t="inlineStr">
        <is>
          <t>~15 min metro</t>
        </is>
      </c>
      <c r="D20" s="51" t="inlineStr">
        <is>
          <t>~1 km walk</t>
        </is>
      </c>
    </row>
    <row r="21" ht="15" customHeight="1" s="38">
      <c r="A21" s="50" t="inlineStr">
        <is>
          <t>Shenyang hotel → NEU Nanhu</t>
        </is>
      </c>
      <c r="B21" s="51" t="inlineStr">
        <is>
          <t>~1.3 km</t>
        </is>
      </c>
      <c r="C21" s="51" t="inlineStr">
        <is>
          <t>~25 min metro</t>
        </is>
      </c>
      <c r="D21" s="51" t="inlineStr">
        <is>
          <t>~1.3 km</t>
        </is>
      </c>
    </row>
    <row r="22" ht="15" customHeight="1" s="38">
      <c r="A22" s="50" t="inlineStr">
        <is>
          <t>Beijing → Nanjing train</t>
        </is>
      </c>
      <c r="B22" s="51" t="inlineStr">
        <is>
          <t>Fast, ~3 h 25 min</t>
        </is>
      </c>
      <c r="C22" s="51" t="inlineStr">
        <is>
          <t>Slower, ~4 h 50 min</t>
        </is>
      </c>
      <c r="D22" s="51" t="inlineStr">
        <is>
          <t>Fast, both ways</t>
        </is>
      </c>
    </row>
    <row r="23" ht="39.55" customHeight="1" s="38">
      <c r="A23" s="50" t="inlineStr">
        <is>
          <t>Main trade-off</t>
        </is>
      </c>
      <c r="B23" s="51" t="inlineStr">
        <is>
          <t>Best rest &amp; least commuting on contest days; ~₮3.6M headroom</t>
        </is>
      </c>
      <c r="C23" s="51" t="inlineStr">
        <is>
          <t>Cheapest; subtotal fits even the original ₮12M; longer commutes, basic rooms</t>
        </is>
      </c>
      <c r="D23" s="51" t="inlineStr">
        <is>
          <t>Less class missed, sleep at home; ~4 extra travel legs; subtotal fits ₮15M but ~₮0.6M over once the 10% contingency is added</t>
        </is>
      </c>
    </row>
    <row r="25">
      <c r="A25" s="75" t="inlineStr">
        <is>
          <t>Through tickets (checked 1 Oct)</t>
        </is>
      </c>
      <c r="B25" s="74" t="inlineStr">
        <is>
          <t>Single Air China tickets UB → Nanjing ($353), Nanjing → UB ($360–394) and Shenyang → UB ($286) all cost more than MIAT + high-speed rail, so all three variants keep separate tickets.</t>
        </is>
      </c>
    </row>
    <row r="26">
      <c r="A26" s="75" t="inlineStr">
        <is>
          <t>New sources (checked 1 Oct)</t>
        </is>
      </c>
      <c r="B26" s="74" t="inlineStr">
        <is>
          <t>Ctrip train timetables: overnight K53/K54 sleepers Beijing ⇄ Shenyang (¥171 hard / ¥263 soft) replace a G-train + Beijing hotel night. Trip.com hotels near each venue (family rooms) undercut Booking.com.</t>
        </is>
      </c>
    </row>
    <row r="27">
      <c r="A27" s="75" t="inlineStr">
        <is>
          <t>12306 (checked 3 Oct)</t>
        </is>
      </c>
      <c r="B27" s="74" t="inlineStr">
        <is>
          <t>A and B: the Z366 overnight sleeper Nanjing 16:58 → Shenyang North 09:14 (hard ¥337 / soft ¥530) replaces the China Eastern flight ($121) and the 12 Nov Nanjing hotel night. ChinaTicketOnline resells the same trains at ~30–70% more once its $8.50–20 per-ticket fee is added – not used.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37" min="1" max="1"/>
    <col width="58" customWidth="1" style="37" min="2" max="2"/>
    <col width="20" customWidth="1" style="37" min="3" max="3"/>
    <col width="12" customWidth="1" style="37" min="4" max="4"/>
    <col width="9" customWidth="1" style="37" min="5" max="5"/>
    <col width="6" customWidth="1" style="37" min="6" max="6"/>
    <col width="22" customWidth="1" style="37" min="7" max="7"/>
    <col width="18" customWidth="1" style="37" min="8" max="8"/>
    <col width="66" customWidth="1" style="37" min="9" max="9"/>
  </cols>
  <sheetData>
    <row r="1" ht="17.35" customHeight="1" s="38">
      <c r="A1" s="39" t="inlineStr">
        <is>
          <t>A Balanced</t>
        </is>
      </c>
    </row>
    <row r="2" ht="15" customHeight="1" s="38">
      <c r="A2" s="40" t="inlineStr">
        <is>
          <t>Hotels near both venues; fly MIAT via Beijing; high-speed rail; stay in Nanjing during the gap week.</t>
        </is>
      </c>
    </row>
    <row r="4" ht="15" customHeight="1" s="38">
      <c r="A4" s="41" t="inlineStr">
        <is>
          <t>Variant inputs</t>
        </is>
      </c>
    </row>
    <row r="5" ht="15" customHeight="1" s="38">
      <c r="A5" s="37" t="inlineStr">
        <is>
          <t>Days in China (meals &amp; local transport)</t>
        </is>
      </c>
      <c r="B5" s="52" t="n">
        <v>10</v>
      </c>
      <c r="C5" s="40" t="inlineStr">
        <is>
          <t>Evening 6 Nov → morning 16 Nov</t>
        </is>
      </c>
    </row>
    <row r="6" ht="15" customHeight="1" s="38">
      <c r="A6" s="40" t="inlineStr">
        <is>
          <t>Shared inputs (funding, FX, travelers, contingency) are on the Compare sheet.</t>
        </is>
      </c>
    </row>
    <row r="13" ht="30" customHeight="1" s="38">
      <c r="A13" s="53" t="inlineStr">
        <is>
          <t>Category</t>
        </is>
      </c>
      <c r="B13" s="53" t="inlineStr">
        <is>
          <t>Item</t>
        </is>
      </c>
      <c r="C13" s="53" t="inlineStr">
        <is>
          <t>Date</t>
        </is>
      </c>
      <c r="D13" s="53" t="inlineStr">
        <is>
          <t>Unit cost</t>
        </is>
      </c>
      <c r="E13" s="53" t="inlineStr">
        <is>
          <t>Currency</t>
        </is>
      </c>
      <c r="F13" s="53" t="inlineStr">
        <is>
          <t>Qty</t>
        </is>
      </c>
      <c r="G13" s="53" t="inlineStr">
        <is>
          <t>Total (orig. ccy)</t>
        </is>
      </c>
      <c r="H13" s="53" t="inlineStr">
        <is>
          <t>Total (MNT)</t>
        </is>
      </c>
      <c r="I13" s="53" t="inlineStr">
        <is>
          <t>Source / notes</t>
        </is>
      </c>
    </row>
    <row r="14" ht="15" customHeight="1" s="38">
      <c r="A14" s="54" t="inlineStr">
        <is>
          <t>Flights</t>
        </is>
      </c>
      <c r="B14" s="55" t="n"/>
      <c r="C14" s="55" t="n"/>
      <c r="D14" s="55" t="n"/>
      <c r="E14" s="55" t="n"/>
      <c r="F14" s="55" t="n"/>
      <c r="G14" s="55" t="n"/>
      <c r="H14" s="55" t="n"/>
      <c r="I14" s="55" t="n"/>
    </row>
    <row r="15" ht="15" customHeight="1" s="38">
      <c r="A15" s="56" t="n"/>
      <c r="B15" s="57" t="inlineStr">
        <is>
          <t>MIAT OM223 Ulaanbaatar → Beijing (PEK), nonstop 17:15–19:30</t>
        </is>
      </c>
      <c r="C15" s="57" t="inlineStr">
        <is>
          <t>6 Nov</t>
        </is>
      </c>
      <c r="D15" s="58" t="n">
        <v>150</v>
      </c>
      <c r="E15" s="59" t="inlineStr">
        <is>
          <t>USD</t>
        </is>
      </c>
      <c r="F15" s="60">
        <f>Compare!$B$6</f>
        <v/>
      </c>
      <c r="G15" s="61">
        <f>D15*F15</f>
        <v/>
      </c>
      <c r="H15" s="62">
        <f>G15*IF(E15="USD",Compare!$B$7,IF(E15="CNY",Compare!$B$8,1))</f>
        <v/>
      </c>
      <c r="I15" s="63" t="inlineStr">
        <is>
          <t>Trip.com 1 Oct: MIAT 17:15–19:30 $150 pp (SlickTrip 30 Sep: $154). Through tickets UB → Nanjing on 6 Nov cost more: Air China via Beijing $353, Spring/China Eastern via Shanghai $208 (no bag, lands 23:55)</t>
        </is>
      </c>
    </row>
    <row r="16" ht="15" customHeight="1" s="38">
      <c r="A16" s="56" t="n"/>
      <c r="B16" s="57" t="inlineStr">
        <is>
          <t>Air China Beijing (PEK) → Ulaanbaatar, nonstop 12:55–15:05</t>
        </is>
      </c>
      <c r="C16" s="57" t="inlineStr">
        <is>
          <t>16 Nov</t>
        </is>
      </c>
      <c r="D16" s="58" t="n">
        <v>171</v>
      </c>
      <c r="E16" s="59" t="inlineStr">
        <is>
          <t>USD</t>
        </is>
      </c>
      <c r="F16" s="60">
        <f>Compare!$B$6</f>
        <v/>
      </c>
      <c r="G16" s="61">
        <f>D16*F16</f>
        <v/>
      </c>
      <c r="H16" s="62">
        <f>G16*IF(E16="USD",Compare!$B$7,IF(E16="CNY",Compare!$B$8,1))</f>
        <v/>
      </c>
      <c r="I16" s="63" t="inlineStr">
        <is>
          <t>Trip.com 30 Sep: Air China nonstop $171 pp (MIAT OM224 11:30 was $194 on Trip.com, $196.33 on SlickTrip)</t>
        </is>
      </c>
    </row>
    <row r="17" ht="15" customHeight="1" s="38">
      <c r="A17" s="54" t="inlineStr">
        <is>
          <t>Trains</t>
        </is>
      </c>
      <c r="B17" s="55" t="n"/>
      <c r="C17" s="55" t="n"/>
      <c r="D17" s="55" t="n"/>
      <c r="E17" s="55" t="n"/>
      <c r="F17" s="55" t="n"/>
      <c r="G17" s="55" t="n"/>
      <c r="H17" s="55" t="n"/>
      <c r="I17" s="55" t="n"/>
    </row>
    <row r="18" ht="15" customHeight="1" s="38">
      <c r="A18" s="56" t="n"/>
      <c r="B18" s="57" t="inlineStr">
        <is>
          <t>High-speed rail Beijing South → Nanjing South, fast G-train (~3 h 25 min)</t>
        </is>
      </c>
      <c r="C18" s="57" t="inlineStr">
        <is>
          <t>7 Nov</t>
        </is>
      </c>
      <c r="D18" s="58" t="n">
        <v>504</v>
      </c>
      <c r="E18" s="59" t="inlineStr">
        <is>
          <t>CNY</t>
        </is>
      </c>
      <c r="F18" s="60">
        <f>Compare!$B$6</f>
        <v/>
      </c>
      <c r="G18" s="61">
        <f>D18*F18</f>
        <v/>
      </c>
      <c r="H18" s="62">
        <f>G18*IF(E18="USD",Compare!$B$7,IF(E18="CNY",Compare!$B$8,1))</f>
        <v/>
      </c>
      <c r="I18" s="63" t="inlineStr">
        <is>
          <t>Ctrip: 504 CNY on the ~3 h 23 min trains (slower ~4 h 50 min trains are 445)</t>
        </is>
      </c>
    </row>
    <row r="19" ht="15" customHeight="1" s="38">
      <c r="A19" s="56" t="n"/>
      <c r="B19" s="57" t="inlineStr">
        <is>
          <t>Overnight train Z366 Nanjing 16:58 → Shenyang North 09:14 (+1), soft sleeper (4-berth cabin)</t>
        </is>
      </c>
      <c r="C19" s="57" t="inlineStr">
        <is>
          <t>12 Nov (night)</t>
        </is>
      </c>
      <c r="D19" s="58" t="n">
        <v>530</v>
      </c>
      <c r="E19" s="59" t="inlineStr">
        <is>
          <t>CNY</t>
        </is>
      </c>
      <c r="F19" s="60">
        <f>Compare!$B$6</f>
        <v/>
      </c>
      <c r="G19" s="61">
        <f>D19*F19</f>
        <v/>
      </c>
      <c r="H19" s="62">
        <f>G19*IF(E19="USD",Compare!$B$7,IF(E19="CNY",Compare!$B$8,1))</f>
        <v/>
      </c>
      <c r="I19" s="63" t="inlineStr">
        <is>
          <t>12306 3 Oct (official fare, 15 Oct train): Z366 hard sleeper ¥337, soft ¥530. Replaces China Eastern 13 Nov 07:40 ($121) + the 12 Nov Nanjing hotel night, and lands at the same time. Sales open 29 Oct 08:15 (Nanjing station). Backups: Z516 18:38 → 10:26, Z176 18:32 → 10:42 (same fares); the China Eastern flight.</t>
        </is>
      </c>
    </row>
    <row r="20" ht="15" customHeight="1" s="38">
      <c r="A20" s="56" t="n"/>
      <c r="B20" s="57" t="inlineStr">
        <is>
          <t>Overnight train K54 Shenyang North 22:00 → Beijing 06:58, hard sleeper (after the contest)</t>
        </is>
      </c>
      <c r="C20" s="57" t="inlineStr">
        <is>
          <t>15 Nov (night)</t>
        </is>
      </c>
      <c r="D20" s="58" t="n">
        <v>171</v>
      </c>
      <c r="E20" s="59" t="inlineStr">
        <is>
          <t>CNY</t>
        </is>
      </c>
      <c r="F20" s="60">
        <f>Compare!$B$6</f>
        <v/>
      </c>
      <c r="G20" s="61">
        <f>D20*F20</f>
        <v/>
      </c>
      <c r="H20" s="62">
        <f>G20*IF(E20="USD",Compare!$B$7,IF(E20="CNY",Compare!$B$8,1))</f>
        <v/>
      </c>
      <c r="I20" s="63" t="inlineStr">
        <is>
          <t>Ctrip 1 Oct / 12306: K54 hard sleeper ¥171 (soft ¥263). Hard on purpose: after the contest sleep no longer matters. Leaves 22:00, so a late closing ceremony is fine; replaces the evening G-train (¥339) + a Beijing hotel night. Air China through ticket SHE 09:00 → UB 15:05 ($286) is the fallback. Sales open 1 Nov 09:00 (Shenyang North).</t>
        </is>
      </c>
    </row>
    <row r="21" ht="15" customHeight="1" s="38">
      <c r="A21" s="56" t="n"/>
      <c r="B21" s="57" t="n"/>
      <c r="C21" s="57" t="n"/>
      <c r="D21" s="58" t="n"/>
      <c r="E21" s="59" t="n"/>
      <c r="F21" s="64" t="n"/>
      <c r="G21" s="61" t="n"/>
      <c r="H21" s="62" t="n"/>
      <c r="I21" s="63" t="n"/>
    </row>
    <row r="22" ht="15" customHeight="1" s="38">
      <c r="A22" s="54" t="inlineStr">
        <is>
          <t>Accommodation (1 room for 3)</t>
        </is>
      </c>
      <c r="B22" s="55" t="n"/>
      <c r="C22" s="55" t="n"/>
      <c r="D22" s="55" t="n"/>
      <c r="E22" s="55" t="n"/>
      <c r="F22" s="55" t="n"/>
      <c r="G22" s="55" t="n"/>
      <c r="H22" s="55" t="n"/>
      <c r="I22" s="55" t="n"/>
    </row>
    <row r="23" ht="15" customHeight="1" s="38">
      <c r="A23" s="56" t="n"/>
      <c r="B23" s="57" t="inlineStr">
        <is>
          <t>Beijing budget hotel near Beijing South</t>
        </is>
      </c>
      <c r="C23" s="57" t="inlineStr">
        <is>
          <t>6 Nov (1 night)</t>
        </is>
      </c>
      <c r="D23" s="58" t="n">
        <v>300</v>
      </c>
      <c r="E23" s="59" t="inlineStr">
        <is>
          <t>CNY</t>
        </is>
      </c>
      <c r="F23" s="64" t="n">
        <v>1</v>
      </c>
      <c r="G23" s="61">
        <f>D23*F23</f>
        <v/>
      </c>
      <c r="H23" s="62">
        <f>G23*IF(E23="USD",Compare!$B$7,IF(E23="CNY",Compare!$B$8,1))</f>
        <v/>
      </c>
      <c r="I23" s="63" t="inlineStr">
        <is>
          <t>Booking.com 6–7 Nov: 227–366 CNY/night for 3 people</t>
        </is>
      </c>
    </row>
    <row r="24" ht="15" customHeight="1" s="38">
      <c r="A24" s="56" t="n"/>
      <c r="B24" s="57" t="inlineStr">
        <is>
          <t>Mujiangnan Hotel, Cuipingshan (~1 km walk to NUAA Jiangjun Rd campus), Smart Family Room</t>
        </is>
      </c>
      <c r="C24" s="57" t="inlineStr">
        <is>
          <t>7–12 Nov (5 nights)</t>
        </is>
      </c>
      <c r="D24" s="58" t="n">
        <v>251.33</v>
      </c>
      <c r="E24" s="59" t="inlineStr">
        <is>
          <t>CNY</t>
        </is>
      </c>
      <c r="F24" s="64" t="n">
        <v>5</v>
      </c>
      <c r="G24" s="61">
        <f>D24*F24</f>
        <v/>
      </c>
      <c r="H24" s="62">
        <f>G24*IF(E24="USD",Compare!$B$7,IF(E24="CNY",Compare!$B$8,1))</f>
        <v/>
      </c>
      <c r="I24" s="63" t="inlineStr">
        <is>
          <t>Trip.com 1 Oct: ¥1,508 for 6 nights (3 adults, 1 room); rated 9.2 (1,355 reviews). Was Magnotel ¥602.67/night. Plan books 5 of these nights; 12 Nov is on the Z366 sleeper.</t>
        </is>
      </c>
    </row>
    <row r="25" ht="15" customHeight="1" s="38">
      <c r="A25" s="56" t="n"/>
      <c r="B25" s="57" t="inlineStr">
        <is>
          <t>Shenyang RiCH Hotel, Sanhao St (~1.3 km to NEU Nanhu; Family Room sleeps 4)</t>
        </is>
      </c>
      <c r="C25" s="57" t="inlineStr">
        <is>
          <t>13–15 Nov (2 nights)</t>
        </is>
      </c>
      <c r="D25" s="58" t="n">
        <v>338</v>
      </c>
      <c r="E25" s="59" t="inlineStr">
        <is>
          <t>CNY</t>
        </is>
      </c>
      <c r="F25" s="64" t="n">
        <v>2</v>
      </c>
      <c r="G25" s="61">
        <f>D25*F25</f>
        <v/>
      </c>
      <c r="H25" s="62">
        <f>G25*IF(E25="USD",Compare!$B$7,IF(E25="CNY",Compare!$B$8,1))</f>
        <v/>
      </c>
      <c r="I25" s="63" t="inlineStr">
        <is>
          <t>Trip.com 1 Oct: ¥676 for 2 nights (3 adults); rated 9.6 (1,802 reviews). Was Atour ¥524/night</t>
        </is>
      </c>
    </row>
    <row r="26" ht="15" customHeight="1" s="38">
      <c r="A26" s="56" t="n"/>
      <c r="B26" s="57" t="n"/>
      <c r="C26" s="57" t="n"/>
      <c r="D26" s="58" t="n"/>
      <c r="E26" s="59" t="n"/>
      <c r="F26" s="64" t="n"/>
      <c r="G26" s="61" t="n"/>
      <c r="H26" s="62" t="n"/>
      <c r="I26" s="63" t="n"/>
    </row>
    <row r="27" ht="15" customHeight="1" s="38">
      <c r="A27" s="54" t="inlineStr">
        <is>
          <t>Contest fees</t>
        </is>
      </c>
      <c r="B27" s="55" t="n"/>
      <c r="C27" s="55" t="n"/>
      <c r="D27" s="55" t="n"/>
      <c r="E27" s="55" t="n"/>
      <c r="F27" s="55" t="n"/>
      <c r="G27" s="55" t="n"/>
      <c r="H27" s="55" t="n"/>
      <c r="I27" s="55" t="n"/>
    </row>
    <row r="28" ht="15" customHeight="1" s="38">
      <c r="A28" s="56" t="n"/>
      <c r="B28" s="57" t="inlineStr">
        <is>
          <t>Nanjing regional registration fee (per team)</t>
        </is>
      </c>
      <c r="C28" s="57" t="inlineStr">
        <is>
          <t>pay by mid-Oct</t>
        </is>
      </c>
      <c r="D28" s="58" t="n">
        <v>1500</v>
      </c>
      <c r="E28" s="59" t="inlineStr">
        <is>
          <t>CNY</t>
        </is>
      </c>
      <c r="F28" s="64" t="n">
        <v>1</v>
      </c>
      <c r="G28" s="61">
        <f>D28*F28</f>
        <v/>
      </c>
      <c r="H28" s="62">
        <f>G28*IF(E28="USD",Compare!$B$7,IF(E28="CNY",Compare!$B$8,1))</f>
        <v/>
      </c>
      <c r="I28" s="63" t="inlineStr">
        <is>
          <t>1,500 CNY/team in 2023–2025 Nanjing guides; 2026 guide published 30 Sep – confirm</t>
        </is>
      </c>
    </row>
    <row r="29" ht="15" customHeight="1" s="38">
      <c r="A29" s="56" t="n"/>
      <c r="B29" s="57" t="inlineStr">
        <is>
          <t>Shenyang regional registration fee (per team)</t>
        </is>
      </c>
      <c r="C29" s="57" t="inlineStr">
        <is>
          <t>TBC</t>
        </is>
      </c>
      <c r="D29" s="65" t="n">
        <v>1500</v>
      </c>
      <c r="E29" s="59" t="inlineStr">
        <is>
          <t>CNY</t>
        </is>
      </c>
      <c r="F29" s="64" t="n">
        <v>1</v>
      </c>
      <c r="G29" s="61">
        <f>D29*F29</f>
        <v/>
      </c>
      <c r="H29" s="62">
        <f>G29*IF(E29="USD",Compare!$B$7,IF(E29="CNY",Compare!$B$8,1))</f>
        <v/>
      </c>
      <c r="I29" s="63" t="inlineStr">
        <is>
          <t>ASSUMPTION: same as Nanjing; 2026 Shenyang invitation not yet out</t>
        </is>
      </c>
    </row>
    <row r="30" ht="15" customHeight="1" s="38">
      <c r="A30" s="54" t="inlineStr">
        <is>
          <t>Daily costs</t>
        </is>
      </c>
      <c r="B30" s="55" t="n"/>
      <c r="C30" s="55" t="n"/>
      <c r="D30" s="55" t="n"/>
      <c r="E30" s="55" t="n"/>
      <c r="F30" s="55" t="n"/>
      <c r="G30" s="55" t="n"/>
      <c r="H30" s="55" t="n"/>
      <c r="I30" s="55" t="n"/>
    </row>
    <row r="31" ht="15" customHeight="1" s="38">
      <c r="A31" s="56" t="n"/>
      <c r="B31" s="57" t="inlineStr">
        <is>
          <t>Meals (canteen / cheap restaurants)</t>
        </is>
      </c>
      <c r="C31" s="57" t="inlineStr">
        <is>
          <t>in China</t>
        </is>
      </c>
      <c r="D31" s="65" t="n">
        <v>80</v>
      </c>
      <c r="E31" s="59" t="inlineStr">
        <is>
          <t>CNY</t>
        </is>
      </c>
      <c r="F31" s="60">
        <f>Compare!$B$6*$B$5</f>
        <v/>
      </c>
      <c r="G31" s="61">
        <f>D31*F31</f>
        <v/>
      </c>
      <c r="H31" s="62">
        <f>G31*IF(E31="USD",Compare!$B$7,IF(E31="CNY",Compare!$B$8,1))</f>
        <v/>
      </c>
      <c r="I31" s="63" t="inlineStr">
        <is>
          <t>ASSUMPTION 80 CNY/person/day; hosts usually feed teams on contest days</t>
        </is>
      </c>
    </row>
    <row r="32" ht="15" customHeight="1" s="38">
      <c r="A32" s="56" t="n"/>
      <c r="B32" s="57" t="inlineStr">
        <is>
          <t>Local transport (metro, taxis, airport ↔ station)</t>
        </is>
      </c>
      <c r="C32" s="57" t="inlineStr">
        <is>
          <t>in China</t>
        </is>
      </c>
      <c r="D32" s="65" t="n">
        <v>30</v>
      </c>
      <c r="E32" s="59" t="inlineStr">
        <is>
          <t>CNY</t>
        </is>
      </c>
      <c r="F32" s="60">
        <f>Compare!$B$6*$B$5</f>
        <v/>
      </c>
      <c r="G32" s="61">
        <f>D32*F32</f>
        <v/>
      </c>
      <c r="H32" s="62">
        <f>G32*IF(E32="USD",Compare!$B$7,IF(E32="CNY",Compare!$B$8,1))</f>
        <v/>
      </c>
      <c r="I32" s="63" t="inlineStr">
        <is>
          <t>ASSUMPTION 30 CNY/person/day</t>
        </is>
      </c>
    </row>
    <row r="33" ht="15" customHeight="1" s="38">
      <c r="A33" s="54" t="inlineStr">
        <is>
          <t>Other</t>
        </is>
      </c>
      <c r="B33" s="55" t="n"/>
      <c r="C33" s="55" t="n"/>
      <c r="D33" s="55" t="n"/>
      <c r="E33" s="55" t="n"/>
      <c r="F33" s="55" t="n"/>
      <c r="G33" s="55" t="n"/>
      <c r="H33" s="55" t="n"/>
      <c r="I33" s="55" t="n"/>
    </row>
    <row r="34" ht="15" customHeight="1" s="38">
      <c r="A34" s="56" t="n"/>
      <c r="B34" s="57" t="inlineStr">
        <is>
          <t>Taxi to/from Chinggis Khaan airport (UB)</t>
        </is>
      </c>
      <c r="C34" s="57" t="inlineStr">
        <is>
          <t>each airport trip</t>
        </is>
      </c>
      <c r="D34" s="65" t="n">
        <v>100000</v>
      </c>
      <c r="E34" s="59" t="inlineStr">
        <is>
          <t>MNT</t>
        </is>
      </c>
      <c r="F34" s="64" t="n">
        <v>2</v>
      </c>
      <c r="G34" s="61">
        <f>D34*F34</f>
        <v/>
      </c>
      <c r="H34" s="62">
        <f>G34*IF(E34="USD",Compare!$B$7,IF(E34="CNY",Compare!$B$8,1))</f>
        <v/>
      </c>
      <c r="I34" s="63" t="inlineStr">
        <is>
          <t>ASSUMPTION 100k MNT per trip for the group</t>
        </is>
      </c>
    </row>
    <row r="35" ht="15" customHeight="1" s="38">
      <c r="A35" s="56" t="n"/>
      <c r="B35" s="57" t="inlineStr">
        <is>
          <t>Travel medical insurance (per trip)</t>
        </is>
      </c>
      <c r="C35" s="57" t="n"/>
      <c r="D35" s="65" t="n">
        <v>30000</v>
      </c>
      <c r="E35" s="59" t="inlineStr">
        <is>
          <t>MNT</t>
        </is>
      </c>
      <c r="F35" s="60">
        <f>Compare!$B$6</f>
        <v/>
      </c>
      <c r="G35" s="61">
        <f>D35*F35</f>
        <v/>
      </c>
      <c r="H35" s="62">
        <f>G35*IF(E35="USD",Compare!$B$7,IF(E35="CNY",Compare!$B$8,1))</f>
        <v/>
      </c>
      <c r="I35" s="63" t="inlineStr">
        <is>
          <t>ASSUMPTION ~30k MNT per person per trip, Mongolian insurer</t>
        </is>
      </c>
    </row>
    <row r="36" ht="15" customHeight="1" s="38">
      <c r="A36" s="56" t="n"/>
      <c r="B36" s="57" t="inlineStr">
        <is>
          <t>China mobile data eSIM</t>
        </is>
      </c>
      <c r="C36" s="57" t="n"/>
      <c r="D36" s="65" t="n">
        <v>10</v>
      </c>
      <c r="E36" s="59" t="inlineStr">
        <is>
          <t>USD</t>
        </is>
      </c>
      <c r="F36" s="60">
        <f>Compare!$B$6</f>
        <v/>
      </c>
      <c r="G36" s="61">
        <f>D36*F36</f>
        <v/>
      </c>
      <c r="H36" s="62">
        <f>G36*IF(E36="USD",Compare!$B$7,IF(E36="CNY",Compare!$B$8,1))</f>
        <v/>
      </c>
      <c r="I36" s="63" t="inlineStr">
        <is>
          <t>ASSUMPTION ~$10 pp; needed for Alipay/WeChat Pay, maps</t>
        </is>
      </c>
    </row>
    <row r="37" ht="15" customHeight="1" s="38">
      <c r="A37" s="56" t="n"/>
      <c r="B37" s="57" t="inlineStr">
        <is>
          <t>China visa</t>
        </is>
      </c>
      <c r="C37" s="57" t="n"/>
      <c r="D37" s="58" t="n">
        <v>0</v>
      </c>
      <c r="E37" s="59" t="inlineStr">
        <is>
          <t>MNT</t>
        </is>
      </c>
      <c r="F37" s="60">
        <f>Compare!$B$6</f>
        <v/>
      </c>
      <c r="G37" s="61">
        <f>D37*F37</f>
        <v/>
      </c>
      <c r="H37" s="62">
        <f>G37*IF(E37="USD",Compare!$B$7,IF(E37="CNY",Compare!$B$8,1))</f>
        <v/>
      </c>
      <c r="I37" s="63" t="inlineStr">
        <is>
          <t>Mongolian passports: visa-free up to 30 days – no cost</t>
        </is>
      </c>
    </row>
    <row r="39" ht="15" customHeight="1" s="38">
      <c r="G39" s="66" t="inlineStr">
        <is>
          <t>Subtotal</t>
        </is>
      </c>
      <c r="H39" s="67">
        <f>SUM(H14:H37)</f>
        <v/>
      </c>
    </row>
    <row r="40" ht="15" customHeight="1" s="38">
      <c r="G40" s="68" t="inlineStr">
        <is>
          <t>Contingency</t>
        </is>
      </c>
      <c r="H40" s="69">
        <f>H39*Compare!$B$9</f>
        <v/>
      </c>
    </row>
    <row r="41" ht="15" customHeight="1" s="38">
      <c r="G41" s="66" t="inlineStr">
        <is>
          <t>TOTAL incl. contingency</t>
        </is>
      </c>
      <c r="H41" s="67">
        <f>H39+H40</f>
        <v/>
      </c>
    </row>
    <row r="43" ht="15" customHeight="1" s="38">
      <c r="G43" s="57" t="inlineStr">
        <is>
          <t>University funding</t>
        </is>
      </c>
      <c r="H43" s="48">
        <f>Compare!$B$5</f>
        <v/>
      </c>
    </row>
    <row r="44" ht="15" customHeight="1" s="38">
      <c r="G44" s="70" t="inlineStr">
        <is>
          <t>Funding left after subtotal (negative = over)</t>
        </is>
      </c>
      <c r="H44" s="71">
        <f>H43-H39</f>
        <v/>
      </c>
    </row>
    <row r="45" ht="15" customHeight="1" s="38">
      <c r="G45" s="70" t="inlineStr">
        <is>
          <t>Out-of-pocket incl. contingency</t>
        </is>
      </c>
      <c r="H45" s="71">
        <f>MAX(0,H41-H43)</f>
        <v/>
      </c>
    </row>
    <row r="46" ht="15" customHeight="1" s="38">
      <c r="G46" s="57" t="inlineStr">
        <is>
          <t>Per person incl. contingency</t>
        </is>
      </c>
      <c r="H46" s="62">
        <f>H41/Compare!$B$6</f>
        <v/>
      </c>
    </row>
    <row r="48" ht="15" customHeight="1" s="38">
      <c r="G48" s="41" t="inlineStr">
        <is>
          <t>By category</t>
        </is>
      </c>
    </row>
    <row r="49" ht="15" customHeight="1" s="38">
      <c r="G49" s="42" t="inlineStr">
        <is>
          <t>Flights</t>
        </is>
      </c>
      <c r="H49" s="72">
        <f>SUMPRODUCT((LOOKUP(ROW(H14:H37),ROW(H14:H37)/(A14:A37&lt;&gt;""),A14:A37)="Flights")*H14:H37)</f>
        <v/>
      </c>
    </row>
    <row r="50" ht="15" customHeight="1" s="38">
      <c r="G50" s="42" t="inlineStr">
        <is>
          <t>Trains</t>
        </is>
      </c>
      <c r="H50" s="72">
        <f>SUMPRODUCT((LOOKUP(ROW(H14:H37),ROW(H14:H37)/(A14:A37&lt;&gt;""),A14:A37)="Trains")*H14:H37)</f>
        <v/>
      </c>
    </row>
    <row r="51" ht="15" customHeight="1" s="38">
      <c r="G51" s="42" t="inlineStr">
        <is>
          <t>Accommodation (1 room for 3)</t>
        </is>
      </c>
      <c r="H51" s="72">
        <f>SUMPRODUCT((LOOKUP(ROW(H14:H37),ROW(H14:H37)/(A14:A37&lt;&gt;""),A14:A37)="Accommodation (1 room for 3)")*H14:H37)</f>
        <v/>
      </c>
    </row>
    <row r="52" ht="15" customHeight="1" s="38">
      <c r="G52" s="42" t="inlineStr">
        <is>
          <t>Contest fees</t>
        </is>
      </c>
      <c r="H52" s="72">
        <f>SUMPRODUCT((LOOKUP(ROW(H14:H37),ROW(H14:H37)/(A14:A37&lt;&gt;""),A14:A37)="Contest fees")*H14:H37)</f>
        <v/>
      </c>
    </row>
    <row r="53" ht="15" customHeight="1" s="38">
      <c r="G53" s="42" t="inlineStr">
        <is>
          <t>Daily costs</t>
        </is>
      </c>
      <c r="H53" s="72">
        <f>SUMPRODUCT((LOOKUP(ROW(H14:H37),ROW(H14:H37)/(A14:A37&lt;&gt;""),A14:A37)="Daily costs")*H14:H37)</f>
        <v/>
      </c>
    </row>
    <row r="54" ht="15" customHeight="1" s="38">
      <c r="G54" s="42" t="inlineStr">
        <is>
          <t>Other</t>
        </is>
      </c>
      <c r="H54" s="72">
        <f>SUMPRODUCT((LOOKUP(ROW(H14:H37),ROW(H14:H37)/(A14:A37&lt;&gt;""),A14:A37)="Other")*H14:H37)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37" min="1" max="1"/>
    <col width="58" customWidth="1" style="37" min="2" max="2"/>
    <col width="20" customWidth="1" style="37" min="3" max="3"/>
    <col width="12" customWidth="1" style="37" min="4" max="4"/>
    <col width="9" customWidth="1" style="37" min="5" max="5"/>
    <col width="6" customWidth="1" style="37" min="6" max="6"/>
    <col width="22" customWidth="1" style="37" min="7" max="7"/>
    <col width="18" customWidth="1" style="37" min="8" max="8"/>
    <col width="66" customWidth="1" style="37" min="9" max="9"/>
  </cols>
  <sheetData>
    <row r="1" ht="17.35" customHeight="1" s="38">
      <c r="A1" s="39" t="inlineStr">
        <is>
          <t>B Budget</t>
        </is>
      </c>
    </row>
    <row r="2" ht="15" customHeight="1" s="38">
      <c r="A2" s="40" t="inlineStr">
        <is>
          <t>Cheapest found everything: hostels/budget chains farther from venues (metro commute), slower trains.</t>
        </is>
      </c>
    </row>
    <row r="4" ht="15" customHeight="1" s="38">
      <c r="A4" s="41" t="inlineStr">
        <is>
          <t>Variant inputs</t>
        </is>
      </c>
    </row>
    <row r="5" ht="15" customHeight="1" s="38">
      <c r="A5" s="37" t="inlineStr">
        <is>
          <t>Days in China (meals &amp; local transport)</t>
        </is>
      </c>
      <c r="B5" s="52" t="n">
        <v>10</v>
      </c>
      <c r="C5" s="40" t="inlineStr">
        <is>
          <t>Evening 6 Nov → morning 16 Nov</t>
        </is>
      </c>
    </row>
    <row r="6" ht="15" customHeight="1" s="38">
      <c r="A6" s="40" t="inlineStr">
        <is>
          <t>Shared inputs (funding, FX, travelers, contingency) are on the Compare sheet.</t>
        </is>
      </c>
    </row>
    <row r="13" ht="30" customHeight="1" s="38">
      <c r="A13" s="53" t="inlineStr">
        <is>
          <t>Category</t>
        </is>
      </c>
      <c r="B13" s="53" t="inlineStr">
        <is>
          <t>Item</t>
        </is>
      </c>
      <c r="C13" s="53" t="inlineStr">
        <is>
          <t>Date</t>
        </is>
      </c>
      <c r="D13" s="53" t="inlineStr">
        <is>
          <t>Unit cost</t>
        </is>
      </c>
      <c r="E13" s="53" t="inlineStr">
        <is>
          <t>Currency</t>
        </is>
      </c>
      <c r="F13" s="53" t="inlineStr">
        <is>
          <t>Qty</t>
        </is>
      </c>
      <c r="G13" s="53" t="inlineStr">
        <is>
          <t>Total (orig. ccy)</t>
        </is>
      </c>
      <c r="H13" s="53" t="inlineStr">
        <is>
          <t>Total (MNT)</t>
        </is>
      </c>
      <c r="I13" s="53" t="inlineStr">
        <is>
          <t>Source / notes</t>
        </is>
      </c>
    </row>
    <row r="14" ht="15" customHeight="1" s="38">
      <c r="A14" s="54" t="inlineStr">
        <is>
          <t>Flights</t>
        </is>
      </c>
      <c r="B14" s="55" t="n"/>
      <c r="C14" s="55" t="n"/>
      <c r="D14" s="55" t="n"/>
      <c r="E14" s="55" t="n"/>
      <c r="F14" s="55" t="n"/>
      <c r="G14" s="55" t="n"/>
      <c r="H14" s="55" t="n"/>
      <c r="I14" s="55" t="n"/>
    </row>
    <row r="15" ht="15" customHeight="1" s="38">
      <c r="A15" s="56" t="n"/>
      <c r="B15" s="57" t="inlineStr">
        <is>
          <t>MIAT OM223 Ulaanbaatar → Beijing (PEK), nonstop 17:15–19:30</t>
        </is>
      </c>
      <c r="C15" s="57" t="inlineStr">
        <is>
          <t>6 Nov</t>
        </is>
      </c>
      <c r="D15" s="58" t="n">
        <v>150</v>
      </c>
      <c r="E15" s="59" t="inlineStr">
        <is>
          <t>USD</t>
        </is>
      </c>
      <c r="F15" s="60">
        <f>Compare!$B$6</f>
        <v/>
      </c>
      <c r="G15" s="61">
        <f>D15*F15</f>
        <v/>
      </c>
      <c r="H15" s="62">
        <f>G15*IF(E15="USD",Compare!$B$7,IF(E15="CNY",Compare!$B$8,1))</f>
        <v/>
      </c>
      <c r="I15" s="63" t="inlineStr">
        <is>
          <t>Trip.com 1 Oct: MIAT 17:15–19:30 $150 pp (SlickTrip 30 Sep: $154). Through tickets UB → Nanjing on 6 Nov cost more: Air China via Beijing $353, Spring/China Eastern via Shanghai $208 (no bag, lands 23:55)</t>
        </is>
      </c>
    </row>
    <row r="16" ht="15" customHeight="1" s="38">
      <c r="A16" s="56" t="n"/>
      <c r="B16" s="57" t="inlineStr">
        <is>
          <t>Air China Beijing (PEK) → Ulaanbaatar, nonstop 12:55–15:05</t>
        </is>
      </c>
      <c r="C16" s="57" t="inlineStr">
        <is>
          <t>16 Nov</t>
        </is>
      </c>
      <c r="D16" s="58" t="n">
        <v>171</v>
      </c>
      <c r="E16" s="59" t="inlineStr">
        <is>
          <t>USD</t>
        </is>
      </c>
      <c r="F16" s="60">
        <f>Compare!$B$6</f>
        <v/>
      </c>
      <c r="G16" s="61">
        <f>D16*F16</f>
        <v/>
      </c>
      <c r="H16" s="62">
        <f>G16*IF(E16="USD",Compare!$B$7,IF(E16="CNY",Compare!$B$8,1))</f>
        <v/>
      </c>
      <c r="I16" s="63" t="inlineStr">
        <is>
          <t>Trip.com 30 Sep: Air China nonstop $171 pp (MIAT OM224 11:30 was $194 on Trip.com, $196.33 on SlickTrip)</t>
        </is>
      </c>
    </row>
    <row r="17" ht="15" customHeight="1" s="38">
      <c r="A17" s="54" t="inlineStr">
        <is>
          <t>Trains</t>
        </is>
      </c>
      <c r="B17" s="55" t="n"/>
      <c r="C17" s="55" t="n"/>
      <c r="D17" s="55" t="n"/>
      <c r="E17" s="55" t="n"/>
      <c r="F17" s="55" t="n"/>
      <c r="G17" s="55" t="n"/>
      <c r="H17" s="55" t="n"/>
      <c r="I17" s="55" t="n"/>
    </row>
    <row r="18" ht="15" customHeight="1" s="38">
      <c r="A18" s="56" t="n"/>
      <c r="B18" s="57" t="inlineStr">
        <is>
          <t>High-speed rail Beijing South → Nanjing South, slower G-train (~4 h 35–50 min)</t>
        </is>
      </c>
      <c r="C18" s="57" t="inlineStr">
        <is>
          <t>7 Nov</t>
        </is>
      </c>
      <c r="D18" s="58" t="n">
        <v>445</v>
      </c>
      <c r="E18" s="59" t="inlineStr">
        <is>
          <t>CNY</t>
        </is>
      </c>
      <c r="F18" s="60">
        <f>Compare!$B$6</f>
        <v/>
      </c>
      <c r="G18" s="61">
        <f>D18*F18</f>
        <v/>
      </c>
      <c r="H18" s="62">
        <f>G18*IF(E18="USD",Compare!$B$7,IF(E18="CNY",Compare!$B$8,1))</f>
        <v/>
      </c>
      <c r="I18" s="63" t="inlineStr">
        <is>
          <t>Ctrip: 445 CNY 2nd class</t>
        </is>
      </c>
    </row>
    <row r="19" ht="15" customHeight="1" s="38">
      <c r="A19" s="56" t="n"/>
      <c r="B19" s="57" t="inlineStr">
        <is>
          <t>Overnight train Z366 Nanjing 16:58 → Shenyang North 09:14 (+1), hard sleeper</t>
        </is>
      </c>
      <c r="C19" s="57" t="inlineStr">
        <is>
          <t>12 Nov (night)</t>
        </is>
      </c>
      <c r="D19" s="58" t="n">
        <v>337</v>
      </c>
      <c r="E19" s="59" t="inlineStr">
        <is>
          <t>CNY</t>
        </is>
      </c>
      <c r="F19" s="60">
        <f>Compare!$B$6</f>
        <v/>
      </c>
      <c r="G19" s="61">
        <f>D19*F19</f>
        <v/>
      </c>
      <c r="H19" s="62">
        <f>G19*IF(E19="USD",Compare!$B$7,IF(E19="CNY",Compare!$B$8,1))</f>
        <v/>
      </c>
      <c r="I19" s="63" t="inlineStr">
        <is>
          <t>12306 3 Oct (official fare, 15 Oct train): Z366 hard sleeper ¥337, soft ¥530. Replaces China Eastern 13 Nov 07:40 ($121) + the 12 Nov Nanjing hotel night, and lands at the same time. Sales open 29 Oct 08:15 (Nanjing station). Backups: Z516 18:38 → 10:26, Z176 18:32 → 10:42 (same fares); the China Eastern flight.</t>
        </is>
      </c>
    </row>
    <row r="20" ht="15" customHeight="1" s="38">
      <c r="A20" s="56" t="n"/>
      <c r="B20" s="57" t="inlineStr">
        <is>
          <t>Overnight train K54 Shenyang North 22:00 → Beijing 06:58, hard sleeper</t>
        </is>
      </c>
      <c r="C20" s="57" t="inlineStr">
        <is>
          <t>15 Nov (night)</t>
        </is>
      </c>
      <c r="D20" s="58" t="n">
        <v>171</v>
      </c>
      <c r="E20" s="59" t="inlineStr">
        <is>
          <t>CNY</t>
        </is>
      </c>
      <c r="F20" s="60">
        <f>Compare!$B$6</f>
        <v/>
      </c>
      <c r="G20" s="61">
        <f>D20*F20</f>
        <v/>
      </c>
      <c r="H20" s="62">
        <f>G20*IF(E20="USD",Compare!$B$7,IF(E20="CNY",Compare!$B$8,1))</f>
        <v/>
      </c>
      <c r="I20" s="63" t="inlineStr">
        <is>
          <t>Ctrip 1 Oct: K54 hard sleeper ¥171, soft sleeper ¥263 (4-berth cabin). Leaves 22:00, so a late closing ceremony is fine; replaces the evening G-train (¥339) + a Beijing hotel night. Air China through ticket SHE 09:00 → UB 15:05 ($286) is the fallback. 12306 3 Oct: same official fares; sales open 1 Nov 09:00 (Shenyang North).</t>
        </is>
      </c>
    </row>
    <row r="21" ht="15" customHeight="1" s="38">
      <c r="A21" s="56" t="n"/>
      <c r="B21" s="57" t="n"/>
      <c r="C21" s="57" t="n"/>
      <c r="D21" s="58" t="n"/>
      <c r="E21" s="59" t="n"/>
      <c r="F21" s="64" t="n"/>
      <c r="G21" s="61" t="n"/>
      <c r="H21" s="62" t="n"/>
      <c r="I21" s="63" t="n"/>
    </row>
    <row r="22" ht="15" customHeight="1" s="38">
      <c r="A22" s="54" t="inlineStr">
        <is>
          <t>Accommodation (1 room for 3)</t>
        </is>
      </c>
      <c r="B22" s="55" t="n"/>
      <c r="C22" s="55" t="n"/>
      <c r="D22" s="55" t="n"/>
      <c r="E22" s="55" t="n"/>
      <c r="F22" s="55" t="n"/>
      <c r="G22" s="55" t="n"/>
      <c r="H22" s="55" t="n"/>
      <c r="I22" s="55" t="n"/>
    </row>
    <row r="23" ht="15" customHeight="1" s="38">
      <c r="A23" s="56" t="n"/>
      <c r="B23" s="57" t="inlineStr">
        <is>
          <t>Beijing LeftBank Youth Hostel (Fengtai, near Beijing South)</t>
        </is>
      </c>
      <c r="C23" s="57" t="inlineStr">
        <is>
          <t>6 Nov (1 night)</t>
        </is>
      </c>
      <c r="D23" s="58" t="n">
        <v>227</v>
      </c>
      <c r="E23" s="59" t="inlineStr">
        <is>
          <t>CNY</t>
        </is>
      </c>
      <c r="F23" s="64" t="n">
        <v>1</v>
      </c>
      <c r="G23" s="61">
        <f>D23*F23</f>
        <v/>
      </c>
      <c r="H23" s="62">
        <f>G23*IF(E23="USD",Compare!$B$7,IF(E23="CNY",Compare!$B$8,1))</f>
        <v/>
      </c>
      <c r="I23" s="63" t="inlineStr">
        <is>
          <t>Booking.com 6–7 Nov: 226.80 CNY for 3 people</t>
        </is>
      </c>
    </row>
    <row r="24" ht="15" customHeight="1" s="38">
      <c r="A24" s="56" t="n"/>
      <c r="B24" s="57" t="inlineStr">
        <is>
          <t>Pod Inn Nanjing South Station North Plaza (~3.8 km to NUAA, ~15 min metro), Family Room</t>
        </is>
      </c>
      <c r="C24" s="57" t="inlineStr">
        <is>
          <t>7–12 Nov (5 nights)</t>
        </is>
      </c>
      <c r="D24" s="58" t="n">
        <v>109.67</v>
      </c>
      <c r="E24" s="59" t="inlineStr">
        <is>
          <t>CNY</t>
        </is>
      </c>
      <c r="F24" s="64" t="n">
        <v>5</v>
      </c>
      <c r="G24" s="61">
        <f>D24*F24</f>
        <v/>
      </c>
      <c r="H24" s="62">
        <f>G24*IF(E24="USD",Compare!$B$7,IF(E24="CNY",Compare!$B$8,1))</f>
        <v/>
      </c>
      <c r="I24" s="63" t="inlineStr">
        <is>
          <t>Trip.com 1 Oct: ¥658 for 6 nights (3 adults, 1 room); rated 8.4 (2,374 reviews). Was Jinjiang Inn Nanjing Station ¥145/night, ~50–60 min metro Plan books 5 of these nights; 12 Nov is on the Z366 sleeper.</t>
        </is>
      </c>
    </row>
    <row r="25" ht="15" customHeight="1" s="38">
      <c r="A25" s="56" t="n"/>
      <c r="B25" s="57" t="inlineStr">
        <is>
          <t>Bestay Hotel Express Shenyang (Huaiyuanmen; ~25 min metro to NEU Nanhu)</t>
        </is>
      </c>
      <c r="C25" s="57" t="inlineStr">
        <is>
          <t>13–15 Nov (2 nights)</t>
        </is>
      </c>
      <c r="D25" s="58" t="n">
        <v>86</v>
      </c>
      <c r="E25" s="59" t="inlineStr">
        <is>
          <t>CNY</t>
        </is>
      </c>
      <c r="F25" s="64" t="n">
        <v>2</v>
      </c>
      <c r="G25" s="61">
        <f>D25*F25</f>
        <v/>
      </c>
      <c r="H25" s="62">
        <f>G25*IF(E25="USD",Compare!$B$7,IF(E25="CNY",Compare!$B$8,1))</f>
        <v/>
      </c>
      <c r="I25" s="63" t="inlineStr">
        <is>
          <t>Booking.com: 258 CNY for 3 nights = 86/night. Trip.com 1 Oct: rated 8.2 from 1,062 reviews – the low price is real</t>
        </is>
      </c>
    </row>
    <row r="26" ht="15" customHeight="1" s="38">
      <c r="A26" s="56" t="n"/>
      <c r="B26" s="57" t="n"/>
      <c r="C26" s="57" t="n"/>
      <c r="D26" s="58" t="n"/>
      <c r="E26" s="59" t="n"/>
      <c r="F26" s="64" t="n"/>
      <c r="G26" s="61" t="n"/>
      <c r="H26" s="62" t="n"/>
      <c r="I26" s="63" t="n"/>
    </row>
    <row r="27" ht="15" customHeight="1" s="38">
      <c r="A27" s="54" t="inlineStr">
        <is>
          <t>Contest fees</t>
        </is>
      </c>
      <c r="B27" s="55" t="n"/>
      <c r="C27" s="55" t="n"/>
      <c r="D27" s="55" t="n"/>
      <c r="E27" s="55" t="n"/>
      <c r="F27" s="55" t="n"/>
      <c r="G27" s="55" t="n"/>
      <c r="H27" s="55" t="n"/>
      <c r="I27" s="55" t="n"/>
    </row>
    <row r="28" ht="15" customHeight="1" s="38">
      <c r="A28" s="56" t="n"/>
      <c r="B28" s="57" t="inlineStr">
        <is>
          <t>Nanjing regional registration fee (per team)</t>
        </is>
      </c>
      <c r="C28" s="57" t="inlineStr">
        <is>
          <t>pay by mid-Oct</t>
        </is>
      </c>
      <c r="D28" s="58" t="n">
        <v>1500</v>
      </c>
      <c r="E28" s="59" t="inlineStr">
        <is>
          <t>CNY</t>
        </is>
      </c>
      <c r="F28" s="64" t="n">
        <v>1</v>
      </c>
      <c r="G28" s="61">
        <f>D28*F28</f>
        <v/>
      </c>
      <c r="H28" s="62">
        <f>G28*IF(E28="USD",Compare!$B$7,IF(E28="CNY",Compare!$B$8,1))</f>
        <v/>
      </c>
      <c r="I28" s="63" t="inlineStr">
        <is>
          <t>1,500 CNY/team in 2023–2025 Nanjing guides; 2026 guide published 30 Sep – confirm</t>
        </is>
      </c>
    </row>
    <row r="29" ht="15" customHeight="1" s="38">
      <c r="A29" s="56" t="n"/>
      <c r="B29" s="57" t="inlineStr">
        <is>
          <t>Shenyang regional registration fee (per team)</t>
        </is>
      </c>
      <c r="C29" s="57" t="inlineStr">
        <is>
          <t>TBC</t>
        </is>
      </c>
      <c r="D29" s="65" t="n">
        <v>1500</v>
      </c>
      <c r="E29" s="59" t="inlineStr">
        <is>
          <t>CNY</t>
        </is>
      </c>
      <c r="F29" s="64" t="n">
        <v>1</v>
      </c>
      <c r="G29" s="61">
        <f>D29*F29</f>
        <v/>
      </c>
      <c r="H29" s="62">
        <f>G29*IF(E29="USD",Compare!$B$7,IF(E29="CNY",Compare!$B$8,1))</f>
        <v/>
      </c>
      <c r="I29" s="63" t="inlineStr">
        <is>
          <t>ASSUMPTION: same as Nanjing; 2026 Shenyang invitation not yet out</t>
        </is>
      </c>
    </row>
    <row r="30" ht="15" customHeight="1" s="38">
      <c r="A30" s="54" t="inlineStr">
        <is>
          <t>Daily costs</t>
        </is>
      </c>
      <c r="B30" s="55" t="n"/>
      <c r="C30" s="55" t="n"/>
      <c r="D30" s="55" t="n"/>
      <c r="E30" s="55" t="n"/>
      <c r="F30" s="55" t="n"/>
      <c r="G30" s="55" t="n"/>
      <c r="H30" s="55" t="n"/>
      <c r="I30" s="55" t="n"/>
    </row>
    <row r="31" ht="15" customHeight="1" s="38">
      <c r="A31" s="56" t="n"/>
      <c r="B31" s="57" t="inlineStr">
        <is>
          <t>Meals (canteen / cheap restaurants)</t>
        </is>
      </c>
      <c r="C31" s="57" t="inlineStr">
        <is>
          <t>in China</t>
        </is>
      </c>
      <c r="D31" s="65" t="n">
        <v>80</v>
      </c>
      <c r="E31" s="59" t="inlineStr">
        <is>
          <t>CNY</t>
        </is>
      </c>
      <c r="F31" s="60">
        <f>Compare!$B$6*$B$5</f>
        <v/>
      </c>
      <c r="G31" s="61">
        <f>D31*F31</f>
        <v/>
      </c>
      <c r="H31" s="62">
        <f>G31*IF(E31="USD",Compare!$B$7,IF(E31="CNY",Compare!$B$8,1))</f>
        <v/>
      </c>
      <c r="I31" s="63" t="inlineStr">
        <is>
          <t>ASSUMPTION 80 CNY/person/day; hosts usually feed teams on contest days</t>
        </is>
      </c>
    </row>
    <row r="32" ht="15" customHeight="1" s="38">
      <c r="A32" s="56" t="n"/>
      <c r="B32" s="57" t="inlineStr">
        <is>
          <t>Local transport (metro, taxis, airport ↔ station)</t>
        </is>
      </c>
      <c r="C32" s="57" t="inlineStr">
        <is>
          <t>in China</t>
        </is>
      </c>
      <c r="D32" s="65" t="n">
        <v>30</v>
      </c>
      <c r="E32" s="59" t="inlineStr">
        <is>
          <t>CNY</t>
        </is>
      </c>
      <c r="F32" s="60">
        <f>Compare!$B$6*$B$5</f>
        <v/>
      </c>
      <c r="G32" s="61">
        <f>D32*F32</f>
        <v/>
      </c>
      <c r="H32" s="62">
        <f>G32*IF(E32="USD",Compare!$B$7,IF(E32="CNY",Compare!$B$8,1))</f>
        <v/>
      </c>
      <c r="I32" s="63" t="inlineStr">
        <is>
          <t>ASSUMPTION 30 CNY/person/day</t>
        </is>
      </c>
    </row>
    <row r="33" ht="15" customHeight="1" s="38">
      <c r="A33" s="54" t="inlineStr">
        <is>
          <t>Other</t>
        </is>
      </c>
      <c r="B33" s="55" t="n"/>
      <c r="C33" s="55" t="n"/>
      <c r="D33" s="55" t="n"/>
      <c r="E33" s="55" t="n"/>
      <c r="F33" s="55" t="n"/>
      <c r="G33" s="55" t="n"/>
      <c r="H33" s="55" t="n"/>
      <c r="I33" s="55" t="n"/>
    </row>
    <row r="34" ht="15" customHeight="1" s="38">
      <c r="A34" s="56" t="n"/>
      <c r="B34" s="57" t="inlineStr">
        <is>
          <t>Taxi to/from Chinggis Khaan airport (UB)</t>
        </is>
      </c>
      <c r="C34" s="57" t="inlineStr">
        <is>
          <t>each airport trip</t>
        </is>
      </c>
      <c r="D34" s="65" t="n">
        <v>100000</v>
      </c>
      <c r="E34" s="59" t="inlineStr">
        <is>
          <t>MNT</t>
        </is>
      </c>
      <c r="F34" s="64" t="n">
        <v>2</v>
      </c>
      <c r="G34" s="61">
        <f>D34*F34</f>
        <v/>
      </c>
      <c r="H34" s="62">
        <f>G34*IF(E34="USD",Compare!$B$7,IF(E34="CNY",Compare!$B$8,1))</f>
        <v/>
      </c>
      <c r="I34" s="63" t="inlineStr">
        <is>
          <t>ASSUMPTION 100k MNT per trip for the group</t>
        </is>
      </c>
    </row>
    <row r="35" ht="15" customHeight="1" s="38">
      <c r="A35" s="56" t="n"/>
      <c r="B35" s="57" t="inlineStr">
        <is>
          <t>Travel medical insurance (per trip)</t>
        </is>
      </c>
      <c r="C35" s="57" t="n"/>
      <c r="D35" s="65" t="n">
        <v>30000</v>
      </c>
      <c r="E35" s="59" t="inlineStr">
        <is>
          <t>MNT</t>
        </is>
      </c>
      <c r="F35" s="60">
        <f>Compare!$B$6</f>
        <v/>
      </c>
      <c r="G35" s="61">
        <f>D35*F35</f>
        <v/>
      </c>
      <c r="H35" s="62">
        <f>G35*IF(E35="USD",Compare!$B$7,IF(E35="CNY",Compare!$B$8,1))</f>
        <v/>
      </c>
      <c r="I35" s="63" t="inlineStr">
        <is>
          <t>ASSUMPTION ~30k MNT per person per trip, Mongolian insurer</t>
        </is>
      </c>
    </row>
    <row r="36" ht="15" customHeight="1" s="38">
      <c r="A36" s="56" t="n"/>
      <c r="B36" s="57" t="inlineStr">
        <is>
          <t>China mobile data eSIM</t>
        </is>
      </c>
      <c r="C36" s="57" t="n"/>
      <c r="D36" s="65" t="n">
        <v>10</v>
      </c>
      <c r="E36" s="59" t="inlineStr">
        <is>
          <t>USD</t>
        </is>
      </c>
      <c r="F36" s="60">
        <f>Compare!$B$6</f>
        <v/>
      </c>
      <c r="G36" s="61">
        <f>D36*F36</f>
        <v/>
      </c>
      <c r="H36" s="62">
        <f>G36*IF(E36="USD",Compare!$B$7,IF(E36="CNY",Compare!$B$8,1))</f>
        <v/>
      </c>
      <c r="I36" s="63" t="inlineStr">
        <is>
          <t>ASSUMPTION ~$10 pp; needed for Alipay/WeChat Pay, maps</t>
        </is>
      </c>
    </row>
    <row r="37" ht="15" customHeight="1" s="38">
      <c r="A37" s="56" t="n"/>
      <c r="B37" s="57" t="inlineStr">
        <is>
          <t>China visa</t>
        </is>
      </c>
      <c r="C37" s="57" t="n"/>
      <c r="D37" s="58" t="n">
        <v>0</v>
      </c>
      <c r="E37" s="59" t="inlineStr">
        <is>
          <t>MNT</t>
        </is>
      </c>
      <c r="F37" s="60">
        <f>Compare!$B$6</f>
        <v/>
      </c>
      <c r="G37" s="61">
        <f>D37*F37</f>
        <v/>
      </c>
      <c r="H37" s="62">
        <f>G37*IF(E37="USD",Compare!$B$7,IF(E37="CNY",Compare!$B$8,1))</f>
        <v/>
      </c>
      <c r="I37" s="63" t="inlineStr">
        <is>
          <t>Mongolian passports: visa-free up to 30 days – no cost</t>
        </is>
      </c>
    </row>
    <row r="39" ht="15" customHeight="1" s="38">
      <c r="G39" s="66" t="inlineStr">
        <is>
          <t>Subtotal</t>
        </is>
      </c>
      <c r="H39" s="67">
        <f>SUM(H14:H37)</f>
        <v/>
      </c>
    </row>
    <row r="40" ht="15" customHeight="1" s="38">
      <c r="G40" s="68" t="inlineStr">
        <is>
          <t>Contingency</t>
        </is>
      </c>
      <c r="H40" s="69">
        <f>H39*Compare!$B$9</f>
        <v/>
      </c>
    </row>
    <row r="41" ht="15" customHeight="1" s="38">
      <c r="G41" s="66" t="inlineStr">
        <is>
          <t>TOTAL incl. contingency</t>
        </is>
      </c>
      <c r="H41" s="67">
        <f>H39+H40</f>
        <v/>
      </c>
    </row>
    <row r="43" ht="15" customHeight="1" s="38">
      <c r="G43" s="57" t="inlineStr">
        <is>
          <t>University funding</t>
        </is>
      </c>
      <c r="H43" s="48">
        <f>Compare!$B$5</f>
        <v/>
      </c>
    </row>
    <row r="44" ht="15" customHeight="1" s="38">
      <c r="G44" s="70" t="inlineStr">
        <is>
          <t>Funding left after subtotal (negative = over)</t>
        </is>
      </c>
      <c r="H44" s="71">
        <f>H43-H39</f>
        <v/>
      </c>
    </row>
    <row r="45" ht="15" customHeight="1" s="38">
      <c r="G45" s="70" t="inlineStr">
        <is>
          <t>Out-of-pocket incl. contingency</t>
        </is>
      </c>
      <c r="H45" s="71">
        <f>MAX(0,H41-H43)</f>
        <v/>
      </c>
    </row>
    <row r="46" ht="15" customHeight="1" s="38">
      <c r="G46" s="57" t="inlineStr">
        <is>
          <t>Per person incl. contingency</t>
        </is>
      </c>
      <c r="H46" s="62">
        <f>H41/Compare!$B$6</f>
        <v/>
      </c>
    </row>
    <row r="48" ht="15" customHeight="1" s="38">
      <c r="G48" s="41" t="inlineStr">
        <is>
          <t>By category</t>
        </is>
      </c>
    </row>
    <row r="49" ht="15" customHeight="1" s="38">
      <c r="G49" s="42" t="inlineStr">
        <is>
          <t>Flights</t>
        </is>
      </c>
      <c r="H49" s="72">
        <f>SUMPRODUCT((LOOKUP(ROW(H14:H37),ROW(H14:H37)/(A14:A37&lt;&gt;""),A14:A37)="Flights")*H14:H37)</f>
        <v/>
      </c>
    </row>
    <row r="50" ht="15" customHeight="1" s="38">
      <c r="G50" s="42" t="inlineStr">
        <is>
          <t>Trains</t>
        </is>
      </c>
      <c r="H50" s="72">
        <f>SUMPRODUCT((LOOKUP(ROW(H14:H37),ROW(H14:H37)/(A14:A37&lt;&gt;""),A14:A37)="Trains")*H14:H37)</f>
        <v/>
      </c>
    </row>
    <row r="51" ht="15" customHeight="1" s="38">
      <c r="G51" s="42" t="inlineStr">
        <is>
          <t>Accommodation (1 room for 3)</t>
        </is>
      </c>
      <c r="H51" s="72">
        <f>SUMPRODUCT((LOOKUP(ROW(H14:H37),ROW(H14:H37)/(A14:A37&lt;&gt;""),A14:A37)="Accommodation (1 room for 3)")*H14:H37)</f>
        <v/>
      </c>
    </row>
    <row r="52" ht="15" customHeight="1" s="38">
      <c r="G52" s="42" t="inlineStr">
        <is>
          <t>Contest fees</t>
        </is>
      </c>
      <c r="H52" s="72">
        <f>SUMPRODUCT((LOOKUP(ROW(H14:H37),ROW(H14:H37)/(A14:A37&lt;&gt;""),A14:A37)="Contest fees")*H14:H37)</f>
        <v/>
      </c>
    </row>
    <row r="53" ht="15" customHeight="1" s="38">
      <c r="G53" s="42" t="inlineStr">
        <is>
          <t>Daily costs</t>
        </is>
      </c>
      <c r="H53" s="72">
        <f>SUMPRODUCT((LOOKUP(ROW(H14:H37),ROW(H14:H37)/(A14:A37&lt;&gt;""),A14:A37)="Daily costs")*H14:H37)</f>
        <v/>
      </c>
    </row>
    <row r="54" ht="15" customHeight="1" s="38">
      <c r="G54" s="42" t="inlineStr">
        <is>
          <t>Other</t>
        </is>
      </c>
      <c r="H54" s="72">
        <f>SUMPRODUCT((LOOKUP(ROW(H14:H37),ROW(H14:H37)/(A14:A37&lt;&gt;""),A14:A37)="Other")*H14:H37)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37" min="1" max="1"/>
    <col width="58" customWidth="1" style="37" min="2" max="2"/>
    <col width="20" customWidth="1" style="37" min="3" max="3"/>
    <col width="12" customWidth="1" style="37" min="4" max="4"/>
    <col width="9" customWidth="1" style="37" min="5" max="5"/>
    <col width="6" customWidth="1" style="37" min="6" max="6"/>
    <col width="22" customWidth="1" style="37" min="7" max="7"/>
    <col width="18" customWidth="1" style="37" min="8" max="8"/>
    <col width="66" customWidth="1" style="37" min="9" max="9"/>
  </cols>
  <sheetData>
    <row r="1" ht="17.35" customHeight="1" s="38">
      <c r="A1" s="39" t="inlineStr">
        <is>
          <t>C Home between</t>
        </is>
      </c>
    </row>
    <row r="2" ht="15" customHeight="1" s="38">
      <c r="A2" s="40" t="inlineStr">
        <is>
          <t>Fly home to UB after Nanjing (10 Nov), back to China 13 Nov. Fewer days away, two extra flights.</t>
        </is>
      </c>
    </row>
    <row r="4" ht="15" customHeight="1" s="38">
      <c r="A4" s="41" t="inlineStr">
        <is>
          <t>Variant inputs</t>
        </is>
      </c>
    </row>
    <row r="5" ht="15" customHeight="1" s="38">
      <c r="A5" s="37" t="inlineStr">
        <is>
          <t>Days in China (meals &amp; local transport)</t>
        </is>
      </c>
      <c r="B5" s="52" t="n">
        <v>7</v>
      </c>
      <c r="C5" s="40" t="inlineStr">
        <is>
          <t>6–10 Nov + 13–16 Nov</t>
        </is>
      </c>
    </row>
    <row r="6" ht="15" customHeight="1" s="38">
      <c r="A6" s="40" t="inlineStr">
        <is>
          <t>Shared inputs (funding, FX, travelers, contingency) are on the Compare sheet.</t>
        </is>
      </c>
    </row>
    <row r="13" ht="30" customHeight="1" s="38">
      <c r="A13" s="53" t="inlineStr">
        <is>
          <t>Category</t>
        </is>
      </c>
      <c r="B13" s="53" t="inlineStr">
        <is>
          <t>Item</t>
        </is>
      </c>
      <c r="C13" s="53" t="inlineStr">
        <is>
          <t>Date</t>
        </is>
      </c>
      <c r="D13" s="53" t="inlineStr">
        <is>
          <t>Unit cost</t>
        </is>
      </c>
      <c r="E13" s="53" t="inlineStr">
        <is>
          <t>Currency</t>
        </is>
      </c>
      <c r="F13" s="53" t="inlineStr">
        <is>
          <t>Qty</t>
        </is>
      </c>
      <c r="G13" s="53" t="inlineStr">
        <is>
          <t>Total (orig. ccy)</t>
        </is>
      </c>
      <c r="H13" s="53" t="inlineStr">
        <is>
          <t>Total (MNT)</t>
        </is>
      </c>
      <c r="I13" s="53" t="inlineStr">
        <is>
          <t>Source / notes</t>
        </is>
      </c>
    </row>
    <row r="14" ht="15" customHeight="1" s="38">
      <c r="A14" s="54" t="inlineStr">
        <is>
          <t>Flights</t>
        </is>
      </c>
      <c r="B14" s="55" t="n"/>
      <c r="C14" s="55" t="n"/>
      <c r="D14" s="55" t="n"/>
      <c r="E14" s="55" t="n"/>
      <c r="F14" s="55" t="n"/>
      <c r="G14" s="55" t="n"/>
      <c r="H14" s="55" t="n"/>
      <c r="I14" s="55" t="n"/>
    </row>
    <row r="15" ht="15" customHeight="1" s="38">
      <c r="A15" s="56" t="n"/>
      <c r="B15" s="57" t="inlineStr">
        <is>
          <t>MIAT OM223 Ulaanbaatar → Beijing (PEK), nonstop 17:15–19:30</t>
        </is>
      </c>
      <c r="C15" s="57" t="inlineStr">
        <is>
          <t>6 Nov</t>
        </is>
      </c>
      <c r="D15" s="58" t="n">
        <v>150</v>
      </c>
      <c r="E15" s="59" t="inlineStr">
        <is>
          <t>USD</t>
        </is>
      </c>
      <c r="F15" s="60">
        <f>Compare!$B$6</f>
        <v/>
      </c>
      <c r="G15" s="61">
        <f>D15*F15</f>
        <v/>
      </c>
      <c r="H15" s="62">
        <f>G15*IF(E15="USD",Compare!$B$7,IF(E15="CNY",Compare!$B$8,1))</f>
        <v/>
      </c>
      <c r="I15" s="63" t="inlineStr">
        <is>
          <t>Trip.com 1 Oct: MIAT 17:15–19:30 $150 pp (SlickTrip 30 Sep: $154). Through tickets UB → Nanjing on 6 Nov cost more: Air China via Beijing $353, Spring/China Eastern via Shanghai $208 (no bag, lands 23:55)</t>
        </is>
      </c>
    </row>
    <row r="16" ht="15" customHeight="1" s="38">
      <c r="A16" s="56" t="n"/>
      <c r="B16" s="57" t="inlineStr">
        <is>
          <t>MIAT OM224 Beijing (PEK) → Ulaanbaatar, 20:45–23:05</t>
        </is>
      </c>
      <c r="C16" s="57" t="inlineStr">
        <is>
          <t>10 Nov</t>
        </is>
      </c>
      <c r="D16" s="58" t="n">
        <v>219</v>
      </c>
      <c r="E16" s="59" t="inlineStr">
        <is>
          <t>USD</t>
        </is>
      </c>
      <c r="F16" s="60">
        <f>Compare!$B$6</f>
        <v/>
      </c>
      <c r="G16" s="61">
        <f>D16*F16</f>
        <v/>
      </c>
      <c r="H16" s="62">
        <f>G16*IF(E16="USD",Compare!$B$7,IF(E16="CNY",Compare!$B$8,1))</f>
        <v/>
      </c>
      <c r="I16" s="63" t="inlineStr">
        <is>
          <t>Trip.com 1 Oct: MIAT 20:45–23:05 $219 pp (SlickTrip $223). Air China 08:10 is $172 but needs an extra Beijing night on 9 Nov. Nanjing → UB in one ticket on 10 Nov costs more: $360–394 via Beijing (vs fast train $75 + MIAT $219)</t>
        </is>
      </c>
    </row>
    <row r="17" ht="15" customHeight="1" s="38">
      <c r="A17" s="56" t="n"/>
      <c r="B17" s="57" t="inlineStr">
        <is>
          <t>MIAT OM223 Ulaanbaatar → Beijing (PEK), 17:15–19:30</t>
        </is>
      </c>
      <c r="C17" s="57" t="inlineStr">
        <is>
          <t>13 Nov</t>
        </is>
      </c>
      <c r="D17" s="58" t="n">
        <v>150</v>
      </c>
      <c r="E17" s="59" t="inlineStr">
        <is>
          <t>USD</t>
        </is>
      </c>
      <c r="F17" s="60">
        <f>Compare!$B$6</f>
        <v/>
      </c>
      <c r="G17" s="61">
        <f>D17*F17</f>
        <v/>
      </c>
      <c r="H17" s="62">
        <f>G17*IF(E17="USD",Compare!$B$7,IF(E17="CNY",Compare!$B$8,1))</f>
        <v/>
      </c>
      <c r="I17" s="63" t="inlineStr">
        <is>
          <t>Trip.com 1 Oct: MIAT 17:15–19:30 $150 pp (SlickTrip 30 Sep: $154)</t>
        </is>
      </c>
    </row>
    <row r="18" ht="15" customHeight="1" s="38">
      <c r="A18" s="56" t="n"/>
      <c r="B18" s="57" t="inlineStr">
        <is>
          <t>Air China Beijing (PEK) → Ulaanbaatar, nonstop 12:55–15:05</t>
        </is>
      </c>
      <c r="C18" s="57" t="inlineStr">
        <is>
          <t>16 Nov</t>
        </is>
      </c>
      <c r="D18" s="58" t="n">
        <v>171</v>
      </c>
      <c r="E18" s="59" t="inlineStr">
        <is>
          <t>USD</t>
        </is>
      </c>
      <c r="F18" s="60">
        <f>Compare!$B$6</f>
        <v/>
      </c>
      <c r="G18" s="61">
        <f>D18*F18</f>
        <v/>
      </c>
      <c r="H18" s="62">
        <f>G18*IF(E18="USD",Compare!$B$7,IF(E18="CNY",Compare!$B$8,1))</f>
        <v/>
      </c>
      <c r="I18" s="63" t="inlineStr">
        <is>
          <t>Trip.com 30 Sep: Air China nonstop $171 pp (MIAT OM224 11:30 was $194 on Trip.com, $196.33 on SlickTrip)</t>
        </is>
      </c>
    </row>
    <row r="19" ht="15" customHeight="1" s="38">
      <c r="A19" s="54" t="inlineStr">
        <is>
          <t>Trains</t>
        </is>
      </c>
      <c r="B19" s="55" t="n"/>
      <c r="C19" s="55" t="n"/>
      <c r="D19" s="55" t="n"/>
      <c r="E19" s="55" t="n"/>
      <c r="F19" s="55" t="n"/>
      <c r="G19" s="55" t="n"/>
      <c r="H19" s="55" t="n"/>
      <c r="I19" s="55" t="n"/>
    </row>
    <row r="20" ht="15" customHeight="1" s="38">
      <c r="A20" s="56" t="n"/>
      <c r="B20" s="57" t="inlineStr">
        <is>
          <t>High-speed rail Beijing South → Nanjing South, fast G-train (~3 h 25 min)</t>
        </is>
      </c>
      <c r="C20" s="57" t="inlineStr">
        <is>
          <t>7 Nov</t>
        </is>
      </c>
      <c r="D20" s="58" t="n">
        <v>504</v>
      </c>
      <c r="E20" s="59" t="inlineStr">
        <is>
          <t>CNY</t>
        </is>
      </c>
      <c r="F20" s="60">
        <f>Compare!$B$6</f>
        <v/>
      </c>
      <c r="G20" s="61">
        <f>D20*F20</f>
        <v/>
      </c>
      <c r="H20" s="62">
        <f>G20*IF(E20="USD",Compare!$B$7,IF(E20="CNY",Compare!$B$8,1))</f>
        <v/>
      </c>
      <c r="I20" s="63" t="inlineStr">
        <is>
          <t>Ctrip: 504 CNY</t>
        </is>
      </c>
    </row>
    <row r="21" ht="15" customHeight="1" s="38">
      <c r="A21" s="56" t="n"/>
      <c r="B21" s="57" t="inlineStr">
        <is>
          <t>High-speed rail Nanjing South → Beijing South, fast G-train (~3 h 25 min)</t>
        </is>
      </c>
      <c r="C21" s="57" t="inlineStr">
        <is>
          <t>10 Nov (midday)</t>
        </is>
      </c>
      <c r="D21" s="58" t="n">
        <v>504</v>
      </c>
      <c r="E21" s="59" t="inlineStr">
        <is>
          <t>CNY</t>
        </is>
      </c>
      <c r="F21" s="60">
        <f>Compare!$B$6</f>
        <v/>
      </c>
      <c r="G21" s="61">
        <f>D21*F21</f>
        <v/>
      </c>
      <c r="H21" s="62">
        <f>G21*IF(E21="USD",Compare!$B$7,IF(E21="CNY",Compare!$B$8,1))</f>
        <v/>
      </c>
      <c r="I21" s="63" t="inlineStr">
        <is>
          <t>Ctrip: 504 CNY; arrive Beijing late afternoon for 20:45 flight</t>
        </is>
      </c>
    </row>
    <row r="22" ht="15" customHeight="1" s="38">
      <c r="A22" s="56" t="n"/>
      <c r="B22" s="57" t="inlineStr">
        <is>
          <t>Overnight train K53 Beijing 22:35 → Shenyang North 07:00, soft sleeper</t>
        </is>
      </c>
      <c r="C22" s="57" t="inlineStr">
        <is>
          <t>13 Nov (night)</t>
        </is>
      </c>
      <c r="D22" s="58" t="n">
        <v>263</v>
      </c>
      <c r="E22" s="59" t="inlineStr">
        <is>
          <t>CNY</t>
        </is>
      </c>
      <c r="F22" s="60">
        <f>Compare!$B$6</f>
        <v/>
      </c>
      <c r="G22" s="61">
        <f>D22*F22</f>
        <v/>
      </c>
      <c r="H22" s="62">
        <f>G22*IF(E22="USD",Compare!$B$7,IF(E22="CNY",Compare!$B$8,1))</f>
        <v/>
      </c>
      <c r="I22" s="63" t="inlineStr">
        <is>
          <t>Ctrip 1 Oct: K53 soft sleeper ¥263 (hard ¥171). Replaces the Beijing night + morning G-train (¥339). MIAT lands 19:30, so ~1 h 20 min spare after immigration + Airport Express; if MIAT is late, change the ticket (1 free change) to the 14 Nov G-train. 12306 3 Oct: same official fares; sales open 30 Oct 10:00 (Beijing station). Backup if K53 is sold out: K341 Beijing 23:00 → Shenyang 08:47, hard sleeper ¥194.</t>
        </is>
      </c>
    </row>
    <row r="23" ht="15" customHeight="1" s="38">
      <c r="A23" s="56" t="n"/>
      <c r="B23" s="57" t="inlineStr">
        <is>
          <t>Overnight train K54 Shenyang North 22:00 → Beijing 06:58, hard sleeper (after the contest)</t>
        </is>
      </c>
      <c r="C23" s="57" t="inlineStr">
        <is>
          <t>15 Nov (night)</t>
        </is>
      </c>
      <c r="D23" s="58" t="n">
        <v>171</v>
      </c>
      <c r="E23" s="59" t="inlineStr">
        <is>
          <t>CNY</t>
        </is>
      </c>
      <c r="F23" s="60">
        <f>Compare!$B$6</f>
        <v/>
      </c>
      <c r="G23" s="61">
        <f>D23*F23</f>
        <v/>
      </c>
      <c r="H23" s="62">
        <f>G23*IF(E23="USD",Compare!$B$7,IF(E23="CNY",Compare!$B$8,1))</f>
        <v/>
      </c>
      <c r="I23" s="63" t="inlineStr">
        <is>
          <t>Ctrip 1 Oct / 12306: K54 hard sleeper ¥171 (soft ¥263). Hard on purpose: after the contest sleep no longer matters. Leaves 22:00, so a late closing ceremony is fine; replaces the evening G-train (¥339) + a Beijing hotel night. Air China through ticket SHE 09:00 → UB 15:05 ($286) is the fallback. Sales open 1 Nov 09:00 (Shenyang North).</t>
        </is>
      </c>
    </row>
    <row r="24" ht="15" customHeight="1" s="38">
      <c r="A24" s="54" t="inlineStr">
        <is>
          <t>Accommodation (1 room for 3)</t>
        </is>
      </c>
      <c r="B24" s="55" t="n"/>
      <c r="C24" s="55" t="n"/>
      <c r="D24" s="55" t="n"/>
      <c r="E24" s="55" t="n"/>
      <c r="F24" s="55" t="n"/>
      <c r="G24" s="55" t="n"/>
      <c r="H24" s="55" t="n"/>
      <c r="I24" s="55" t="n"/>
    </row>
    <row r="25" ht="15" customHeight="1" s="38">
      <c r="A25" s="56" t="n"/>
      <c r="B25" s="57" t="inlineStr">
        <is>
          <t>Beijing budget hotel near Beijing South</t>
        </is>
      </c>
      <c r="C25" s="57" t="inlineStr">
        <is>
          <t>6 Nov (1 night)</t>
        </is>
      </c>
      <c r="D25" s="58" t="n">
        <v>300</v>
      </c>
      <c r="E25" s="59" t="inlineStr">
        <is>
          <t>CNY</t>
        </is>
      </c>
      <c r="F25" s="64" t="n">
        <v>1</v>
      </c>
      <c r="G25" s="61">
        <f>D25*F25</f>
        <v/>
      </c>
      <c r="H25" s="62">
        <f>G25*IF(E25="USD",Compare!$B$7,IF(E25="CNY",Compare!$B$8,1))</f>
        <v/>
      </c>
      <c r="I25" s="63" t="inlineStr">
        <is>
          <t>Booking.com 6–7 Nov: 227–366 CNY/night</t>
        </is>
      </c>
    </row>
    <row r="26" ht="15" customHeight="1" s="38">
      <c r="A26" s="56" t="n"/>
      <c r="B26" s="57" t="inlineStr">
        <is>
          <t>Mujiangnan Hotel, Cuipingshan (~1 km walk to NUAA Jiangjun Rd campus), Smart Family Room</t>
        </is>
      </c>
      <c r="C26" s="57" t="inlineStr">
        <is>
          <t>7–10 Nov (3 nights)</t>
        </is>
      </c>
      <c r="D26" s="58" t="n">
        <v>250.67</v>
      </c>
      <c r="E26" s="59" t="inlineStr">
        <is>
          <t>CNY</t>
        </is>
      </c>
      <c r="F26" s="64" t="n">
        <v>3</v>
      </c>
      <c r="G26" s="61">
        <f>D26*F26</f>
        <v/>
      </c>
      <c r="H26" s="62">
        <f>G26*IF(E26="USD",Compare!$B$7,IF(E26="CNY",Compare!$B$8,1))</f>
        <v/>
      </c>
      <c r="I26" s="63" t="inlineStr">
        <is>
          <t>Trip.com 1 Oct: ¥752 for 3 nights (3 adults, 1 room); rated 9.2 (1,355 reviews). Was Magnotel ¥602.67/night</t>
        </is>
      </c>
    </row>
    <row r="27" ht="15" customHeight="1" s="38">
      <c r="A27" s="56" t="n"/>
      <c r="B27" s="57" t="n"/>
      <c r="C27" s="57" t="n"/>
      <c r="D27" s="65" t="n"/>
      <c r="E27" s="59" t="n"/>
      <c r="F27" s="64" t="n"/>
      <c r="G27" s="61" t="n"/>
      <c r="H27" s="62" t="n"/>
      <c r="I27" s="63" t="n"/>
    </row>
    <row r="28" ht="15" customHeight="1" s="38">
      <c r="A28" s="56" t="n"/>
      <c r="B28" s="57" t="inlineStr">
        <is>
          <t>Shenyang RiCH Hotel, Sanhao St (~1.3 km to NEU Nanhu; Family Room sleeps 4)</t>
        </is>
      </c>
      <c r="C28" s="57" t="inlineStr">
        <is>
          <t>14–15 Nov (1 night)</t>
        </is>
      </c>
      <c r="D28" s="58" t="n">
        <v>338</v>
      </c>
      <c r="E28" s="59" t="inlineStr">
        <is>
          <t>CNY</t>
        </is>
      </c>
      <c r="F28" s="64" t="n">
        <v>1</v>
      </c>
      <c r="G28" s="61">
        <f>D28*F28</f>
        <v/>
      </c>
      <c r="H28" s="62">
        <f>G28*IF(E28="USD",Compare!$B$7,IF(E28="CNY",Compare!$B$8,1))</f>
        <v/>
      </c>
      <c r="I28" s="63" t="inlineStr">
        <is>
          <t>Trip.com 1 Oct: ¥338 for 1 night (3 adults); rated 9.6 (1,802 reviews). Was Atour ¥524</t>
        </is>
      </c>
    </row>
    <row r="29" ht="15" customHeight="1" s="38">
      <c r="A29" s="56" t="n"/>
      <c r="B29" s="57" t="n"/>
      <c r="C29" s="57" t="n"/>
      <c r="D29" s="58" t="n"/>
      <c r="E29" s="59" t="n"/>
      <c r="F29" s="64" t="n"/>
      <c r="G29" s="61" t="n"/>
      <c r="H29" s="62" t="n"/>
      <c r="I29" s="63" t="n"/>
    </row>
    <row r="30" ht="15" customHeight="1" s="38">
      <c r="A30" s="54" t="inlineStr">
        <is>
          <t>Contest fees</t>
        </is>
      </c>
      <c r="B30" s="55" t="n"/>
      <c r="C30" s="55" t="n"/>
      <c r="D30" s="55" t="n"/>
      <c r="E30" s="55" t="n"/>
      <c r="F30" s="55" t="n"/>
      <c r="G30" s="55" t="n"/>
      <c r="H30" s="55" t="n"/>
      <c r="I30" s="55" t="n"/>
    </row>
    <row r="31" ht="15" customHeight="1" s="38">
      <c r="A31" s="56" t="n"/>
      <c r="B31" s="57" t="inlineStr">
        <is>
          <t>Nanjing regional registration fee (per team)</t>
        </is>
      </c>
      <c r="C31" s="57" t="inlineStr">
        <is>
          <t>pay by mid-Oct</t>
        </is>
      </c>
      <c r="D31" s="58" t="n">
        <v>1500</v>
      </c>
      <c r="E31" s="59" t="inlineStr">
        <is>
          <t>CNY</t>
        </is>
      </c>
      <c r="F31" s="64" t="n">
        <v>1</v>
      </c>
      <c r="G31" s="61">
        <f>D31*F31</f>
        <v/>
      </c>
      <c r="H31" s="62">
        <f>G31*IF(E31="USD",Compare!$B$7,IF(E31="CNY",Compare!$B$8,1))</f>
        <v/>
      </c>
      <c r="I31" s="63" t="inlineStr">
        <is>
          <t>1,500 CNY/team in 2023–2025 Nanjing guides; 2026 guide published 30 Sep – confirm</t>
        </is>
      </c>
    </row>
    <row r="32" ht="15" customHeight="1" s="38">
      <c r="A32" s="56" t="n"/>
      <c r="B32" s="57" t="inlineStr">
        <is>
          <t>Shenyang regional registration fee (per team)</t>
        </is>
      </c>
      <c r="C32" s="57" t="inlineStr">
        <is>
          <t>TBC</t>
        </is>
      </c>
      <c r="D32" s="65" t="n">
        <v>1500</v>
      </c>
      <c r="E32" s="59" t="inlineStr">
        <is>
          <t>CNY</t>
        </is>
      </c>
      <c r="F32" s="64" t="n">
        <v>1</v>
      </c>
      <c r="G32" s="61">
        <f>D32*F32</f>
        <v/>
      </c>
      <c r="H32" s="62">
        <f>G32*IF(E32="USD",Compare!$B$7,IF(E32="CNY",Compare!$B$8,1))</f>
        <v/>
      </c>
      <c r="I32" s="63" t="inlineStr">
        <is>
          <t>ASSUMPTION: same as Nanjing; 2026 Shenyang invitation not yet out</t>
        </is>
      </c>
    </row>
    <row r="33" ht="15" customHeight="1" s="38">
      <c r="A33" s="54" t="inlineStr">
        <is>
          <t>Daily costs</t>
        </is>
      </c>
      <c r="B33" s="55" t="n"/>
      <c r="C33" s="55" t="n"/>
      <c r="D33" s="55" t="n"/>
      <c r="E33" s="55" t="n"/>
      <c r="F33" s="55" t="n"/>
      <c r="G33" s="55" t="n"/>
      <c r="H33" s="55" t="n"/>
      <c r="I33" s="55" t="n"/>
    </row>
    <row r="34" ht="15" customHeight="1" s="38">
      <c r="A34" s="56" t="n"/>
      <c r="B34" s="57" t="inlineStr">
        <is>
          <t>Meals (canteen / cheap restaurants)</t>
        </is>
      </c>
      <c r="C34" s="57" t="inlineStr">
        <is>
          <t>in China</t>
        </is>
      </c>
      <c r="D34" s="65" t="n">
        <v>80</v>
      </c>
      <c r="E34" s="59" t="inlineStr">
        <is>
          <t>CNY</t>
        </is>
      </c>
      <c r="F34" s="60">
        <f>Compare!$B$6*$B$5</f>
        <v/>
      </c>
      <c r="G34" s="61">
        <f>D34*F34</f>
        <v/>
      </c>
      <c r="H34" s="62">
        <f>G34*IF(E34="USD",Compare!$B$7,IF(E34="CNY",Compare!$B$8,1))</f>
        <v/>
      </c>
      <c r="I34" s="63" t="inlineStr">
        <is>
          <t>ASSUMPTION 80 CNY/person/day; hosts usually feed teams on contest days</t>
        </is>
      </c>
    </row>
    <row r="35" ht="15" customHeight="1" s="38">
      <c r="A35" s="56" t="n"/>
      <c r="B35" s="57" t="inlineStr">
        <is>
          <t>Local transport (metro, taxis, airport ↔ station)</t>
        </is>
      </c>
      <c r="C35" s="57" t="inlineStr">
        <is>
          <t>in China</t>
        </is>
      </c>
      <c r="D35" s="65" t="n">
        <v>30</v>
      </c>
      <c r="E35" s="59" t="inlineStr">
        <is>
          <t>CNY</t>
        </is>
      </c>
      <c r="F35" s="60">
        <f>Compare!$B$6*$B$5</f>
        <v/>
      </c>
      <c r="G35" s="61">
        <f>D35*F35</f>
        <v/>
      </c>
      <c r="H35" s="62">
        <f>G35*IF(E35="USD",Compare!$B$7,IF(E35="CNY",Compare!$B$8,1))</f>
        <v/>
      </c>
      <c r="I35" s="63" t="inlineStr">
        <is>
          <t>ASSUMPTION 30 CNY/person/day</t>
        </is>
      </c>
    </row>
    <row r="36" ht="15" customHeight="1" s="38">
      <c r="A36" s="54" t="inlineStr">
        <is>
          <t>Other</t>
        </is>
      </c>
      <c r="B36" s="55" t="n"/>
      <c r="C36" s="55" t="n"/>
      <c r="D36" s="55" t="n"/>
      <c r="E36" s="55" t="n"/>
      <c r="F36" s="55" t="n"/>
      <c r="G36" s="55" t="n"/>
      <c r="H36" s="55" t="n"/>
      <c r="I36" s="55" t="n"/>
    </row>
    <row r="37" ht="15" customHeight="1" s="38">
      <c r="A37" s="56" t="n"/>
      <c r="B37" s="57" t="inlineStr">
        <is>
          <t>Taxi to/from Chinggis Khaan airport (UB)</t>
        </is>
      </c>
      <c r="C37" s="57" t="inlineStr">
        <is>
          <t>each airport trip</t>
        </is>
      </c>
      <c r="D37" s="65" t="n">
        <v>100000</v>
      </c>
      <c r="E37" s="59" t="inlineStr">
        <is>
          <t>MNT</t>
        </is>
      </c>
      <c r="F37" s="64" t="n">
        <v>4</v>
      </c>
      <c r="G37" s="61">
        <f>D37*F37</f>
        <v/>
      </c>
      <c r="H37" s="62">
        <f>G37*IF(E37="USD",Compare!$B$7,IF(E37="CNY",Compare!$B$8,1))</f>
        <v/>
      </c>
      <c r="I37" s="63" t="inlineStr">
        <is>
          <t>ASSUMPTION 100k MNT per trip for the group</t>
        </is>
      </c>
    </row>
    <row r="38" ht="15" customHeight="1" s="38">
      <c r="A38" s="56" t="n"/>
      <c r="B38" s="57" t="inlineStr">
        <is>
          <t>Travel medical insurance (per trip)</t>
        </is>
      </c>
      <c r="C38" s="57" t="n"/>
      <c r="D38" s="65" t="n">
        <v>30000</v>
      </c>
      <c r="E38" s="59" t="inlineStr">
        <is>
          <t>MNT</t>
        </is>
      </c>
      <c r="F38" s="60">
        <f>Compare!$B$6*2</f>
        <v/>
      </c>
      <c r="G38" s="61">
        <f>D38*F38</f>
        <v/>
      </c>
      <c r="H38" s="62">
        <f>G38*IF(E38="USD",Compare!$B$7,IF(E38="CNY",Compare!$B$8,1))</f>
        <v/>
      </c>
      <c r="I38" s="63" t="inlineStr">
        <is>
          <t>ASSUMPTION ~30k MNT per person per trip, Mongolian insurer</t>
        </is>
      </c>
    </row>
    <row r="39" ht="15" customHeight="1" s="38">
      <c r="A39" s="56" t="n"/>
      <c r="B39" s="57" t="inlineStr">
        <is>
          <t>China mobile data eSIM</t>
        </is>
      </c>
      <c r="C39" s="57" t="n"/>
      <c r="D39" s="65" t="n">
        <v>10</v>
      </c>
      <c r="E39" s="59" t="inlineStr">
        <is>
          <t>USD</t>
        </is>
      </c>
      <c r="F39" s="60">
        <f>Compare!$B$6</f>
        <v/>
      </c>
      <c r="G39" s="61">
        <f>D39*F39</f>
        <v/>
      </c>
      <c r="H39" s="62">
        <f>G39*IF(E39="USD",Compare!$B$7,IF(E39="CNY",Compare!$B$8,1))</f>
        <v/>
      </c>
      <c r="I39" s="63" t="inlineStr">
        <is>
          <t>ASSUMPTION ~$10 pp; needed for Alipay/WeChat Pay, maps</t>
        </is>
      </c>
    </row>
    <row r="40" ht="15" customHeight="1" s="38">
      <c r="A40" s="56" t="n"/>
      <c r="B40" s="57" t="inlineStr">
        <is>
          <t>China visa</t>
        </is>
      </c>
      <c r="C40" s="57" t="n"/>
      <c r="D40" s="58" t="n">
        <v>0</v>
      </c>
      <c r="E40" s="59" t="inlineStr">
        <is>
          <t>MNT</t>
        </is>
      </c>
      <c r="F40" s="60">
        <f>Compare!$B$6</f>
        <v/>
      </c>
      <c r="G40" s="61">
        <f>D40*F40</f>
        <v/>
      </c>
      <c r="H40" s="62">
        <f>G40*IF(E40="USD",Compare!$B$7,IF(E40="CNY",Compare!$B$8,1))</f>
        <v/>
      </c>
      <c r="I40" s="63" t="inlineStr">
        <is>
          <t>Mongolian passports: visa-free up to 30 days – no cost</t>
        </is>
      </c>
    </row>
    <row r="42" ht="15" customHeight="1" s="38">
      <c r="G42" s="66" t="inlineStr">
        <is>
          <t>Subtotal</t>
        </is>
      </c>
      <c r="H42" s="67">
        <f>SUM(H14:H40)</f>
        <v/>
      </c>
    </row>
    <row r="43" ht="15" customHeight="1" s="38">
      <c r="G43" s="68" t="inlineStr">
        <is>
          <t>Contingency</t>
        </is>
      </c>
      <c r="H43" s="69">
        <f>H42*Compare!$B$9</f>
        <v/>
      </c>
    </row>
    <row r="44" ht="15" customHeight="1" s="38">
      <c r="G44" s="66" t="inlineStr">
        <is>
          <t>TOTAL incl. contingency</t>
        </is>
      </c>
      <c r="H44" s="67">
        <f>H42+H43</f>
        <v/>
      </c>
    </row>
    <row r="46" ht="15" customHeight="1" s="38">
      <c r="G46" s="57" t="inlineStr">
        <is>
          <t>University funding</t>
        </is>
      </c>
      <c r="H46" s="48">
        <f>Compare!$B$5</f>
        <v/>
      </c>
    </row>
    <row r="47" ht="15" customHeight="1" s="38">
      <c r="G47" s="70" t="inlineStr">
        <is>
          <t>Funding left after subtotal (negative = over)</t>
        </is>
      </c>
      <c r="H47" s="71">
        <f>H46-H42</f>
        <v/>
      </c>
    </row>
    <row r="48" ht="15" customHeight="1" s="38">
      <c r="G48" s="70" t="inlineStr">
        <is>
          <t>Out-of-pocket incl. contingency</t>
        </is>
      </c>
      <c r="H48" s="71">
        <f>MAX(0,H44-H46)</f>
        <v/>
      </c>
    </row>
    <row r="49" ht="15" customHeight="1" s="38">
      <c r="G49" s="57" t="inlineStr">
        <is>
          <t>Per person incl. contingency</t>
        </is>
      </c>
      <c r="H49" s="62">
        <f>H44/Compare!$B$6</f>
        <v/>
      </c>
    </row>
    <row r="51" ht="15" customHeight="1" s="38">
      <c r="G51" s="41" t="inlineStr">
        <is>
          <t>By category</t>
        </is>
      </c>
    </row>
    <row r="52" ht="15" customHeight="1" s="38">
      <c r="G52" s="42" t="inlineStr">
        <is>
          <t>Flights</t>
        </is>
      </c>
      <c r="H52" s="72">
        <f>SUMPRODUCT((LOOKUP(ROW(H14:H40),ROW(H14:H40)/(A14:A40&lt;&gt;""),A14:A40)="Flights")*H14:H40)</f>
        <v/>
      </c>
    </row>
    <row r="53" ht="15" customHeight="1" s="38">
      <c r="G53" s="42" t="inlineStr">
        <is>
          <t>Trains</t>
        </is>
      </c>
      <c r="H53" s="72">
        <f>SUMPRODUCT((LOOKUP(ROW(H14:H40),ROW(H14:H40)/(A14:A40&lt;&gt;""),A14:A40)="Trains")*H14:H40)</f>
        <v/>
      </c>
    </row>
    <row r="54" ht="15" customHeight="1" s="38">
      <c r="G54" s="42" t="inlineStr">
        <is>
          <t>Accommodation (1 room for 3)</t>
        </is>
      </c>
      <c r="H54" s="72">
        <f>SUMPRODUCT((LOOKUP(ROW(H14:H40),ROW(H14:H40)/(A14:A40&lt;&gt;""),A14:A40)="Accommodation (1 room for 3)")*H14:H40)</f>
        <v/>
      </c>
    </row>
    <row r="55" ht="15" customHeight="1" s="38">
      <c r="G55" s="42" t="inlineStr">
        <is>
          <t>Contest fees</t>
        </is>
      </c>
      <c r="H55" s="72">
        <f>SUMPRODUCT((LOOKUP(ROW(H14:H40),ROW(H14:H40)/(A14:A40&lt;&gt;""),A14:A40)="Contest fees")*H14:H40)</f>
        <v/>
      </c>
    </row>
    <row r="56" ht="15" customHeight="1" s="38">
      <c r="G56" s="42" t="inlineStr">
        <is>
          <t>Daily costs</t>
        </is>
      </c>
      <c r="H56" s="72">
        <f>SUMPRODUCT((LOOKUP(ROW(H14:H40),ROW(H14:H40)/(A14:A40&lt;&gt;""),A14:A40)="Daily costs")*H14:H40)</f>
        <v/>
      </c>
    </row>
    <row r="57" ht="15" customHeight="1" s="38">
      <c r="G57" s="42" t="inlineStr">
        <is>
          <t>Other</t>
        </is>
      </c>
      <c r="H57" s="72">
        <f>SUMPRODUCT((LOOKUP(ROW(H14:H40),ROW(H14:H40)/(A14:A40&lt;&gt;""),A14:A40)="Other")*H14:H40)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37" min="1" max="1"/>
    <col width="16" customWidth="1" style="37" min="2" max="2"/>
    <col width="110" customWidth="1" style="37" min="3" max="3"/>
  </cols>
  <sheetData>
    <row r="1" ht="15" customHeight="1" s="38">
      <c r="A1" s="73" t="inlineStr">
        <is>
          <t>A Balanced / B Budget (same route)</t>
        </is>
      </c>
    </row>
    <row r="2" ht="15" customHeight="1" s="38">
      <c r="A2" s="47" t="inlineStr">
        <is>
          <t>Date</t>
        </is>
      </c>
      <c r="B2" s="47" t="inlineStr">
        <is>
          <t>Sleep in</t>
        </is>
      </c>
      <c r="C2" s="47" t="inlineStr">
        <is>
          <t>What happens</t>
        </is>
      </c>
    </row>
    <row r="3" ht="15" customHeight="1" s="38">
      <c r="A3" s="74" t="inlineStr">
        <is>
          <t>Fri 6 Nov</t>
        </is>
      </c>
      <c r="B3" s="74" t="inlineStr">
        <is>
          <t>Beijing</t>
        </is>
      </c>
      <c r="C3" s="74" t="inlineStr">
        <is>
          <t>MIAT OM223 UB 17:15 → Beijing Capital 19:30. Hotel/hostel near Beijing South.</t>
        </is>
      </c>
    </row>
    <row r="4" ht="26.85" customHeight="1" s="38">
      <c r="A4" s="74" t="inlineStr">
        <is>
          <t>Sat 7 Nov</t>
        </is>
      </c>
      <c r="B4" s="74" t="inlineStr">
        <is>
          <t>Nanjing</t>
        </is>
      </c>
      <c r="C4" s="74" t="inlineStr">
        <is>
          <t>Morning G-train Beijing South → Nanjing South (A: ~3 h 25 min fast train; B: ~4 h 50 min). Check-in &amp; practice at NUAA Jiangjun Road campus. A: Mujiangnan Hotel (~1 km walk); B: Pod Inn (~15 min metro).</t>
        </is>
      </c>
    </row>
    <row r="5" ht="15" customHeight="1" s="38">
      <c r="A5" s="74" t="inlineStr">
        <is>
          <t>Sun 8 Nov</t>
        </is>
      </c>
      <c r="B5" s="74" t="inlineStr">
        <is>
          <t>Nanjing</t>
        </is>
      </c>
      <c r="C5" s="74" t="inlineStr">
        <is>
          <t>NANJING REGIONAL contest day.</t>
        </is>
      </c>
    </row>
    <row r="6" ht="15" customHeight="1" s="38">
      <c r="A6" s="74" t="inlineStr">
        <is>
          <t>9–12 Nov</t>
        </is>
      </c>
      <c r="B6" s="74" t="inlineStr">
        <is>
          <t>Nanjing (12 Nov: train)</t>
        </is>
      </c>
      <c r="C6" s="74" t="inlineStr">
        <is>
          <t>Rest / upsolve / train in Nanjing. 12 Nov: check out, Z366 overnight sleeper Nanjing 16:58 → Shenyang North 09:14 (hard sleeper; after the contest).</t>
        </is>
      </c>
    </row>
    <row r="7" ht="15" customHeight="1" s="38">
      <c r="A7" s="74" t="inlineStr">
        <is>
          <t>Fri 13 Nov</t>
        </is>
      </c>
      <c r="B7" s="74" t="inlineStr">
        <is>
          <t>Shenyang</t>
        </is>
      </c>
      <c r="C7" s="74" t="inlineStr">
        <is>
          <t>Arrive Shenyang North 09:14. Free day to rest; A: RiCH Hotel near NEU; B: Bestay.</t>
        </is>
      </c>
    </row>
    <row r="8" ht="15" customHeight="1" s="38">
      <c r="A8" s="74" t="inlineStr">
        <is>
          <t>Sat 14 Nov</t>
        </is>
      </c>
      <c r="B8" s="74" t="inlineStr">
        <is>
          <t>Shenyang</t>
        </is>
      </c>
      <c r="C8" s="74" t="inlineStr">
        <is>
          <t>Check-in &amp; practice at Northeastern University Nanhu campus.</t>
        </is>
      </c>
    </row>
    <row r="9" ht="15" customHeight="1" s="38">
      <c r="A9" s="74" t="inlineStr">
        <is>
          <t>Sun 15 Nov</t>
        </is>
      </c>
      <c r="B9" s="74" t="inlineStr">
        <is>
          <t>Train</t>
        </is>
      </c>
      <c r="C9" s="74" t="inlineStr">
        <is>
          <t>SHENYANG REGIONAL contest day. K54 overnight sleeper Shenyang North 22:00 → Beijing 06:58 (hard sleeper; after the contest).</t>
        </is>
      </c>
    </row>
    <row r="10" ht="15" customHeight="1" s="38">
      <c r="A10" s="74" t="inlineStr">
        <is>
          <t>Mon 16 Nov</t>
        </is>
      </c>
      <c r="B10" s="74" t="inlineStr">
        <is>
          <t>Home</t>
        </is>
      </c>
      <c r="C10" s="74" t="inlineStr">
        <is>
          <t>Beijing station → PEK by metro + Airport Express. Air China Beijing Capital 12:55 → UB 15:05 (nonstop).</t>
        </is>
      </c>
    </row>
    <row r="12" ht="15" customHeight="1" s="38">
      <c r="A12" s="73" t="inlineStr">
        <is>
          <t>C Home between</t>
        </is>
      </c>
    </row>
    <row r="13" ht="15" customHeight="1" s="38">
      <c r="A13" s="47" t="inlineStr">
        <is>
          <t>Date</t>
        </is>
      </c>
      <c r="B13" s="47" t="inlineStr">
        <is>
          <t>Sleep in</t>
        </is>
      </c>
      <c r="C13" s="47" t="inlineStr">
        <is>
          <t>What happens</t>
        </is>
      </c>
    </row>
    <row r="14" ht="15" customHeight="1" s="38">
      <c r="A14" s="74" t="inlineStr">
        <is>
          <t>Fri 6 Nov</t>
        </is>
      </c>
      <c r="B14" s="74" t="inlineStr">
        <is>
          <t>Beijing</t>
        </is>
      </c>
      <c r="C14" s="74" t="inlineStr">
        <is>
          <t>MIAT OM223 UB 17:15 → Beijing 19:30.</t>
        </is>
      </c>
    </row>
    <row r="15" ht="15" customHeight="1" s="38">
      <c r="A15" s="74" t="inlineStr">
        <is>
          <t>Sat 7 Nov</t>
        </is>
      </c>
      <c r="B15" s="74" t="inlineStr">
        <is>
          <t>Nanjing</t>
        </is>
      </c>
      <c r="C15" s="74" t="inlineStr">
        <is>
          <t>Fast G-train to Nanjing South. Check-in &amp; practice at NUAA.</t>
        </is>
      </c>
    </row>
    <row r="16" ht="15" customHeight="1" s="38">
      <c r="A16" s="74" t="inlineStr">
        <is>
          <t>Sun 8 Nov</t>
        </is>
      </c>
      <c r="B16" s="74" t="inlineStr">
        <is>
          <t>Nanjing</t>
        </is>
      </c>
      <c r="C16" s="74" t="inlineStr">
        <is>
          <t>NANJING REGIONAL contest day.</t>
        </is>
      </c>
    </row>
    <row r="17" ht="15" customHeight="1" s="38">
      <c r="A17" s="74" t="inlineStr">
        <is>
          <t>Mon 9 Nov</t>
        </is>
      </c>
      <c r="B17" s="74" t="inlineStr">
        <is>
          <t>Nanjing</t>
        </is>
      </c>
      <c r="C17" s="74" t="inlineStr">
        <is>
          <t>Rest day in Nanjing (or leave a day early: 9 Nov MIAT 11:30 is $294.67 pp).</t>
        </is>
      </c>
    </row>
    <row r="18" ht="15" customHeight="1" s="38">
      <c r="A18" s="74" t="inlineStr">
        <is>
          <t>Tue 10 Nov</t>
        </is>
      </c>
      <c r="B18" s="74" t="inlineStr">
        <is>
          <t>Home (late)</t>
        </is>
      </c>
      <c r="C18" s="74" t="inlineStr">
        <is>
          <t>Midday fast train Nanjing South → Beijing South; MIAT OM224 PEK 20:45 → UB 23:05.</t>
        </is>
      </c>
    </row>
    <row r="19" ht="15" customHeight="1" s="38">
      <c r="A19" s="74" t="inlineStr">
        <is>
          <t>11–12 Nov</t>
        </is>
      </c>
      <c r="B19" s="74" t="inlineStr">
        <is>
          <t>Home</t>
        </is>
      </c>
      <c r="C19" s="74" t="inlineStr">
        <is>
          <t>Classes / rest at home.</t>
        </is>
      </c>
    </row>
    <row r="20" ht="15" customHeight="1" s="38">
      <c r="A20" s="74" t="inlineStr">
        <is>
          <t>Fri 13 Nov</t>
        </is>
      </c>
      <c r="B20" s="74" t="inlineStr">
        <is>
          <t>Train</t>
        </is>
      </c>
      <c r="C20" s="74" t="inlineStr">
        <is>
          <t>MIAT OM223 UB 17:15 → Beijing 19:30. Airport Express + metro to Beijing station; K53 soft sleeper 22:35 → Shenyang North 07:00.</t>
        </is>
      </c>
    </row>
    <row r="21" ht="15" customHeight="1" s="38">
      <c r="A21" s="74" t="inlineStr">
        <is>
          <t>Sat 14 Nov</t>
        </is>
      </c>
      <c r="B21" s="74" t="inlineStr">
        <is>
          <t>Shenyang</t>
        </is>
      </c>
      <c r="C21" s="74" t="inlineStr">
        <is>
          <t>Arrive Shenyang 07:00, RiCH Hotel near NEU. Check-in &amp; practice at NEU Nanhu.</t>
        </is>
      </c>
    </row>
    <row r="22" ht="15" customHeight="1" s="38">
      <c r="A22" s="74" t="inlineStr">
        <is>
          <t>Sun 15 Nov</t>
        </is>
      </c>
      <c r="B22" s="74" t="inlineStr">
        <is>
          <t>Train</t>
        </is>
      </c>
      <c r="C22" s="74" t="inlineStr">
        <is>
          <t>SHENYANG REGIONAL contest day. K54 hard sleeper Shenyang North 22:00 → Beijing 06:58.</t>
        </is>
      </c>
    </row>
    <row r="23" ht="15" customHeight="1" s="38">
      <c r="A23" s="74" t="inlineStr">
        <is>
          <t>Mon 16 Nov</t>
        </is>
      </c>
      <c r="B23" s="74" t="inlineStr">
        <is>
          <t>Home</t>
        </is>
      </c>
      <c r="C23" s="74" t="inlineStr">
        <is>
          <t>Beijing station → PEK by metro + Airport Express. Air China Beijing Capital 12:55 → UB 15:05 (nonstop).</t>
        </is>
      </c>
    </row>
    <row r="25" ht="26.85" customHeight="1" s="38">
      <c r="A25" s="41" t="inlineStr">
        <is>
          <t>Note</t>
        </is>
      </c>
      <c r="C25" s="74" t="inlineStr">
        <is>
          <t>Dates are the organisers' provisional dates (ICPC Beijing HQ summary, 5 Aug 2026); venues are last year's campuses. Confirm both in each 2026 invitation before paying for anything non-refundable.</t>
        </is>
      </c>
    </row>
    <row r="26" ht="26.85" customHeight="1" s="38">
      <c r="A26" s="41" t="inlineStr">
        <is>
          <t>Note</t>
        </is>
      </c>
      <c r="C26" s="74" t="inlineStr">
        <is>
          <t>The K54 sleeper leaves Shenyang North at 22:00, so a late awards ceremony on 15 Nov is fine. If it runs past ~21:15, take the Air China through ticket SHE 09:00 → UB 15:05 on 16 Nov ($286 pp) and sleep in Shenyang.</t>
        </is>
      </c>
    </row>
    <row r="27" ht="15" customHeight="1" s="38">
      <c r="A27" s="41" t="inlineStr">
        <is>
          <t>Note</t>
        </is>
      </c>
      <c r="C27" s="74" t="inlineStr">
        <is>
          <t>Chinese train tickets open 15 days before travel (day of travel counts, e.g. 13 Nov trains on 30 Oct) on 12306 / Trip.com / Ctrip; passports needed to buy. Beijing → Nanjing sleepers (D5 21:21) leave too soon after MIAT lands at 19:30, so the 6 Nov Beijing night stays.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2026-09-30T13:58:22Z</dcterms:created>
  <dcterms:modified xsi:type="dcterms:W3CDTF">2026-10-10T08:02:05Z</dcterms:modified>
  <cp:revision>0</cp:revision>
</cp:coreProperties>
</file>