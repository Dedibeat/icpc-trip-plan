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light fares" sheetId="1" state="visible" r:id="rId1"/>
    <sheet name="Connector note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#,##0&quot; ₮&quot;;\(#,##0&quot; ₮)&quot;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8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1" /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2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3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4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5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6" /><Relationship Type="http://schemas.openxmlformats.org/officeDocument/2006/relationships/hyperlink" Target="https://www.trip.com/flights/showfarefirst?dcity=ubn&amp;acity=hkg&amp;ddate=2027-01-08&amp;rdate=2027-01-11&amp;triptype=rt&amp;class=y&amp;quantity=1&amp;curr=USD" TargetMode="External" Id="rId7" /><Relationship Type="http://schemas.openxmlformats.org/officeDocument/2006/relationships/hyperlink" Target="https://www.trip.com/flights/showfarefirst?dcity=bjs&amp;acity=hgh&amp;ddate=2027-01-25&amp;triptype=ow&amp;class=y&amp;quantity=1&amp;curr=USD" TargetMode="External" Id="rId8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9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13" customWidth="1" style="25" min="2" max="2"/>
    <col width="22" customWidth="1" style="25" min="3" max="3"/>
    <col width="19" customWidth="1" style="25" min="4" max="4"/>
    <col width="16" customWidth="1" style="25" min="5" max="5"/>
    <col width="20" customWidth="1" style="25" min="6" max="6"/>
    <col width="11" customWidth="1" style="25" min="7" max="7"/>
    <col width="13" customWidth="1" style="25" min="8" max="8"/>
    <col width="15" customWidth="1" style="25" min="9" max="10"/>
    <col width="13" customWidth="1" style="25" min="11" max="11"/>
    <col width="34" customWidth="1" style="25" min="12" max="12"/>
    <col width="16" customWidth="1" style="25" min="13" max="13"/>
    <col width="30" customWidth="1" style="25" min="14" max="14"/>
    <col width="40" customWidth="1" style="25" min="15" max="15"/>
  </cols>
  <sheetData>
    <row r="1" ht="17.35" customHeight="1" s="26">
      <c r="A1" s="27" t="inlineStr">
        <is>
          <t>Cheap flights found via the Trip.com scraper connection (Bright Data)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5" customHeight="1" s="26">
      <c r="A2" s="29" t="inlineStr">
        <is>
          <t>Prices per person, one way unless noted, economy, checked 30 Sep 2026 (rows 11–22) and 1 Oct 2026 (rows 38–45). Live prices – re-check before booking.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5" customHeight="1" s="26">
      <c r="A3" s="30" t="inlineStr">
        <is>
          <t>Inputs</t>
        </is>
      </c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15" customHeight="1" s="26">
      <c r="A4" s="31" t="inlineStr">
        <is>
          <t>USD → MNT</t>
        </is>
      </c>
      <c r="B4" s="32" t="n">
        <v>3598</v>
      </c>
      <c r="C4" s="29" t="inlineStr">
        <is>
          <t>Mid-market, late Sep 2026 (trip-planner skill)</t>
        </is>
      </c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 ht="15" customHeight="1" s="26">
      <c r="A5" s="31" t="inlineStr">
        <is>
          <t>CNY → MNT</t>
        </is>
      </c>
      <c r="B5" s="32" t="n">
        <v>536</v>
      </c>
      <c r="C5" s="29" t="inlineStr">
        <is>
          <t>Mid-market, late Sep 2026 (trip-planner skill)</t>
        </is>
      </c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 ht="15" customHeight="1" s="26">
      <c r="A6" s="31" t="inlineStr">
        <is>
          <t>Team size (students)</t>
        </is>
      </c>
      <c r="B6" s="33" t="n">
        <v>3</v>
      </c>
      <c r="C6" s="29" t="inlineStr">
        <is>
          <t>Default team</t>
        </is>
      </c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</row>
    <row r="7" ht="15" customHeight="1" s="26">
      <c r="A7" s="31" t="inlineStr">
        <is>
          <t>Team size with coach</t>
        </is>
      </c>
      <c r="B7" s="33" t="n">
        <v>4</v>
      </c>
      <c r="C7" s="29" t="inlineStr">
        <is>
          <t>Default team + coach</t>
        </is>
      </c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 ht="15" customHeight="1" s="26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</row>
    <row r="9" ht="31.5" customHeight="1" s="26">
      <c r="A9" s="34" t="inlineStr">
        <is>
          <t>Leg</t>
        </is>
      </c>
      <c r="B9" s="34" t="inlineStr">
        <is>
          <t>Date</t>
        </is>
      </c>
      <c r="C9" s="34" t="inlineStr">
        <is>
          <t>Airline</t>
        </is>
      </c>
      <c r="D9" s="34" t="inlineStr">
        <is>
          <t>Times</t>
        </is>
      </c>
      <c r="E9" s="34" t="inlineStr">
        <is>
          <t>Duration</t>
        </is>
      </c>
      <c r="F9" s="34" t="inlineStr">
        <is>
          <t>Stops</t>
        </is>
      </c>
      <c r="G9" s="34" t="inlineStr">
        <is>
          <t>Price $ pp</t>
        </is>
      </c>
      <c r="H9" s="34" t="inlineStr">
        <is>
          <t>Price ₮ pp</t>
        </is>
      </c>
      <c r="I9" s="34" t="inlineStr">
        <is>
          <t>Team of 3 (₮)</t>
        </is>
      </c>
      <c r="J9" s="34" t="inlineStr">
        <is>
          <t>Team of 4 (₮)</t>
        </is>
      </c>
      <c r="K9" s="34" t="inlineStr">
        <is>
          <t>Benchmark $ pp</t>
        </is>
      </c>
      <c r="L9" s="34" t="inlineStr">
        <is>
          <t>Benchmark basis</t>
        </is>
      </c>
      <c r="M9" s="34" t="inlineStr">
        <is>
          <t>Diff vs benchmark ₮ pp</t>
        </is>
      </c>
      <c r="N9" s="34" t="inlineStr">
        <is>
          <t>Use it?</t>
        </is>
      </c>
      <c r="O9" s="34" t="inlineStr">
        <is>
          <t>Source (Trip.com search page)</t>
        </is>
      </c>
    </row>
    <row r="10" ht="15" customHeight="1" s="26">
      <c r="A10" s="49" t="inlineStr">
        <is>
          <t>November regionals (Nanjing / Shenyang) – via Beijing</t>
        </is>
      </c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 s="26">
      <c r="A11" s="51" t="inlineStr">
        <is>
          <t>UB → Beijing (PEK)</t>
        </is>
      </c>
      <c r="B11" s="51" t="inlineStr">
        <is>
          <t>12 Nov 2026</t>
        </is>
      </c>
      <c r="C11" s="51" t="inlineStr">
        <is>
          <t>MIAT</t>
        </is>
      </c>
      <c r="D11" s="51" t="inlineStr">
        <is>
          <t>07:30–09:45</t>
        </is>
      </c>
      <c r="E11" s="51" t="inlineStr">
        <is>
          <t>2 h 15 min</t>
        </is>
      </c>
      <c r="F11" s="51" t="inlineStr">
        <is>
          <t>Nonstop</t>
        </is>
      </c>
      <c r="G11" s="52" t="n">
        <v>151</v>
      </c>
      <c r="H11" s="53">
        <f>G11*$B$4</f>
        <v/>
      </c>
      <c r="I11" s="53">
        <f>H11*$B$6</f>
        <v/>
      </c>
      <c r="J11" s="53">
        <f>H11*$B$7</f>
        <v/>
      </c>
      <c r="K11" s="52" t="n">
        <v>154</v>
      </c>
      <c r="L11" s="51" t="inlineStr">
        <is>
          <t>SlickTrip MIAT fare (skill)</t>
        </is>
      </c>
      <c r="M11" s="53">
        <f>IF(K11="","",(G11-K11)*$B$4)</f>
        <v/>
      </c>
      <c r="N11" s="54" t="inlineStr">
        <is>
          <t>Yes – cheapest outbound</t>
        </is>
      </c>
      <c r="O11" s="55" t="inlineStr">
        <is>
          <t>https://www.trip.com/flights/showfarefirst?dcity=ubn&amp;acity=bjs&amp;ddate=2026-11-12&amp;triptype=ow&amp;class=y&amp;quantity=1&amp;curr=USD</t>
        </is>
      </c>
    </row>
    <row r="12" ht="15" customHeight="1" s="26">
      <c r="A12" s="51" t="inlineStr">
        <is>
          <t>UB → Beijing (PEK)</t>
        </is>
      </c>
      <c r="B12" s="51" t="inlineStr">
        <is>
          <t>12 Nov 2026</t>
        </is>
      </c>
      <c r="C12" s="51" t="inlineStr">
        <is>
          <t>Air China</t>
        </is>
      </c>
      <c r="D12" s="51" t="inlineStr">
        <is>
          <t>11:50–13:55</t>
        </is>
      </c>
      <c r="E12" s="51" t="inlineStr">
        <is>
          <t>2 h 05 min</t>
        </is>
      </c>
      <c r="F12" s="51" t="inlineStr">
        <is>
          <t>Nonstop</t>
        </is>
      </c>
      <c r="G12" s="52" t="n">
        <v>196</v>
      </c>
      <c r="H12" s="53">
        <f>G12*$B$4</f>
        <v/>
      </c>
      <c r="I12" s="53">
        <f>H12*$B$6</f>
        <v/>
      </c>
      <c r="J12" s="53">
        <f>H12*$B$7</f>
        <v/>
      </c>
      <c r="K12" s="42" t="n"/>
      <c r="L12" s="51" t="inlineStr">
        <is>
          <t>SlickTrip showed $0 (unpriced)</t>
        </is>
      </c>
      <c r="M12" s="53">
        <f>IF(K12="","",(G12-K12)*$B$4)</f>
        <v/>
      </c>
      <c r="N12" s="51" t="inlineStr">
        <is>
          <t>Backup if MIAT full</t>
        </is>
      </c>
      <c r="O12" s="55" t="inlineStr">
        <is>
          <t>https://www.trip.com/flights/showfarefirst?dcity=ubn&amp;acity=bjs&amp;ddate=2026-11-12&amp;triptype=ow&amp;class=y&amp;quantity=1&amp;curr=USD</t>
        </is>
      </c>
    </row>
    <row r="13" ht="15" customHeight="1" s="26">
      <c r="A13" s="51" t="inlineStr">
        <is>
          <t>Beijing (PEK) → UB</t>
        </is>
      </c>
      <c r="B13" s="51" t="inlineStr">
        <is>
          <t>16 Nov 2026</t>
        </is>
      </c>
      <c r="C13" s="51" t="inlineStr">
        <is>
          <t>Air China</t>
        </is>
      </c>
      <c r="D13" s="51" t="inlineStr">
        <is>
          <t>12:55–15:05</t>
        </is>
      </c>
      <c r="E13" s="51" t="inlineStr">
        <is>
          <t>2 h 10 min</t>
        </is>
      </c>
      <c r="F13" s="51" t="inlineStr">
        <is>
          <t>Nonstop</t>
        </is>
      </c>
      <c r="G13" s="52" t="n">
        <v>171</v>
      </c>
      <c r="H13" s="53">
        <f>G13*$B$4</f>
        <v/>
      </c>
      <c r="I13" s="53">
        <f>H13*$B$6</f>
        <v/>
      </c>
      <c r="J13" s="53">
        <f>H13*$B$7</f>
        <v/>
      </c>
      <c r="K13" s="52" t="n">
        <v>196</v>
      </c>
      <c r="L13" s="51" t="inlineStr">
        <is>
          <t>MIAT OM224 low end $196 (skill)</t>
        </is>
      </c>
      <c r="M13" s="53">
        <f>IF(K13="","",(G13-K13)*$B$4)</f>
        <v/>
      </c>
      <c r="N13" s="54" t="inlineStr">
        <is>
          <t>Yes – cheapest return</t>
        </is>
      </c>
      <c r="O13" s="55" t="inlineStr">
        <is>
          <t>https://www.trip.com/flights/showfarefirst?dcity=bjs&amp;acity=ubn&amp;ddate=2026-11-16&amp;triptype=ow&amp;class=y&amp;quantity=1&amp;curr=USD</t>
        </is>
      </c>
    </row>
    <row r="14" ht="15" customHeight="1" s="26">
      <c r="A14" s="51" t="inlineStr">
        <is>
          <t>Beijing (PEK) → UB</t>
        </is>
      </c>
      <c r="B14" s="51" t="inlineStr">
        <is>
          <t>16 Nov 2026</t>
        </is>
      </c>
      <c r="C14" s="51" t="inlineStr">
        <is>
          <t>MIAT</t>
        </is>
      </c>
      <c r="D14" s="51" t="inlineStr">
        <is>
          <t>11:30–13:50</t>
        </is>
      </c>
      <c r="E14" s="51" t="inlineStr">
        <is>
          <t>2 h 20 min</t>
        </is>
      </c>
      <c r="F14" s="51" t="inlineStr">
        <is>
          <t>Nonstop</t>
        </is>
      </c>
      <c r="G14" s="52" t="n">
        <v>194</v>
      </c>
      <c r="H14" s="53">
        <f>G14*$B$4</f>
        <v/>
      </c>
      <c r="I14" s="53">
        <f>H14*$B$6</f>
        <v/>
      </c>
      <c r="J14" s="53">
        <f>H14*$B$7</f>
        <v/>
      </c>
      <c r="K14" s="52" t="n">
        <v>196</v>
      </c>
      <c r="L14" s="51" t="inlineStr">
        <is>
          <t>MIAT OM224 low end $196 (skill)</t>
        </is>
      </c>
      <c r="M14" s="53">
        <f>IF(K14="","",(G14-K14)*$B$4)</f>
        <v/>
      </c>
      <c r="N14" s="51" t="inlineStr">
        <is>
          <t>Backup</t>
        </is>
      </c>
      <c r="O14" s="55" t="inlineStr">
        <is>
          <t>https://www.trip.com/flights/showfarefirst?dcity=bjs&amp;acity=ubn&amp;ddate=2026-11-16&amp;triptype=ow&amp;class=y&amp;quantity=1&amp;curr=USD</t>
        </is>
      </c>
    </row>
    <row r="15" ht="26.85" customHeight="1" s="26">
      <c r="A15" s="51" t="inlineStr">
        <is>
          <t>UB → Shenyang</t>
        </is>
      </c>
      <c r="B15" s="51" t="inlineStr">
        <is>
          <t>12 Nov 2026</t>
        </is>
      </c>
      <c r="C15" s="51" t="inlineStr">
        <is>
          <t>MIAT + China Southern</t>
        </is>
      </c>
      <c r="D15" s="51" t="inlineStr">
        <is>
          <t>07:30–23:00</t>
        </is>
      </c>
      <c r="E15" s="51" t="inlineStr">
        <is>
          <t>15 h 30 min</t>
        </is>
      </c>
      <c r="F15" s="51" t="inlineStr">
        <is>
          <t>1 (11 h 30 min in Beijing)</t>
        </is>
      </c>
      <c r="G15" s="52" t="n">
        <v>219</v>
      </c>
      <c r="H15" s="53">
        <f>G15*$B$4</f>
        <v/>
      </c>
      <c r="I15" s="53">
        <f>H15*$B$6</f>
        <v/>
      </c>
      <c r="J15" s="53">
        <f>H15*$B$7</f>
        <v/>
      </c>
      <c r="K15" s="43">
        <f>151+339*$B$5/$B$4</f>
        <v/>
      </c>
      <c r="L15" s="51" t="inlineStr">
        <is>
          <t>MIAT $151 + train 339 CNY</t>
        </is>
      </c>
      <c r="M15" s="53">
        <f>IF(K15="","",(G15-K15)*$B$4)</f>
        <v/>
      </c>
      <c r="N15" s="51" t="inlineStr">
        <is>
          <t>No – Beijing + train is cheaper and faster</t>
        </is>
      </c>
      <c r="O15" s="55" t="inlineStr">
        <is>
          <t>https://www.trip.com/flights/showfarefirst?dcity=ubn&amp;acity=she&amp;ddate=2026-11-12&amp;triptype=ow&amp;class=y&amp;quantity=1&amp;curr=USD</t>
        </is>
      </c>
    </row>
    <row r="16" ht="26.85" customHeight="1" s="26">
      <c r="A16" s="51" t="inlineStr">
        <is>
          <t>UB → Shenyang</t>
        </is>
      </c>
      <c r="B16" s="51" t="inlineStr">
        <is>
          <t>12 Nov 2026</t>
        </is>
      </c>
      <c r="C16" s="51" t="inlineStr">
        <is>
          <t>Air China + Spring</t>
        </is>
      </c>
      <c r="D16" s="51" t="inlineStr">
        <is>
          <t>13:00–21:15</t>
        </is>
      </c>
      <c r="E16" s="51" t="inlineStr">
        <is>
          <t>8 h 15 min</t>
        </is>
      </c>
      <c r="F16" s="51" t="inlineStr">
        <is>
          <t>1 (4 h 25 min in Hohhot)</t>
        </is>
      </c>
      <c r="G16" s="52" t="n">
        <v>233</v>
      </c>
      <c r="H16" s="53">
        <f>G16*$B$4</f>
        <v/>
      </c>
      <c r="I16" s="53">
        <f>H16*$B$6</f>
        <v/>
      </c>
      <c r="J16" s="53">
        <f>H16*$B$7</f>
        <v/>
      </c>
      <c r="K16" s="43">
        <f>151+339*$B$5/$B$4</f>
        <v/>
      </c>
      <c r="L16" s="51" t="inlineStr">
        <is>
          <t>MIAT $151 + train 339 CNY</t>
        </is>
      </c>
      <c r="M16" s="53">
        <f>IF(K16="","",(G16-K16)*$B$4)</f>
        <v/>
      </c>
      <c r="N16" s="51" t="inlineStr">
        <is>
          <t>No</t>
        </is>
      </c>
      <c r="O16" s="55" t="inlineStr">
        <is>
          <t>https://www.trip.com/flights/showfarefirst?dcity=ubn&amp;acity=she&amp;ddate=2026-11-12&amp;triptype=ow&amp;class=y&amp;quantity=1&amp;curr=USD</t>
        </is>
      </c>
    </row>
    <row r="17" ht="15" customHeight="1" s="26">
      <c r="A17" s="49" t="inlineStr">
        <is>
          <t>Hong Kong regional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6.85" customHeight="1" s="26">
      <c r="A18" s="51" t="inlineStr">
        <is>
          <t>UB ↔ Hong Kong, return</t>
        </is>
      </c>
      <c r="B18" s="51" t="inlineStr">
        <is>
          <t>8–11 Jan 2027</t>
        </is>
      </c>
      <c r="C18" s="51" t="inlineStr">
        <is>
          <t>MIAT</t>
        </is>
      </c>
      <c r="D18" s="51" t="inlineStr">
        <is>
          <t>Out 06:45–11:25</t>
        </is>
      </c>
      <c r="E18" s="51" t="inlineStr">
        <is>
          <t>4 h 40 min each way</t>
        </is>
      </c>
      <c r="F18" s="51" t="inlineStr">
        <is>
          <t>Nonstop</t>
        </is>
      </c>
      <c r="G18" s="52" t="n">
        <v>583</v>
      </c>
      <c r="H18" s="53">
        <f>G18*$B$4</f>
        <v/>
      </c>
      <c r="I18" s="53">
        <f>H18*$B$6</f>
        <v/>
      </c>
      <c r="J18" s="53">
        <f>H18*$B$7</f>
        <v/>
      </c>
      <c r="K18" s="52" t="n">
        <v>590</v>
      </c>
      <c r="L18" s="51" t="inlineStr">
        <is>
          <t>MIAT return (skill)</t>
        </is>
      </c>
      <c r="M18" s="53">
        <f>IF(K18="","",(G18-K18)*$B$4)</f>
        <v/>
      </c>
      <c r="N18" s="54" t="inlineStr">
        <is>
          <t>Yes – best option</t>
        </is>
      </c>
      <c r="O18" s="55" t="inlineStr">
        <is>
          <t>https://www.trip.com/flights/showfarefirst?dcity=ubn&amp;acity=hkg&amp;ddate=2027-01-08&amp;rdate=2027-01-11&amp;triptype=rt&amp;class=y&amp;quantity=1&amp;curr=USD</t>
        </is>
      </c>
    </row>
    <row r="19" ht="15" customHeight="1" s="26">
      <c r="A19" s="49" t="inlineStr">
        <is>
          <t>EC Final (Hangzhou) – domestic legs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6.85" customHeight="1" s="26">
      <c r="A20" s="51" t="inlineStr">
        <is>
          <t>Beijing (PEK) → Hangzhou</t>
        </is>
      </c>
      <c r="B20" s="51" t="inlineStr">
        <is>
          <t>25 Jan 2027</t>
        </is>
      </c>
      <c r="C20" s="51" t="inlineStr">
        <is>
          <t>Air China</t>
        </is>
      </c>
      <c r="D20" s="51" t="inlineStr">
        <is>
          <t>21:30–00:05 (+1)</t>
        </is>
      </c>
      <c r="E20" s="51" t="inlineStr">
        <is>
          <t>2 h 35 min</t>
        </is>
      </c>
      <c r="F20" s="51" t="inlineStr">
        <is>
          <t>Nonstop</t>
        </is>
      </c>
      <c r="G20" s="52" t="n">
        <v>338</v>
      </c>
      <c r="H20" s="53">
        <f>G20*$B$4</f>
        <v/>
      </c>
      <c r="I20" s="53">
        <f>H20*$B$6</f>
        <v/>
      </c>
      <c r="J20" s="53">
        <f>H20*$B$7</f>
        <v/>
      </c>
      <c r="K20" s="44">
        <f>700*$B$5/$B$4</f>
        <v/>
      </c>
      <c r="L20" s="45" t="inlineStr">
        <is>
          <t>ASSUMPTION: Chinese market ~¥700 in late Jan</t>
        </is>
      </c>
      <c r="M20" s="53">
        <f>IF(K20="","",(G20-K20)*$B$4)</f>
        <v/>
      </c>
      <c r="N20" s="51" t="inlineStr">
        <is>
          <t>No – inflated; take train or book on 12306/Ctrip</t>
        </is>
      </c>
      <c r="O20" s="55" t="inlineStr">
        <is>
          <t>https://www.trip.com/flights/showfarefirst?dcity=bjs&amp;acity=hgh&amp;ddate=2027-01-25&amp;triptype=ow&amp;class=y&amp;quantity=1&amp;curr=USD</t>
        </is>
      </c>
    </row>
    <row r="21" ht="26.85" customHeight="1" s="26">
      <c r="A21" s="51" t="inlineStr">
        <is>
          <t>Hangzhou → Beijing (PEK)</t>
        </is>
      </c>
      <c r="B21" s="51" t="inlineStr">
        <is>
          <t>28 Jan 2027</t>
        </is>
      </c>
      <c r="C21" s="51" t="inlineStr">
        <is>
          <t>Air China</t>
        </is>
      </c>
      <c r="D21" s="51" t="inlineStr">
        <is>
          <t>07:00–09:25 (hourly)</t>
        </is>
      </c>
      <c r="E21" s="51" t="inlineStr">
        <is>
          <t>2 h 25 min</t>
        </is>
      </c>
      <c r="F21" s="51" t="inlineStr">
        <is>
          <t>Nonstop</t>
        </is>
      </c>
      <c r="G21" s="52" t="n">
        <v>270</v>
      </c>
      <c r="H21" s="53">
        <f>G21*$B$4</f>
        <v/>
      </c>
      <c r="I21" s="53">
        <f>H21*$B$6</f>
        <v/>
      </c>
      <c r="J21" s="53">
        <f>H21*$B$7</f>
        <v/>
      </c>
      <c r="K21" s="44">
        <f>700*$B$5/$B$4</f>
        <v/>
      </c>
      <c r="L21" s="45" t="inlineStr">
        <is>
          <t>ASSUMPTION: Chinese market ~¥700 in late Jan</t>
        </is>
      </c>
      <c r="M21" s="53">
        <f>IF(K21="","",(G21-K21)*$B$4)</f>
        <v/>
      </c>
      <c r="N21" s="51" t="inlineStr">
        <is>
          <t>No – inflated</t>
        </is>
      </c>
      <c r="O21" s="55" t="inlineStr">
        <is>
          <t>https://www.trip.com/flights/showfarefirst?dcity=hgh&amp;acity=bjs&amp;ddate=2027-01-28&amp;triptype=ow&amp;class=y&amp;quantity=1&amp;curr=USD</t>
        </is>
      </c>
    </row>
    <row r="22" ht="26.85" customHeight="1" s="26">
      <c r="A22" s="51" t="inlineStr">
        <is>
          <t>Hangzhou → Beijing</t>
        </is>
      </c>
      <c r="B22" s="51" t="inlineStr">
        <is>
          <t>26 Jan 2027</t>
        </is>
      </c>
      <c r="C22" s="51" t="inlineStr">
        <is>
          <t>Not shown (date calendar)</t>
        </is>
      </c>
      <c r="D22" s="51" t="inlineStr">
        <is>
          <t>–</t>
        </is>
      </c>
      <c r="E22" s="51" t="inlineStr">
        <is>
          <t>–</t>
        </is>
      </c>
      <c r="F22" s="51" t="inlineStr">
        <is>
          <t>–</t>
        </is>
      </c>
      <c r="G22" s="52" t="n">
        <v>184</v>
      </c>
      <c r="H22" s="53">
        <f>G22*$B$4</f>
        <v/>
      </c>
      <c r="I22" s="53">
        <f>H22*$B$6</f>
        <v/>
      </c>
      <c r="J22" s="53">
        <f>H22*$B$7</f>
        <v/>
      </c>
      <c r="K22" s="44">
        <f>700*$B$5/$B$4</f>
        <v/>
      </c>
      <c r="L22" s="45" t="inlineStr">
        <is>
          <t>ASSUMPTION: Chinese market ~¥700 in late Jan</t>
        </is>
      </c>
      <c r="M22" s="53">
        <f>IF(K22="","",(G22-K22)*$B$4)</f>
        <v/>
      </c>
      <c r="N22" s="51" t="inlineStr">
        <is>
          <t>Only if leaving before closing – still above market</t>
        </is>
      </c>
      <c r="O22" s="55" t="inlineStr">
        <is>
          <t>https://www.trip.com/flights/showfarefirst?dcity=hgh&amp;acity=bjs&amp;ddate=2027-01-28&amp;triptype=ow&amp;class=y&amp;quantity=1&amp;curr=USD</t>
        </is>
      </c>
    </row>
    <row r="23" ht="15" customHeight="1" s="26">
      <c r="A23" s="29" t="inlineStr">
        <is>
          <t>Diff vs benchmark: negative = cheaper than what the plans used; positive = more expensive.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</row>
    <row r="24" ht="15" customHeight="1" s="26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</row>
    <row r="25" ht="15" customHeight="1" s="26">
      <c r="A25" s="46" t="inlineStr">
        <is>
          <t>What switching the November return to Air China saves (per trip)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</row>
    <row r="26" ht="15" customHeight="1" s="26">
      <c r="A26" s="31" t="inlineStr">
        <is>
          <t>MIAT fare used in plans, high end ($)</t>
        </is>
      </c>
      <c r="B26" s="47" t="n">
        <v>223</v>
      </c>
      <c r="C26" s="29" t="inlineStr">
        <is>
          <t>SlickTrip, 30 Sep 2026 (skill notes $196–223)</t>
        </is>
      </c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</row>
    <row r="27" ht="15" customHeight="1" s="26">
      <c r="A27" s="31" t="inlineStr">
        <is>
          <t>Saving vs MIAT today ($194) – team of 3</t>
        </is>
      </c>
      <c r="B27" s="48">
        <f>(G14-G13)*$B$4*$B$6</f>
        <v/>
      </c>
      <c r="C27" s="31" t="inlineStr">
        <is>
          <t>Saving vs MIAT today ($194) – team of 4</t>
        </is>
      </c>
      <c r="D27" s="48">
        <f>(G14-G13)*$B$4*$B$7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</row>
    <row r="28" ht="15" customHeight="1" s="26">
      <c r="A28" s="31" t="inlineStr">
        <is>
          <t>Saving vs plan low end ($196) – team of 3</t>
        </is>
      </c>
      <c r="B28" s="48">
        <f>(K13-G13)*$B$4*$B$6</f>
        <v/>
      </c>
      <c r="C28" s="31" t="inlineStr">
        <is>
          <t>Saving vs plan low end ($196) – team of 4</t>
        </is>
      </c>
      <c r="D28" s="48">
        <f>(K13-G13)*$B$4*$B$7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</row>
    <row r="29" ht="15" customHeight="1" s="26">
      <c r="A29" s="31" t="inlineStr">
        <is>
          <t>Saving vs plan high end ($223) – team of 3</t>
        </is>
      </c>
      <c r="B29" s="48">
        <f>(B26-G13)*$B$4*$B$6</f>
        <v/>
      </c>
      <c r="C29" s="31" t="inlineStr">
        <is>
          <t>Saving vs plan high end ($223) – team of 4</t>
        </is>
      </c>
      <c r="D29" s="48">
        <f>(B26-G13)*$B$4*$B$7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</row>
    <row r="30" ht="15" customHeight="1" s="26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</row>
    <row r="31" ht="15" customHeight="1" s="26">
      <c r="A31" s="46" t="inlineStr">
        <is>
          <t>Recommended picks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</row>
    <row r="32" ht="15" customHeight="1" s="26">
      <c r="A32" s="31" t="inlineStr">
        <is>
          <t>• November trips: fly out on MIAT ($151, lands 09:45), fly home on Air China ($171).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</row>
    <row r="33" ht="15" customHeight="1" s="26">
      <c r="A33" s="31" t="inlineStr">
        <is>
          <t>• Hong Kong: MIAT nonstop return, $583. Nothing via Seoul or Beijing comes close.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</row>
    <row r="34" ht="15" customHeight="1" s="26">
      <c r="A34" s="31" t="inlineStr">
        <is>
          <t>• EC Final: keep the high-speed train via Beijing, or buy domestic flights on 12306 / Chinese Ctrip closer to the date.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</row>
    <row r="35" ht="15" customHeight="1" s="26">
      <c r="A35" s="31" t="inlineStr">
        <is>
          <t>• Trip.com lists student fares on some routes – worth checking at booking.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</row>
    <row r="37">
      <c r="A37" s="49" t="inlineStr">
        <is>
          <t>Added 1 Oct 2026 – remaining legs used in the plans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>
      <c r="A38" s="51" t="inlineStr">
        <is>
          <t>UB → Beijing (PEK)</t>
        </is>
      </c>
      <c r="B38" s="51" t="inlineStr">
        <is>
          <t>6 Nov 2026</t>
        </is>
      </c>
      <c r="C38" s="51" t="inlineStr">
        <is>
          <t>MIAT</t>
        </is>
      </c>
      <c r="D38" s="51" t="inlineStr">
        <is>
          <t>17:15–19:30</t>
        </is>
      </c>
      <c r="E38" s="51" t="inlineStr">
        <is>
          <t>2 h 15 min</t>
        </is>
      </c>
      <c r="F38" s="51" t="inlineStr">
        <is>
          <t>Nonstop</t>
        </is>
      </c>
      <c r="G38" s="52" t="n">
        <v>150</v>
      </c>
      <c r="H38" s="53">
        <f>G38*$B$4</f>
        <v/>
      </c>
      <c r="I38" s="53">
        <f>H38*$B$6</f>
        <v/>
      </c>
      <c r="J38" s="53">
        <f>H38*$B$7</f>
        <v/>
      </c>
      <c r="K38" s="52" t="n">
        <v>154</v>
      </c>
      <c r="L38" s="51" t="inlineStr">
        <is>
          <t>SlickTrip MIAT fare (skill)</t>
        </is>
      </c>
      <c r="M38" s="53">
        <f>IF(K38="","",(G38-K38)*$B$4)</f>
        <v/>
      </c>
      <c r="N38" s="54" t="inlineStr">
        <is>
          <t>Yes – Nanjing trip outbound</t>
        </is>
      </c>
      <c r="O38" s="55" t="inlineStr">
        <is>
          <t>https://www.trip.com/flights/showfarefirst?dcity=ubn&amp;acity=bjs&amp;ddate=2026-11-06&amp;triptype=ow&amp;class=y&amp;quantity=1&amp;curr=USD</t>
        </is>
      </c>
    </row>
    <row r="39">
      <c r="A39" s="51" t="inlineStr">
        <is>
          <t>UB → Beijing (PEK)</t>
        </is>
      </c>
      <c r="B39" s="51" t="inlineStr">
        <is>
          <t>13 Nov 2026</t>
        </is>
      </c>
      <c r="C39" s="51" t="inlineStr">
        <is>
          <t>MIAT</t>
        </is>
      </c>
      <c r="D39" s="51" t="inlineStr">
        <is>
          <t>17:15–19:30</t>
        </is>
      </c>
      <c r="E39" s="51" t="inlineStr">
        <is>
          <t>2 h 15 min</t>
        </is>
      </c>
      <c r="F39" s="51" t="inlineStr">
        <is>
          <t>Nonstop</t>
        </is>
      </c>
      <c r="G39" s="52" t="n">
        <v>150</v>
      </c>
      <c r="H39" s="53">
        <f>G39*$B$4</f>
        <v/>
      </c>
      <c r="I39" s="53">
        <f>H39*$B$6</f>
        <v/>
      </c>
      <c r="J39" s="53">
        <f>H39*$B$7</f>
        <v/>
      </c>
      <c r="K39" s="52" t="n">
        <v>154</v>
      </c>
      <c r="L39" s="51" t="inlineStr">
        <is>
          <t>SlickTrip MIAT fare (skill)</t>
        </is>
      </c>
      <c r="M39" s="53">
        <f>IF(K39="","",(G39-K39)*$B$4)</f>
        <v/>
      </c>
      <c r="N39" s="54" t="inlineStr">
        <is>
          <t>Yes – Shenyang Budget / Home-between outbound</t>
        </is>
      </c>
      <c r="O39" s="55" t="inlineStr">
        <is>
          <t>https://www.trip.com/flights/showfarefirst?dcity=ubn&amp;acity=bjs&amp;ddate=2026-11-13&amp;triptype=ow&amp;class=y&amp;quantity=1&amp;curr=USD</t>
        </is>
      </c>
    </row>
    <row r="40">
      <c r="A40" s="51" t="inlineStr">
        <is>
          <t>Beijing (PEK) → UB</t>
        </is>
      </c>
      <c r="B40" s="51" t="inlineStr">
        <is>
          <t>10 Nov 2026</t>
        </is>
      </c>
      <c r="C40" s="51" t="inlineStr">
        <is>
          <t>MIAT</t>
        </is>
      </c>
      <c r="D40" s="51" t="inlineStr">
        <is>
          <t>20:45–23:05</t>
        </is>
      </c>
      <c r="E40" s="51" t="inlineStr">
        <is>
          <t>2 h 20 min</t>
        </is>
      </c>
      <c r="F40" s="51" t="inlineStr">
        <is>
          <t>Nonstop</t>
        </is>
      </c>
      <c r="G40" s="52" t="n">
        <v>219</v>
      </c>
      <c r="H40" s="53">
        <f>G40*$B$4</f>
        <v/>
      </c>
      <c r="I40" s="53">
        <f>H40*$B$6</f>
        <v/>
      </c>
      <c r="J40" s="53">
        <f>H40*$B$7</f>
        <v/>
      </c>
      <c r="K40" s="52" t="n">
        <v>223</v>
      </c>
      <c r="L40" s="51" t="inlineStr">
        <is>
          <t>SlickTrip MIAT 10 Nov (plan)</t>
        </is>
      </c>
      <c r="M40" s="53">
        <f>IF(K40="","",(G40-K40)*$B$4)</f>
        <v/>
      </c>
      <c r="N40" s="54" t="inlineStr">
        <is>
          <t>Yes – keeps the Home-between day plan</t>
        </is>
      </c>
      <c r="O40" s="55" t="inlineStr">
        <is>
          <t>https://www.trip.com/flights/showfarefirst?dcity=bjs&amp;acity=ubn&amp;ddate=2026-11-10&amp;triptype=ow&amp;class=y&amp;quantity=1&amp;curr=USD</t>
        </is>
      </c>
    </row>
    <row r="41">
      <c r="A41" s="51" t="inlineStr">
        <is>
          <t>Beijing (PEK) → UB</t>
        </is>
      </c>
      <c r="B41" s="51" t="inlineStr">
        <is>
          <t>10 Nov 2026</t>
        </is>
      </c>
      <c r="C41" s="51" t="inlineStr">
        <is>
          <t>Air China</t>
        </is>
      </c>
      <c r="D41" s="51" t="inlineStr">
        <is>
          <t>08:10–10:40</t>
        </is>
      </c>
      <c r="E41" s="51" t="inlineStr">
        <is>
          <t>2 h 30 min</t>
        </is>
      </c>
      <c r="F41" s="51" t="inlineStr">
        <is>
          <t>Nonstop</t>
        </is>
      </c>
      <c r="G41" s="52" t="n">
        <v>172</v>
      </c>
      <c r="H41" s="53">
        <f>G41*$B$4</f>
        <v/>
      </c>
      <c r="I41" s="53">
        <f>H41*$B$6</f>
        <v/>
      </c>
      <c r="J41" s="53">
        <f>H41*$B$7</f>
        <v/>
      </c>
      <c r="K41" s="52" t="n">
        <v>223</v>
      </c>
      <c r="L41" s="51" t="inlineStr">
        <is>
          <t>SlickTrip MIAT 10 Nov (plan)</t>
        </is>
      </c>
      <c r="M41" s="53">
        <f>IF(K41="","",(G41-K41)*$B$4)</f>
        <v/>
      </c>
      <c r="N41" s="51" t="inlineStr">
        <is>
          <t>Only with an extra Beijing night on 9 Nov</t>
        </is>
      </c>
      <c r="O41" s="55" t="inlineStr">
        <is>
          <t>https://www.trip.com/flights/showfarefirst?dcity=bjs&amp;acity=ubn&amp;ddate=2026-11-10&amp;triptype=ow&amp;class=y&amp;quantity=1&amp;curr=USD</t>
        </is>
      </c>
    </row>
    <row r="42">
      <c r="A42" s="51" t="inlineStr">
        <is>
          <t>Nanjing → Shenyang</t>
        </is>
      </c>
      <c r="B42" s="51" t="inlineStr">
        <is>
          <t>13 Nov 2026</t>
        </is>
      </c>
      <c r="C42" s="51" t="inlineStr">
        <is>
          <t>China Eastern</t>
        </is>
      </c>
      <c r="D42" s="51" t="inlineStr">
        <is>
          <t>07:40–09:50</t>
        </is>
      </c>
      <c r="E42" s="51" t="inlineStr">
        <is>
          <t>2 h 10 min</t>
        </is>
      </c>
      <c r="F42" s="51" t="inlineStr">
        <is>
          <t>Nonstop (bag incl.)</t>
        </is>
      </c>
      <c r="G42" s="52" t="n">
        <v>121</v>
      </c>
      <c r="H42" s="53">
        <f>G42*$B$4</f>
        <v/>
      </c>
      <c r="I42" s="53">
        <f>H42*$B$6</f>
        <v/>
      </c>
      <c r="J42" s="53">
        <f>H42*$B$7</f>
        <v/>
      </c>
      <c r="K42" s="52">
        <f>110.67+100*$B$5/$B$4</f>
        <v/>
      </c>
      <c r="L42" s="51" t="inlineStr">
        <is>
          <t>Spring 9C7758 $110.67 + 100 CNY bag</t>
        </is>
      </c>
      <c r="M42" s="53">
        <f>IF(K42="","",(G42-K42)*$B$4)</f>
        <v/>
      </c>
      <c r="N42" s="54" t="inlineStr">
        <is>
          <t>Yes – cheaper with bag, arrives morning</t>
        </is>
      </c>
      <c r="O42" s="55" t="inlineStr">
        <is>
          <t>https://www.trip.com/flights/showfarefirst?dcity=nkg&amp;acity=she&amp;ddate=2026-11-13&amp;triptype=ow&amp;class=y&amp;quantity=1&amp;curr=USD</t>
        </is>
      </c>
    </row>
    <row r="43">
      <c r="A43" s="51" t="inlineStr">
        <is>
          <t>Nanjing → Shenyang</t>
        </is>
      </c>
      <c r="B43" s="51" t="inlineStr">
        <is>
          <t>13 Nov 2026</t>
        </is>
      </c>
      <c r="C43" s="51" t="inlineStr">
        <is>
          <t>Shenzhen Airlines</t>
        </is>
      </c>
      <c r="D43" s="51" t="inlineStr">
        <is>
          <t>19:25–21:30</t>
        </is>
      </c>
      <c r="E43" s="51" t="inlineStr">
        <is>
          <t>2 h 05 min</t>
        </is>
      </c>
      <c r="F43" s="51" t="inlineStr">
        <is>
          <t>Nonstop (bag incl.)</t>
        </is>
      </c>
      <c r="G43" s="52" t="n">
        <v>129</v>
      </c>
      <c r="H43" s="53">
        <f>G43*$B$4</f>
        <v/>
      </c>
      <c r="I43" s="53">
        <f>H43*$B$6</f>
        <v/>
      </c>
      <c r="J43" s="53">
        <f>H43*$B$7</f>
        <v/>
      </c>
      <c r="K43" s="52" t="n">
        <v>142</v>
      </c>
      <c r="L43" s="51" t="inlineStr">
        <is>
          <t>SlickTrip ZH9700 (skill)</t>
        </is>
      </c>
      <c r="M43" s="53">
        <f>IF(K43="","",(G43-K43)*$B$4)</f>
        <v/>
      </c>
      <c r="N43" s="51" t="inlineStr">
        <is>
          <t>Backup – evening departure</t>
        </is>
      </c>
      <c r="O43" s="55" t="inlineStr">
        <is>
          <t>https://www.trip.com/flights/showfarefirst?dcity=nkg&amp;acity=she&amp;ddate=2026-11-13&amp;triptype=ow&amp;class=y&amp;quantity=1&amp;curr=USD</t>
        </is>
      </c>
    </row>
    <row r="44">
      <c r="A44" s="51" t="inlineStr">
        <is>
          <t>UB → Beijing (PEK)</t>
        </is>
      </c>
      <c r="B44" s="51" t="inlineStr">
        <is>
          <t>25 Jan 2027</t>
        </is>
      </c>
      <c r="C44" s="51" t="inlineStr">
        <is>
          <t>MIAT</t>
        </is>
      </c>
      <c r="D44" s="51" t="inlineStr">
        <is>
          <t>08:15–10:30</t>
        </is>
      </c>
      <c r="E44" s="51" t="inlineStr">
        <is>
          <t>2 h 15 min</t>
        </is>
      </c>
      <c r="F44" s="51" t="inlineStr">
        <is>
          <t>Nonstop</t>
        </is>
      </c>
      <c r="G44" s="52" t="n">
        <v>150</v>
      </c>
      <c r="H44" s="53">
        <f>G44*$B$4</f>
        <v/>
      </c>
      <c r="I44" s="53">
        <f>H44*$B$6</f>
        <v/>
      </c>
      <c r="J44" s="53">
        <f>H44*$B$7</f>
        <v/>
      </c>
      <c r="K44" s="52" t="n">
        <v>154</v>
      </c>
      <c r="L44" s="51" t="inlineStr">
        <is>
          <t>SlickTrip MIAT fare (skill)</t>
        </is>
      </c>
      <c r="M44" s="53">
        <f>IF(K44="","",(G44-K44)*$B$4)</f>
        <v/>
      </c>
      <c r="N44" s="54" t="inlineStr">
        <is>
          <t>Yes – EC Final outbound</t>
        </is>
      </c>
      <c r="O44" s="55" t="inlineStr">
        <is>
          <t>https://www.trip.com/flights/showfarefirst?dcity=ubn&amp;acity=bjs&amp;ddate=2027-01-25&amp;triptype=ow&amp;class=y&amp;quantity=1&amp;curr=USD</t>
        </is>
      </c>
    </row>
    <row r="45">
      <c r="A45" s="51" t="inlineStr">
        <is>
          <t>Beijing (PEK) → UB</t>
        </is>
      </c>
      <c r="B45" s="51" t="inlineStr">
        <is>
          <t>30 Jan 2027</t>
        </is>
      </c>
      <c r="C45" s="51" t="inlineStr">
        <is>
          <t>MIAT</t>
        </is>
      </c>
      <c r="D45" s="51" t="inlineStr">
        <is>
          <t>11:30–13:50</t>
        </is>
      </c>
      <c r="E45" s="51" t="inlineStr">
        <is>
          <t>2 h 20 min</t>
        </is>
      </c>
      <c r="F45" s="51" t="inlineStr">
        <is>
          <t>Nonstop</t>
        </is>
      </c>
      <c r="G45" s="52" t="n">
        <v>219</v>
      </c>
      <c r="H45" s="53">
        <f>G45*$B$4</f>
        <v/>
      </c>
      <c r="I45" s="53">
        <f>H45*$B$6</f>
        <v/>
      </c>
      <c r="J45" s="53">
        <f>H45*$B$7</f>
        <v/>
      </c>
      <c r="K45" s="52" t="n">
        <v>223</v>
      </c>
      <c r="L45" s="51" t="inlineStr">
        <is>
          <t>SlickTrip MIAT 30 Jan (plan)</t>
        </is>
      </c>
      <c r="M45" s="53">
        <f>IF(K45="","",(G45-K45)*$B$4)</f>
        <v/>
      </c>
      <c r="N45" s="54" t="inlineStr">
        <is>
          <t>Yes – EC Final return (Air China 08:10 is $416)</t>
        </is>
      </c>
      <c r="O45" s="55" t="inlineStr">
        <is>
          <t>https://www.trip.com/flights/showfarefirst?dcity=bjs&amp;acity=ubn&amp;ddate=2027-01-30&amp;triptype=ow&amp;class=y&amp;quantity=1&amp;curr=USD</t>
        </is>
      </c>
    </row>
    <row r="47">
      <c r="A47" s="56" t="inlineStr">
        <is>
          <t>• Nanjing → Shenyang: China Eastern 07:40 ($121, bag included) beats Spring Airlines + bag fee and lands 14 h earlier.</t>
        </is>
      </c>
    </row>
    <row r="49">
      <c r="A49" s="49" t="inlineStr">
        <is>
          <t>EC Final domestic legs &amp; through tickets – checked 1 Oct 2026 in CNY (shown here in $)</t>
        </is>
      </c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</row>
    <row r="50">
      <c r="A50" s="51" t="inlineStr">
        <is>
          <t>Beijing → Hangzhou</t>
        </is>
      </c>
      <c r="B50" s="51" t="inlineStr">
        <is>
          <t>25 Jan 2027</t>
        </is>
      </c>
      <c r="C50" s="51" t="inlineStr">
        <is>
          <t>Air China</t>
        </is>
      </c>
      <c r="D50" s="51" t="inlineStr">
        <is>
          <t>21:30–00:05 (+1)</t>
        </is>
      </c>
      <c r="E50" s="51" t="inlineStr">
        <is>
          <t>2 h 35 min</t>
        </is>
      </c>
      <c r="F50" s="51" t="inlineStr">
        <is>
          <t>Nonstop</t>
        </is>
      </c>
      <c r="G50" s="52">
        <f>2265*$B$5/$B$4</f>
        <v/>
      </c>
      <c r="H50" s="53">
        <f>G50*$B$4</f>
        <v/>
      </c>
      <c r="I50" s="53">
        <f>H50*$B$6</f>
        <v/>
      </c>
      <c r="J50" s="53">
        <f>H50*$B$7</f>
        <v/>
      </c>
      <c r="K50" s="52">
        <f>700*$B$5/$B$4</f>
        <v/>
      </c>
      <c r="L50" s="51" t="inlineStr">
        <is>
          <t>ASSUMPTION ¥700 used in the old Fly plan</t>
        </is>
      </c>
      <c r="M50" s="53">
        <f>IF(K50="","",(G50-K50)*$B$4)</f>
        <v/>
      </c>
      <c r="N50" s="51" t="inlineStr">
        <is>
          <t>No – lands after midnight; use the through ticket</t>
        </is>
      </c>
      <c r="O50" s="55" t="inlineStr">
        <is>
          <t>https://www.trip.com/flights/showfarefirst?dcity=bjs&amp;acity=hgh&amp;ddate=2027-01-25&amp;triptype=ow&amp;class=y&amp;quantity=1&amp;curr=CNY</t>
        </is>
      </c>
    </row>
    <row r="51">
      <c r="A51" s="51" t="inlineStr">
        <is>
          <t>Beijing → Hangzhou</t>
        </is>
      </c>
      <c r="B51" s="51" t="inlineStr">
        <is>
          <t>26 Jan 2027</t>
        </is>
      </c>
      <c r="C51" s="51" t="inlineStr">
        <is>
          <t>Shandong Airlines</t>
        </is>
      </c>
      <c r="D51" s="51" t="inlineStr">
        <is>
          <t>18:35–20:40</t>
        </is>
      </c>
      <c r="E51" s="51" t="inlineStr">
        <is>
          <t>2 h 05 min</t>
        </is>
      </c>
      <c r="F51" s="51" t="inlineStr">
        <is>
          <t>Nonstop</t>
        </is>
      </c>
      <c r="G51" s="52">
        <f>1286*$B$5/$B$4</f>
        <v/>
      </c>
      <c r="H51" s="53">
        <f>G51*$B$4</f>
        <v/>
      </c>
      <c r="I51" s="53">
        <f>H51*$B$6</f>
        <v/>
      </c>
      <c r="J51" s="53">
        <f>H51*$B$7</f>
        <v/>
      </c>
      <c r="K51" s="52">
        <f>700*$B$5/$B$4</f>
        <v/>
      </c>
      <c r="L51" s="51" t="inlineStr">
        <is>
          <t>ASSUMPTION ¥700 used in the old Fly plan</t>
        </is>
      </c>
      <c r="M51" s="53">
        <f>IF(K51="","",(G51-K51)*$B$4)</f>
        <v/>
      </c>
      <c r="N51" s="51" t="inlineStr">
        <is>
          <t>No – lands after EC Final day 1</t>
        </is>
      </c>
      <c r="O51" s="55" t="inlineStr">
        <is>
          <t>https://www.trip.com/flights/showfarefirst?dcity=bjs&amp;acity=hgh&amp;ddate=2027-01-26&amp;triptype=ow&amp;class=y&amp;quantity=1&amp;curr=CNY</t>
        </is>
      </c>
    </row>
    <row r="52">
      <c r="A52" s="51" t="inlineStr">
        <is>
          <t>Hangzhou → Beijing</t>
        </is>
      </c>
      <c r="B52" s="51" t="inlineStr">
        <is>
          <t>29 Jan 2027</t>
        </is>
      </c>
      <c r="C52" s="51" t="inlineStr">
        <is>
          <t>Air China</t>
        </is>
      </c>
      <c r="D52" s="51" t="inlineStr">
        <is>
          <t>07:00–11:00 hourly</t>
        </is>
      </c>
      <c r="E52" s="51" t="inlineStr">
        <is>
          <t>2 h 20 min</t>
        </is>
      </c>
      <c r="F52" s="51" t="inlineStr">
        <is>
          <t>Nonstop</t>
        </is>
      </c>
      <c r="G52" s="52">
        <f>1809*$B$5/$B$4</f>
        <v/>
      </c>
      <c r="H52" s="53">
        <f>G52*$B$4</f>
        <v/>
      </c>
      <c r="I52" s="53">
        <f>H52*$B$6</f>
        <v/>
      </c>
      <c r="J52" s="53">
        <f>H52*$B$7</f>
        <v/>
      </c>
      <c r="K52" s="52">
        <f>700*$B$5/$B$4</f>
        <v/>
      </c>
      <c r="L52" s="51" t="inlineStr">
        <is>
          <t>ASSUMPTION ¥700 used in the old Fly plan</t>
        </is>
      </c>
      <c r="M52" s="53">
        <f>IF(K52="","",(G52-K52)*$B$4)</f>
        <v/>
      </c>
      <c r="N52" s="51" t="inlineStr">
        <is>
          <t>No – use the through ticket</t>
        </is>
      </c>
      <c r="O52" s="55" t="inlineStr">
        <is>
          <t>https://www.trip.com/flights/showfarefirst?dcity=hgh&amp;acity=bjs&amp;ddate=2027-01-29&amp;triptype=ow&amp;class=y&amp;quantity=1&amp;curr=CNY</t>
        </is>
      </c>
    </row>
    <row r="53">
      <c r="A53" s="51" t="inlineStr">
        <is>
          <t>UB → Hangzhou (through)</t>
        </is>
      </c>
      <c r="B53" s="51" t="inlineStr">
        <is>
          <t>25 Jan 2027</t>
        </is>
      </c>
      <c r="C53" s="51" t="inlineStr">
        <is>
          <t>Air China via PEK</t>
        </is>
      </c>
      <c r="D53" s="51" t="inlineStr">
        <is>
          <t>11:50–18:45</t>
        </is>
      </c>
      <c r="E53" s="51" t="inlineStr">
        <is>
          <t>6 h 55 min</t>
        </is>
      </c>
      <c r="F53" s="51" t="inlineStr">
        <is>
          <t>1 (2 h 35 min PEK)</t>
        </is>
      </c>
      <c r="G53" s="52">
        <f>3265*$B$5/$B$4</f>
        <v/>
      </c>
      <c r="H53" s="53">
        <f>G53*$B$4</f>
        <v/>
      </c>
      <c r="I53" s="53">
        <f>H53*$B$6</f>
        <v/>
      </c>
      <c r="J53" s="53">
        <f>H53*$B$7</f>
        <v/>
      </c>
      <c r="K53" s="52">
        <f>150+700*$B$5/$B$4</f>
        <v/>
      </c>
      <c r="L53" s="51" t="inlineStr">
        <is>
          <t>MIAT $150 + ¥700 (old Fly plan)</t>
        </is>
      </c>
      <c r="M53" s="53">
        <f>IF(K53="","",(G53-K53)*$B$4)</f>
        <v/>
      </c>
      <c r="N53" s="54" t="inlineStr">
        <is>
          <t>Yes – one ticket, bags through</t>
        </is>
      </c>
      <c r="O53" s="55" t="inlineStr">
        <is>
          <t>https://www.trip.com/flights/showfarefirst?dcity=ubn&amp;acity=hgh&amp;ddate=2027-01-25&amp;triptype=ow&amp;class=y&amp;quantity=1&amp;curr=CNY</t>
        </is>
      </c>
    </row>
    <row r="54">
      <c r="A54" s="51" t="inlineStr">
        <is>
          <t>UB → Hangzhou</t>
        </is>
      </c>
      <c r="B54" s="51" t="inlineStr">
        <is>
          <t>25 Jan 2027</t>
        </is>
      </c>
      <c r="C54" s="51" t="inlineStr">
        <is>
          <t>MIAT + Hong Kong Airlines</t>
        </is>
      </c>
      <c r="D54" s="51" t="inlineStr">
        <is>
          <t>14:50–23:40</t>
        </is>
      </c>
      <c r="E54" s="51" t="inlineStr">
        <is>
          <t>8 h 50 min</t>
        </is>
      </c>
      <c r="F54" s="51" t="inlineStr">
        <is>
          <t>1 (1 h 45 min HKG)</t>
        </is>
      </c>
      <c r="G54" s="52">
        <f>2721*$B$5/$B$4</f>
        <v/>
      </c>
      <c r="H54" s="53">
        <f>G54*$B$4</f>
        <v/>
      </c>
      <c r="I54" s="53">
        <f>H54*$B$6</f>
        <v/>
      </c>
      <c r="J54" s="53">
        <f>H54*$B$7</f>
        <v/>
      </c>
      <c r="K54" s="52">
        <f>150+700*$B$5/$B$4</f>
        <v/>
      </c>
      <c r="L54" s="51" t="inlineStr">
        <is>
          <t>MIAT $150 + ¥700 (old Fly plan)</t>
        </is>
      </c>
      <c r="M54" s="53">
        <f>IF(K54="","",(G54-K54)*$B$4)</f>
        <v/>
      </c>
      <c r="N54" s="51" t="inlineStr">
        <is>
          <t>Backup – cheaper but lands 23:40</t>
        </is>
      </c>
      <c r="O54" s="55" t="inlineStr">
        <is>
          <t>https://www.trip.com/flights/showfarefirst?dcity=ubn&amp;acity=hgh&amp;ddate=2027-01-25&amp;triptype=ow&amp;class=y&amp;quantity=1&amp;curr=CNY</t>
        </is>
      </c>
    </row>
    <row r="55">
      <c r="A55" s="51" t="inlineStr">
        <is>
          <t>Hangzhou → UB (through)</t>
        </is>
      </c>
      <c r="B55" s="51" t="inlineStr">
        <is>
          <t>29 Jan 2027</t>
        </is>
      </c>
      <c r="C55" s="51" t="inlineStr">
        <is>
          <t>Air China via PEK</t>
        </is>
      </c>
      <c r="D55" s="51" t="inlineStr">
        <is>
          <t>08:00–15:05</t>
        </is>
      </c>
      <c r="E55" s="51" t="inlineStr">
        <is>
          <t>7 h 05 min</t>
        </is>
      </c>
      <c r="F55" s="51" t="inlineStr">
        <is>
          <t>1 (2 h 35 min PEK)</t>
        </is>
      </c>
      <c r="G55" s="52">
        <f>2250*$B$5/$B$4</f>
        <v/>
      </c>
      <c r="H55" s="53">
        <f>G55*$B$4</f>
        <v/>
      </c>
      <c r="I55" s="53">
        <f>H55*$B$6</f>
        <v/>
      </c>
      <c r="J55" s="53">
        <f>H55*$B$7</f>
        <v/>
      </c>
      <c r="K55" s="52">
        <f>219+700*$B$5/$B$4</f>
        <v/>
      </c>
      <c r="L55" s="51" t="inlineStr">
        <is>
          <t>¥700 + MIAT 30 Jan $219 (+ Beijing night)</t>
        </is>
      </c>
      <c r="M55" s="53">
        <f>IF(K55="","",(G55-K55)*$B$4)</f>
        <v/>
      </c>
      <c r="N55" s="54" t="inlineStr">
        <is>
          <t>Yes – home same day</t>
        </is>
      </c>
      <c r="O55" s="55" t="inlineStr">
        <is>
          <t>https://www.trip.com/flights/showfarefirst?dcity=hgh&amp;acity=ubn&amp;ddate=2027-01-29&amp;triptype=ow&amp;class=y&amp;quantity=1&amp;curr=CNY</t>
        </is>
      </c>
    </row>
    <row r="57">
      <c r="A57" s="56" t="inlineStr">
        <is>
          <t>• EC Final: the ¥700 domestic fare is not on sale for 25 Jan (Spring Festival rush). Air China through tickets (¥3,265 out, ¥2,250 back) are the cheapest options that fit the schedule.</t>
        </is>
      </c>
    </row>
    <row r="59">
      <c r="A59" s="49" t="inlineStr">
        <is>
          <t>Nanjing / Shenyang through tickets – checked 1 Oct 2026 (not used: separate tickets are cheaper)</t>
        </is>
      </c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</row>
    <row r="60">
      <c r="A60" s="51" t="inlineStr">
        <is>
          <t>Shenyang → UB (through)</t>
        </is>
      </c>
      <c r="B60" s="51" t="inlineStr">
        <is>
          <t>16 Nov 2026</t>
        </is>
      </c>
      <c r="C60" s="51" t="inlineStr">
        <is>
          <t>Air China via PEK</t>
        </is>
      </c>
      <c r="D60" s="51" t="inlineStr">
        <is>
          <t>09:00–15:05</t>
        </is>
      </c>
      <c r="E60" s="51" t="inlineStr">
        <is>
          <t>6 h 05 min</t>
        </is>
      </c>
      <c r="F60" s="51" t="inlineStr">
        <is>
          <t>1 (2 h 10 min PEK)</t>
        </is>
      </c>
      <c r="G60" s="52" t="n">
        <v>286</v>
      </c>
      <c r="H60" s="53">
        <f>G60*$B$4</f>
        <v/>
      </c>
      <c r="I60" s="53">
        <f>H60*$B$6</f>
        <v/>
      </c>
      <c r="J60" s="53">
        <f>H60*$B$7</f>
        <v/>
      </c>
      <c r="K60" s="52">
        <f>171+339*$B$5/$B$4+100*$B$5/$B$4</f>
        <v/>
      </c>
      <c r="L60" s="51" t="inlineStr">
        <is>
          <t>Train ¥339 + Beijing night ~¥100 pp + Air China $171</t>
        </is>
      </c>
      <c r="M60" s="53">
        <f>IF(K60="","",(G60-K60)*$B$4)</f>
        <v/>
      </c>
      <c r="N60" s="51" t="inlineStr">
        <is>
          <t>Only if the closing runs late</t>
        </is>
      </c>
      <c r="O60" s="55" t="inlineStr">
        <is>
          <t>https://www.trip.com/flights/showfarefirst?dcity=she&amp;acity=ubn&amp;ddate=2026-11-16&amp;triptype=ow&amp;class=y&amp;quantity=1&amp;curr=USD</t>
        </is>
      </c>
    </row>
    <row r="61">
      <c r="A61" s="51" t="inlineStr">
        <is>
          <t>UB → Nanjing (through)</t>
        </is>
      </c>
      <c r="B61" s="51" t="inlineStr">
        <is>
          <t>6 Nov 2026</t>
        </is>
      </c>
      <c r="C61" s="51" t="inlineStr">
        <is>
          <t>Air China via PEK</t>
        </is>
      </c>
      <c r="D61" s="51" t="inlineStr">
        <is>
          <t>16:10–22:50</t>
        </is>
      </c>
      <c r="E61" s="51" t="inlineStr">
        <is>
          <t>6 h 40 min</t>
        </is>
      </c>
      <c r="F61" s="51" t="inlineStr">
        <is>
          <t>1 (2 h 40 min PEK)</t>
        </is>
      </c>
      <c r="G61" s="52" t="n">
        <v>353</v>
      </c>
      <c r="H61" s="53">
        <f>G61*$B$4</f>
        <v/>
      </c>
      <c r="I61" s="53">
        <f>H61*$B$6</f>
        <v/>
      </c>
      <c r="J61" s="53">
        <f>H61*$B$7</f>
        <v/>
      </c>
      <c r="K61" s="52">
        <f>150+504*$B$5/$B$4+100*$B$5/$B$4</f>
        <v/>
      </c>
      <c r="L61" s="51" t="inlineStr">
        <is>
          <t>MIAT $150 + Beijing night ~¥100 pp + fast train ¥504</t>
        </is>
      </c>
      <c r="M61" s="53">
        <f>IF(K61="","",(G61-K61)*$B$4)</f>
        <v/>
      </c>
      <c r="N61" s="51" t="inlineStr">
        <is>
          <t>No</t>
        </is>
      </c>
      <c r="O61" s="55" t="inlineStr">
        <is>
          <t>https://www.trip.com/flights/showfarefirst?dcity=ubn&amp;acity=nkg&amp;ddate=2026-11-06&amp;triptype=ow&amp;class=y&amp;quantity=1&amp;curr=USD</t>
        </is>
      </c>
    </row>
    <row r="62">
      <c r="A62" s="51" t="inlineStr">
        <is>
          <t>UB → Nanjing</t>
        </is>
      </c>
      <c r="B62" s="51" t="inlineStr">
        <is>
          <t>6 Nov 2026</t>
        </is>
      </c>
      <c r="C62" s="51" t="inlineStr">
        <is>
          <t>Spring + China Eastern via PVG</t>
        </is>
      </c>
      <c r="D62" s="51" t="inlineStr">
        <is>
          <t>13:00–23:55</t>
        </is>
      </c>
      <c r="E62" s="51" t="inlineStr">
        <is>
          <t>10 h 55 min</t>
        </is>
      </c>
      <c r="F62" s="51" t="inlineStr">
        <is>
          <t>1 (6 h 05 min Shanghai)</t>
        </is>
      </c>
      <c r="G62" s="52" t="n">
        <v>208</v>
      </c>
      <c r="H62" s="53">
        <f>G62*$B$4</f>
        <v/>
      </c>
      <c r="I62" s="53">
        <f>H62*$B$6</f>
        <v/>
      </c>
      <c r="J62" s="53">
        <f>H62*$B$7</f>
        <v/>
      </c>
      <c r="K62" s="52">
        <f>150+504*$B$5/$B$4+100*$B$5/$B$4</f>
        <v/>
      </c>
      <c r="L62" s="51" t="inlineStr">
        <is>
          <t>MIAT $150 + Beijing night ~¥100 pp + fast train ¥504</t>
        </is>
      </c>
      <c r="M62" s="53">
        <f>IF(K62="","",(G62-K62)*$B$4)</f>
        <v/>
      </c>
      <c r="N62" s="51" t="inlineStr">
        <is>
          <t>No – hand baggage only, lands 23:55</t>
        </is>
      </c>
      <c r="O62" s="55" t="inlineStr">
        <is>
          <t>https://www.trip.com/flights/showfarefirst?dcity=ubn&amp;acity=nkg&amp;ddate=2026-11-06&amp;triptype=ow&amp;class=y&amp;quantity=1&amp;curr=USD</t>
        </is>
      </c>
    </row>
    <row r="63">
      <c r="A63" s="51" t="inlineStr">
        <is>
          <t>Nanjing → UB</t>
        </is>
      </c>
      <c r="B63" s="51" t="inlineStr">
        <is>
          <t>10 Nov 2026</t>
        </is>
      </c>
      <c r="C63" s="51" t="inlineStr">
        <is>
          <t>Air China + MIAT via PEK</t>
        </is>
      </c>
      <c r="D63" s="51" t="inlineStr">
        <is>
          <t>11:15–23:05</t>
        </is>
      </c>
      <c r="E63" s="51" t="inlineStr">
        <is>
          <t>11 h 50 min</t>
        </is>
      </c>
      <c r="F63" s="51" t="inlineStr">
        <is>
          <t>1 (7 h 30 min PEK)</t>
        </is>
      </c>
      <c r="G63" s="52" t="n">
        <v>360</v>
      </c>
      <c r="H63" s="53">
        <f>G63*$B$4</f>
        <v/>
      </c>
      <c r="I63" s="53">
        <f>H63*$B$6</f>
        <v/>
      </c>
      <c r="J63" s="53">
        <f>H63*$B$7</f>
        <v/>
      </c>
      <c r="K63" s="52">
        <f>219+504*$B$5/$B$4</f>
        <v/>
      </c>
      <c r="L63" s="51" t="inlineStr">
        <is>
          <t>Fast train ¥504 + MIAT $219</t>
        </is>
      </c>
      <c r="M63" s="53">
        <f>IF(K63="","",(G63-K63)*$B$4)</f>
        <v/>
      </c>
      <c r="N63" s="51" t="inlineStr">
        <is>
          <t>No</t>
        </is>
      </c>
      <c r="O63" s="55" t="inlineStr">
        <is>
          <t>https://www.trip.com/flights/showfarefirst?dcity=nkg&amp;acity=ubn&amp;ddate=2026-11-10&amp;triptype=ow&amp;class=y&amp;quantity=1&amp;curr=USD</t>
        </is>
      </c>
    </row>
  </sheetData>
  <hyperlinks>
    <hyperlink xmlns:r="http://schemas.openxmlformats.org/officeDocument/2006/relationships" ref="O11" display="https://www.trip.com/flights/showfarefirst?dcity=ubn&amp;acity=bjs&amp;ddate=2026-11-12&amp;triptype=ow&amp;class=y&amp;quantity=1&amp;curr=USD" r:id="rId1"/>
    <hyperlink xmlns:r="http://schemas.openxmlformats.org/officeDocument/2006/relationships" ref="O12" display="https://www.trip.com/flights/showfarefirst?dcity=ubn&amp;acity=bjs&amp;ddate=2026-11-12&amp;triptype=ow&amp;class=y&amp;quantity=1&amp;curr=USD" r:id="rId2"/>
    <hyperlink xmlns:r="http://schemas.openxmlformats.org/officeDocument/2006/relationships" ref="O13" display="https://www.trip.com/flights/showfarefirst?dcity=bjs&amp;acity=ubn&amp;ddate=2026-11-16&amp;triptype=ow&amp;class=y&amp;quantity=1&amp;curr=USD" r:id="rId3"/>
    <hyperlink xmlns:r="http://schemas.openxmlformats.org/officeDocument/2006/relationships" ref="O14" display="https://www.trip.com/flights/showfarefirst?dcity=bjs&amp;acity=ubn&amp;ddate=2026-11-16&amp;triptype=ow&amp;class=y&amp;quantity=1&amp;curr=USD" r:id="rId4"/>
    <hyperlink xmlns:r="http://schemas.openxmlformats.org/officeDocument/2006/relationships" ref="O15" display="https://www.trip.com/flights/showfarefirst?dcity=ubn&amp;acity=she&amp;ddate=2026-11-12&amp;triptype=ow&amp;class=y&amp;quantity=1&amp;curr=USD" r:id="rId5"/>
    <hyperlink xmlns:r="http://schemas.openxmlformats.org/officeDocument/2006/relationships" ref="O16" display="https://www.trip.com/flights/showfarefirst?dcity=ubn&amp;acity=she&amp;ddate=2026-11-12&amp;triptype=ow&amp;class=y&amp;quantity=1&amp;curr=USD" r:id="rId6"/>
    <hyperlink xmlns:r="http://schemas.openxmlformats.org/officeDocument/2006/relationships" ref="O18" display="https://www.trip.com/flights/showfarefirst?dcity=ubn&amp;acity=hkg&amp;ddate=2027-01-08&amp;rdate=2027-01-11&amp;triptype=rt&amp;class=y&amp;quantity=1&amp;curr=USD" r:id="rId7"/>
    <hyperlink xmlns:r="http://schemas.openxmlformats.org/officeDocument/2006/relationships" ref="O20" display="https://www.trip.com/flights/showfarefirst?dcity=bjs&amp;acity=hgh&amp;ddate=2027-01-25&amp;triptype=ow&amp;class=y&amp;quantity=1&amp;curr=USD" r:id="rId8"/>
    <hyperlink xmlns:r="http://schemas.openxmlformats.org/officeDocument/2006/relationships" ref="O21" display="https://www.trip.com/flights/showfarefirst?dcity=hgh&amp;acity=bjs&amp;ddate=2027-01-28&amp;triptype=ow&amp;class=y&amp;quantity=1&amp;curr=USD" r:id="rId9"/>
    <hyperlink xmlns:r="http://schemas.openxmlformats.org/officeDocument/2006/relationships" ref="O22" display="https://www.trip.com/flights/showfarefirst?dcity=hgh&amp;acity=bjs&amp;ddate=2027-01-28&amp;triptype=ow&amp;class=y&amp;quantity=1&amp;curr=USD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10" customWidth="1" style="25" min="2" max="2"/>
  </cols>
  <sheetData>
    <row r="1" ht="17.35" customHeight="1" s="26">
      <c r="A1" s="27" t="inlineStr">
        <is>
          <t>About the 'Open platform (Trip.com)' connection</t>
        </is>
      </c>
    </row>
    <row r="3" ht="15" customHeight="1" s="26">
      <c r="A3" s="57" t="inlineStr">
        <is>
          <t>What it is</t>
        </is>
      </c>
      <c r="B3" s="58" t="inlineStr">
        <is>
          <t>A Bright Data web-scraping service (search engine + page unlocker), not an official Trip.com flight API.</t>
        </is>
      </c>
    </row>
    <row r="4" ht="39.55" customHeight="1" s="26">
      <c r="A4" s="57" t="inlineStr">
        <is>
          <t>What works</t>
        </is>
      </c>
      <c r="B4" s="58" t="inlineStr">
        <is>
          <t>Trip.com live search pages: www.trip.com/flights/showfarefirst?dcity=…&amp;acity=…&amp;ddate=YYYY-MM-DD&amp;triptype=ow&amp;class=y&amp;quantity=1&amp;curr=USD (use triptype=rt&amp;rdate=… for return). Route pages like /flights/beijing-to-hangzhou/airfares-bjs-hgh/ also work.</t>
        </is>
      </c>
    </row>
    <row r="5" ht="15" customHeight="1" s="26">
      <c r="A5" s="57" t="inlineStr">
        <is>
          <t>What it fixed</t>
        </is>
      </c>
      <c r="B5" s="58" t="inlineStr">
        <is>
          <t>Prices Air China and other carriers that SlickTrip returned as $0 (unpriced).</t>
        </is>
      </c>
    </row>
    <row r="6" ht="26.85" customHeight="1" s="26">
      <c r="A6" s="57" t="inlineStr">
        <is>
          <t>What fails</t>
        </is>
      </c>
      <c r="B6" s="58" t="inlineStr">
        <is>
          <t>Chinese Ctrip (flights.ctrip.com) – blocked unless the Bright Data account completes their KYC check. Old-style Trip.com URLs like /airfares-ubn-bjs/ return 404.</t>
        </is>
      </c>
    </row>
    <row r="7" ht="26.85" customHeight="1" s="26">
      <c r="A7" s="57" t="inlineStr">
        <is>
          <t>Limit</t>
        </is>
      </c>
      <c r="B7" s="58" t="inlineStr">
        <is>
          <t>Trip.com's international site sells the same inflated foreign-market domestic fares as SlickTrip for dates months ahead (~$270–380 vs ~¥470–700 real).</t>
        </is>
      </c>
    </row>
    <row r="8" ht="15" customHeight="1" s="26">
      <c r="A8" s="57" t="inlineStr">
        <is>
          <t>Output size</t>
        </is>
      </c>
      <c r="B8" s="58" t="inlineStr">
        <is>
          <t>Each search page is large; scrape 2 pages per batch to avoid truncation.</t>
        </is>
      </c>
    </row>
    <row r="9" ht="15" customHeight="1" s="26">
      <c r="A9" s="57" t="inlineStr">
        <is>
          <t>Exchange rates</t>
        </is>
      </c>
      <c r="B9" s="58" t="inlineStr">
        <is>
          <t>USD 3,598 ₮; CNY 536 ₮ (late Sep 2026, mid-market).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2026-09-30T15:03:00Z</dcterms:created>
  <dcterms:modified xsi:type="dcterms:W3CDTF">2026-10-01T05:24:09Z</dcterms:modified>
  <cp:revision>0</cp:revision>
</cp:coreProperties>
</file>