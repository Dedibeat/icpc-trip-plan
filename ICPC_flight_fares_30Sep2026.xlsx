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light fares" sheetId="1" state="visible" r:id="rId1"/>
    <sheet xmlns:r="http://schemas.openxmlformats.org/officeDocument/2006/relationships" name="Connector notes" sheetId="2" state="visible" r:id="rId2"/>
    <sheet xmlns:r="http://schemas.openxmlformats.org/officeDocument/2006/relationships" name="Trains &amp; hotels" sheetId="3" state="visible" r:id="rId3"/>
    <sheet xmlns:r="http://schemas.openxmlformats.org/officeDocument/2006/relationships" name="12306 &amp; ChinaTicketOnline" sheetId="4" state="visible" r:id="rId4"/>
    <sheet xmlns:r="http://schemas.openxmlformats.org/officeDocument/2006/relationships" name="10 Oct – Dec &amp; Jan checks" sheetId="5" state="visible" r:id="rId5"/>
    <sheet xmlns:r="http://schemas.openxmlformats.org/officeDocument/2006/relationships" name="Shenyang hotels by distanc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#,##0&quot; ₮&quot;;\(#,##0&quot; ₮)&quot;;\-"/>
    <numFmt numFmtId="166" formatCode="#,##0&quot; ₮&quot;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color theme="1"/>
      <sz val="11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563C1"/>
      <sz val="11"/>
      <u val="single"/>
    </font>
    <font>
      <name val="Arial"/>
      <charset val="1"/>
      <family val="0"/>
      <b val="1"/>
      <sz val="12"/>
    </font>
    <font>
      <b val="1"/>
      <sz val="13"/>
    </font>
    <font>
      <b val="1"/>
    </font>
    <font>
      <color rgb="000000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FF0000FF"/>
      <sz val="10"/>
    </font>
    <font>
      <name val="Arial"/>
      <color rgb="FF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00DDEBF7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1" fontId="9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7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164" fontId="8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1" fontId="9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7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164" fontId="8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8" fillId="0" borderId="0" pivotButton="0" quotePrefix="0" xfId="0"/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6" borderId="0" applyAlignment="1" pivotButton="0" quotePrefix="0" xfId="0">
      <alignment vertical="top" wrapText="1"/>
    </xf>
    <xf numFmtId="0" fontId="14" fillId="6" borderId="0" pivotButton="0" quotePrefix="0" xfId="0"/>
    <xf numFmtId="9" fontId="0" fillId="0" borderId="0" applyAlignment="1" pivotButton="0" quotePrefix="0" xfId="0">
      <alignment vertical="top" wrapText="1"/>
    </xf>
    <xf numFmtId="0" fontId="15" fillId="0" borderId="0" pivotButton="0" quotePrefix="0" xfId="0"/>
    <xf numFmtId="2" fontId="0" fillId="0" borderId="0" pivotButton="0" quotePrefix="0" xfId="0"/>
    <xf numFmtId="0" fontId="14" fillId="0" borderId="0" pivotButton="0" quotePrefix="0" xfId="0"/>
    <xf numFmtId="0" fontId="14" fillId="6" borderId="0" applyAlignment="1" pivotButton="0" quotePrefix="0" xfId="0">
      <alignment wrapText="1"/>
    </xf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0" borderId="0" pivotButton="0" quotePrefix="0" xfId="0"/>
    <xf numFmtId="0" fontId="17" fillId="0" borderId="0" pivotButton="0" quotePrefix="0" xfId="0"/>
    <xf numFmtId="0" fontId="18" fillId="7" borderId="0" applyAlignment="1" pivotButton="0" quotePrefix="0" xfId="0">
      <alignment vertical="top" wrapText="1"/>
    </xf>
    <xf numFmtId="0" fontId="18" fillId="8" borderId="0" applyAlignment="1" pivotButton="0" quotePrefix="0" xfId="0">
      <alignment vertical="top" wrapText="1"/>
    </xf>
    <xf numFmtId="0" fontId="17" fillId="8" borderId="0" applyAlignment="1" pivotButton="0" quotePrefix="0" xfId="0">
      <alignment vertical="top" wrapText="1"/>
    </xf>
    <xf numFmtId="2" fontId="17" fillId="0" borderId="0" applyAlignment="1" pivotButton="0" quotePrefix="0" xfId="0">
      <alignment vertical="top" wrapText="1"/>
    </xf>
    <xf numFmtId="3" fontId="19" fillId="0" borderId="0" applyAlignment="1" pivotButton="0" quotePrefix="0" xfId="0">
      <alignment vertical="top" wrapText="1"/>
    </xf>
    <xf numFmtId="166" fontId="17" fillId="0" borderId="0" applyAlignment="1" pivotButton="0" quotePrefix="0" xfId="0">
      <alignment vertical="top" wrapText="1"/>
    </xf>
    <xf numFmtId="0" fontId="17" fillId="9" borderId="0" applyAlignment="1" pivotButton="0" quotePrefix="0" xfId="0">
      <alignment vertical="top" wrapText="1"/>
    </xf>
    <xf numFmtId="0" fontId="18" fillId="7" borderId="0" pivotButton="0" quotePrefix="0" xfId="0"/>
    <xf numFmtId="0" fontId="2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flights/showfarefirst?dcity=ubn&amp;acity=bjs&amp;ddate=2026-11-12&amp;triptype=ow&amp;class=y&amp;quantity=1&amp;curr=USD" TargetMode="External" Id="rId1"/><Relationship Type="http://schemas.openxmlformats.org/officeDocument/2006/relationships/hyperlink" Target="https://www.trip.com/flights/showfarefirst?dcity=ubn&amp;acity=bjs&amp;ddate=2026-11-12&amp;triptype=ow&amp;class=y&amp;quantity=1&amp;curr=USD" TargetMode="External" Id="rId2"/><Relationship Type="http://schemas.openxmlformats.org/officeDocument/2006/relationships/hyperlink" Target="https://www.trip.com/flights/showfarefirst?dcity=bjs&amp;acity=ubn&amp;ddate=2026-11-16&amp;triptype=ow&amp;class=y&amp;quantity=1&amp;curr=USD" TargetMode="External" Id="rId3"/><Relationship Type="http://schemas.openxmlformats.org/officeDocument/2006/relationships/hyperlink" Target="https://www.trip.com/flights/showfarefirst?dcity=bjs&amp;acity=ubn&amp;ddate=2026-11-16&amp;triptype=ow&amp;class=y&amp;quantity=1&amp;curr=USD" TargetMode="External" Id="rId4"/><Relationship Type="http://schemas.openxmlformats.org/officeDocument/2006/relationships/hyperlink" Target="https://www.trip.com/flights/showfarefirst?dcity=ubn&amp;acity=she&amp;ddate=2026-11-12&amp;triptype=ow&amp;class=y&amp;quantity=1&amp;curr=USD" TargetMode="External" Id="rId5"/><Relationship Type="http://schemas.openxmlformats.org/officeDocument/2006/relationships/hyperlink" Target="https://www.trip.com/flights/showfarefirst?dcity=ubn&amp;acity=she&amp;ddate=2026-11-12&amp;triptype=ow&amp;class=y&amp;quantity=1&amp;curr=USD" TargetMode="External" Id="rId6"/><Relationship Type="http://schemas.openxmlformats.org/officeDocument/2006/relationships/hyperlink" Target="https://www.trip.com/flights/showfarefirst?dcity=ubn&amp;acity=hkg&amp;ddate=2027-01-08&amp;rdate=2027-01-11&amp;triptype=rt&amp;class=y&amp;quantity=1&amp;curr=USD" TargetMode="External" Id="rId7"/><Relationship Type="http://schemas.openxmlformats.org/officeDocument/2006/relationships/hyperlink" Target="https://www.trip.com/flights/showfarefirst?dcity=bjs&amp;acity=hgh&amp;ddate=2027-01-25&amp;triptype=ow&amp;class=y&amp;quantity=1&amp;curr=USD" TargetMode="External" Id="rId8"/><Relationship Type="http://schemas.openxmlformats.org/officeDocument/2006/relationships/hyperlink" Target="https://www.trip.com/flights/showfarefirst?dcity=hgh&amp;acity=bjs&amp;ddate=2027-01-28&amp;triptype=ow&amp;class=y&amp;quantity=1&amp;curr=USD" TargetMode="External" Id="rId9"/><Relationship Type="http://schemas.openxmlformats.org/officeDocument/2006/relationships/hyperlink" Target="https://www.trip.com/flights/showfarefirst?dcity=hgh&amp;acity=bjs&amp;ddate=2027-01-28&amp;triptype=ow&amp;class=y&amp;quantity=1&amp;curr=USD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ipadvisor.com/Hotel_Review-g297454-d4743279-Reviews-7_Days_Inn_Shenyang_Sanhao_Street_Liaozhan-Shenyang_Liaoning.html?staydates=2026_11_12_2026_11_15&amp;uguests=2_4" TargetMode="External" Id="rId1"/><Relationship Type="http://schemas.openxmlformats.org/officeDocument/2006/relationships/hyperlink" Target="https://www.tripadvisor.com/Hotel_Review-g297454-d34667164-Reviews-Home_Inn_Shenyang_Sanhao_Street_Shengjing_Medical_University_2nd_Hospital-Shenyang_Li.html?staydates=2026_11_12_2026_11_15&amp;uguests=2_4" TargetMode="External" Id="rId2"/><Relationship Type="http://schemas.openxmlformats.org/officeDocument/2006/relationships/hyperlink" Target="https://www.trip.com/hotels/shenyang-hotel-detail-1987395/7-days-inn/" TargetMode="External" Id="rId3"/><Relationship Type="http://schemas.openxmlformats.org/officeDocument/2006/relationships/hyperlink" Target="https://www.tripadvisor.com/Hotel_Review-g297454-d2650124-Reviews-7_Days_Inn_Shenyang_Sanhao_Street-Shenyang_Liaoning.html?staydates=2026_11_12_2026_11_15&amp;uguests=2_4" TargetMode="External" Id="rId4"/><Relationship Type="http://schemas.openxmlformats.org/officeDocument/2006/relationships/hyperlink" Target="https://www.trip.com/hotels/shenyang-hotel-detail-634710/jinke-hotel/" TargetMode="External" Id="rId5"/><Relationship Type="http://schemas.openxmlformats.org/officeDocument/2006/relationships/hyperlink" Target="https://www.tripadvisor.com/Hotel_Review-g297454-d1048336-Reviews-Jin_Ke_Hotel-Shenyang_Liaoning.html?staydates=2026_11_12_2026_11_15&amp;uguests=2_4" TargetMode="External" Id="rId6"/><Relationship Type="http://schemas.openxmlformats.org/officeDocument/2006/relationships/hyperlink" Target="https://www.booking.com/hotel/cn/chen-yang-qing-nian-da-jie-fang-xing-yan-chang-ya-duo-jiu-dian.html?checkin=2026-11-12&amp;checkout=2026-11-15&amp;no_rooms=2&amp;group_adults=4&amp;selected_currency=CNY" TargetMode="External" Id="rId7"/><Relationship Type="http://schemas.openxmlformats.org/officeDocument/2006/relationships/hyperlink" Target="https://www.tripadvisor.com/Hotel_Review-g297454-d10224231-Reviews-Langrun_Hotel-Shenyang_Liaoning.html?staydates=2026_11_12_2026_11_15&amp;uguests=2_4" TargetMode="External" Id="rId8"/><Relationship Type="http://schemas.openxmlformats.org/officeDocument/2006/relationships/hyperlink" Target="https://www.tripadvisor.com/Hotel_Review-g297454-d34667146-Reviews-Home_Inn_Shenyang_Youth_Park_Metro_Station_TV_Tower_Night_Market-Shenyang_Liaoning.html?staydates=2026_11_12_2026_11_15&amp;uguests=2_4" TargetMode="External" Id="rId9"/><Relationship Type="http://schemas.openxmlformats.org/officeDocument/2006/relationships/hyperlink" Target="https://www.tripadvisor.com/Hotel_Review-g297454-d21040522-Reviews-7_Days_Inn_Shenyang_Maluwan-Shenyang_Liaoning.html?staydates=2026_11_12_2026_11_15&amp;uguests=2_4" TargetMode="External" Id="rId10"/><Relationship Type="http://schemas.openxmlformats.org/officeDocument/2006/relationships/hyperlink" Target="https://www.tripadvisor.com/Hotel_Review-g297454-d4443606-Reviews-Hanting_Express_Shenyang_Bus_Station_North-Shenyang_Liaoning.html?staydates=2026_11_12_2026_11_15&amp;uguests=2_4" TargetMode="External" Id="rId11"/><Relationship Type="http://schemas.openxmlformats.org/officeDocument/2006/relationships/hyperlink" Target="https://www.tripadvisor.com/Hotel_Review-g297454-d4684276-Reviews-Jianing_Apartment_Hotel_Shenyang_Wenhua_Road-Shenyang_Liaoning.html?staydates=2026_11_12_2026_11_15&amp;uguests=2_4" TargetMode="External" Id="rId12"/><Relationship Type="http://schemas.openxmlformats.org/officeDocument/2006/relationships/hyperlink" Target="https://www.tripadvisor.com/Hotel_Review-g297454-d34208723-Reviews-Moon_Hotel-Shenyang_Liaoning.html?staydates=2026_11_12_2026_11_15&amp;uguests=2_4" TargetMode="External" Id="rId13"/><Relationship Type="http://schemas.openxmlformats.org/officeDocument/2006/relationships/hyperlink" Target="https://www.tripadvisor.com/Hotel_Review-g297454-d9585781-Reviews-LazyBee_International_Youth_Hostel_Shenyang-Shenyang_Liaoning.html?staydates=2026_11_12_2026_11_15&amp;uguests=2_4" TargetMode="External" Id="rId14"/><Relationship Type="http://schemas.openxmlformats.org/officeDocument/2006/relationships/hyperlink" Target="https://www.tripadvisor.com/Hotel_Review-g297454-d1072859-Reviews-Home_Inn_Neo_Shenyang_Railway_Station_Nanwu_Road_Metro_Station-Shenyang_Liaoning.html?staydates=2026_11_12_2026_11_15&amp;uguests=2_4" TargetMode="External" Id="rId15"/><Relationship Type="http://schemas.openxmlformats.org/officeDocument/2006/relationships/hyperlink" Target="https://www.tripadvisor.com/Hotel_Review-g297454-d1072869-Reviews-Home_Inn_Shenyang_Nanta-Shenyang_Liaoning.html?staydates=2026_11_12_2026_11_15&amp;uguests=2_4" TargetMode="External" Id="rId16"/><Relationship Type="http://schemas.openxmlformats.org/officeDocument/2006/relationships/hyperlink" Target="https://www.tripadvisor.com/Hotel_Review-g297454-d4463676-Reviews-YDOO_YGOO_Hotel-Shenyang_Liaoning.html?staydates=2026_11_12_2026_11_15&amp;uguests=2_4" TargetMode="External" Id="rId17"/><Relationship Type="http://schemas.openxmlformats.org/officeDocument/2006/relationships/hyperlink" Target="https://www.tripadvisor.com/Hotel_Review-g297454-d33933998-Reviews-Shenyang_Dongdong_Hotel-Shenyang_Liaoning.html?staydates=2026_11_12_2026_11_15&amp;uguests=2_4" TargetMode="External" Id="rId18"/><Relationship Type="http://schemas.openxmlformats.org/officeDocument/2006/relationships/hyperlink" Target="https://www.tripadvisor.com/Hotel_Review-g297454-d34138502-Reviews-Xinting_Hotel-Shenyang_Liaoning.html?staydates=2026_11_12_2026_11_15&amp;uguests=2_4" TargetMode="External" Id="rId19"/><Relationship Type="http://schemas.openxmlformats.org/officeDocument/2006/relationships/hyperlink" Target="https://www.tripadvisor.com/Hotel_Review-g297454-d6822816-Reviews-Home_Inn_Shenyang_North_Station_South_Exit-Shenyang_Liaoning.html?staydates=2026_11_12_2026_11_15&amp;uguests=2_4" TargetMode="External" Id="rId20"/><Relationship Type="http://schemas.openxmlformats.org/officeDocument/2006/relationships/hyperlink" Target="https://www.tripadvisor.com/Hotel_Review-g297454-d1537543-Reviews-Jinjiang_Inn_Shenyang_North_Station-Shenyang_Liaoning.html?staydates=2026_11_12_2026_11_15&amp;uguests=2_4" TargetMode="External" Id="rId21"/><Relationship Type="http://schemas.openxmlformats.org/officeDocument/2006/relationships/hyperlink" Target="https://www.trip.com/hotels/shenyang-hotel-detail-2306256/bestay-hotel-express-shenyang-imperial-palace-huaiyuanmen-metro-station/" TargetMode="External" Id="rId22"/><Relationship Type="http://schemas.openxmlformats.org/officeDocument/2006/relationships/hyperlink" Target="https://www.booking.com/hotel/cn/bestay-express-shenyang-imperial-palace-huaiyuanmen-subway-station.html?checkin=2026-11-12&amp;checkout=2026-11-15&amp;no_rooms=2&amp;group_adults=4&amp;selected_currency=CNY" TargetMode="External" Id="rId23"/><Relationship Type="http://schemas.openxmlformats.org/officeDocument/2006/relationships/hyperlink" Target="https://www.tripadvisor.com/Hotel_Review-g297454-d4198963-Reviews-Jinshang_Express_Motel-Shenyang_Liaoning.html?staydates=2026_11_12_2026_11_15&amp;uguests=2_4" TargetMode="External" Id="rId24"/><Relationship Type="http://schemas.openxmlformats.org/officeDocument/2006/relationships/hyperlink" Target="https://www.tripadvisor.com/Hotel_Review-g297454-d1409668-Reviews-7_Days_Premium_Shenyang_Railway_Station_Zhongshan_Square-Shenyang_Liaoning.html?staydates=2026_11_12_2026_11_15&amp;uguests=2_4" TargetMode="External" Id="rId25"/><Relationship Type="http://schemas.openxmlformats.org/officeDocument/2006/relationships/hyperlink" Target="https://www.tripadvisor.com/Hotel_Review-g297454-d2232651-Reviews-7_Days_Inn_Shenyang_Gugong_Huaiyuanmen-Shenyang_Liaoning.html?staydates=2026_11_12_2026_11_15&amp;uguests=2_4" TargetMode="External" Id="rId26"/><Relationship Type="http://schemas.openxmlformats.org/officeDocument/2006/relationships/hyperlink" Target="https://www.tripadvisor.com/Hotel_Review-g297454-d6684666-Reviews-GreenTree_Inn_Shenyang_Tiexi_Yunfeng_Street_Express_Hotel-Shenyang_Liaoning.html?staydates=2026_11_12_2026_11_15&amp;uguests=2_4" TargetMode="External" Id="rId27"/><Relationship Type="http://schemas.openxmlformats.org/officeDocument/2006/relationships/hyperlink" Target="https://www.tripadvisor.com/Hotel_Review-g297454-d34667672-Reviews-Jinjiang_Inn_Select_Shenyang_Railway_Station_South_Taiyuan_Street-Shenyang_Liaoning.html?staydates=2026_11_12_2026_11_15&amp;uguests=2_4" TargetMode="External" Id="rId28"/><Relationship Type="http://schemas.openxmlformats.org/officeDocument/2006/relationships/hyperlink" Target="https://www.booking.com/hotel/cn/jinjiang-inn-shenyang-north-railway-station-huigong-square.html?checkin=2026-11-12&amp;checkout=2026-11-15&amp;no_rooms=2&amp;group_adults=4&amp;selected_currency=CNY" TargetMode="External" Id="rId29"/><Relationship Type="http://schemas.openxmlformats.org/officeDocument/2006/relationships/hyperlink" Target="https://www.booking.com/hotel/cn/7days-premium-shenyang-olympic-sports-center-subway-station-branch.html?checkin=2026-11-12&amp;checkout=2026-11-15&amp;no_rooms=2&amp;group_adults=4&amp;selected_currency=CNY" TargetMode="External" Id="rId30"/><Relationship Type="http://schemas.openxmlformats.org/officeDocument/2006/relationships/hyperlink" Target="https://www.booking.com/hotel/cn/jinjiang-inn-shenyang-zhongshan-square-medical-university-first-hospital.html?checkin=2026-11-12&amp;checkout=2026-11-15&amp;no_rooms=1&amp;group_adults=3&amp;selected_currency=CNY" TargetMode="External" Id="rId31"/><Relationship Type="http://schemas.openxmlformats.org/officeDocument/2006/relationships/hyperlink" Target="https://www.trip.com/hotels/shenyang-hotel-detail-29517896/aiyi-future-serviced-apartment/" TargetMode="External" Id="rId32"/><Relationship Type="http://schemas.openxmlformats.org/officeDocument/2006/relationships/hyperlink" Target="https://www.trip.com/hotels/shenyang-hotel-detail-100659881/rich-ruixue-hotel/" TargetMode="External" Id="rId33"/><Relationship Type="http://schemas.openxmlformats.org/officeDocument/2006/relationships/hyperlink" Target="https://www.trip.com/hotels/shenyang-hotel-detail-634710/jinke-hotel/" TargetMode="External" Id="rId34"/><Relationship Type="http://schemas.openxmlformats.org/officeDocument/2006/relationships/hyperlink" Target="https://www.trip.com/hotels/shenyang-hotel-detail-76479215/birches-hotel/" TargetMode="External" Id="rId35"/><Relationship Type="http://schemas.openxmlformats.org/officeDocument/2006/relationships/hyperlink" Target="https://www.trip.com/hotels/shenyang-hotel-detail-100659881/rich-ruixue-hotel/" TargetMode="External" Id="rId36"/><Relationship Type="http://schemas.openxmlformats.org/officeDocument/2006/relationships/hyperlink" Target="https://www.trip.com/hotels/shenyang-hotel-detail-1315035/ji-hotel/" TargetMode="External" Id="rId37"/><Relationship Type="http://schemas.openxmlformats.org/officeDocument/2006/relationships/hyperlink" Target="https://www.trip.com/hotels/shenyang-hotel-detail-876479/neu-international-hotel/" TargetMode="External" Id="rId38"/><Relationship Type="http://schemas.openxmlformats.org/officeDocument/2006/relationships/hyperlink" Target="https://www.trip.com/hotels/shenyang-hotel-detail-2306256/bestay-hotel-express-shenyang-imperial-palace-huaiyuanmen-metro-station/" TargetMode="External" Id="rId39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25" min="1" max="1"/>
    <col width="13" customWidth="1" style="25" min="2" max="2"/>
    <col width="22" customWidth="1" style="25" min="3" max="3"/>
    <col width="19" customWidth="1" style="25" min="4" max="4"/>
    <col width="16" customWidth="1" style="25" min="5" max="5"/>
    <col width="20" customWidth="1" style="25" min="6" max="6"/>
    <col width="11" customWidth="1" style="25" min="7" max="7"/>
    <col width="13" customWidth="1" style="25" min="8" max="8"/>
    <col width="15" customWidth="1" style="25" min="9" max="10"/>
    <col width="13" customWidth="1" style="25" min="11" max="11"/>
    <col width="34" customWidth="1" style="25" min="12" max="12"/>
    <col width="16" customWidth="1" style="25" min="13" max="13"/>
    <col width="30" customWidth="1" style="25" min="14" max="14"/>
    <col width="40" customWidth="1" style="25" min="15" max="15"/>
  </cols>
  <sheetData>
    <row r="1" ht="17.35" customHeight="1" s="26">
      <c r="A1" s="27" t="inlineStr">
        <is>
          <t>Cheap flights found via the Trip.com scraper connection (Bright Data)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15" customHeight="1" s="26">
      <c r="A2" s="29" t="inlineStr">
        <is>
          <t>Prices per person, one way unless noted, economy, checked 30 Sep 2026 (rows 11–22) and 1 Oct 2026 (rows 38–45). Live prices – re-check before booking.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</row>
    <row r="3" ht="15" customHeight="1" s="26">
      <c r="A3" s="30" t="inlineStr">
        <is>
          <t>Inputs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15" customHeight="1" s="26">
      <c r="A4" s="31" t="inlineStr">
        <is>
          <t>USD → MNT</t>
        </is>
      </c>
      <c r="B4" s="32" t="n">
        <v>3598</v>
      </c>
      <c r="C4" s="29" t="inlineStr">
        <is>
          <t>Mid-market, late Sep 2026 (trip-planner skill)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</row>
    <row r="5" ht="15" customHeight="1" s="26">
      <c r="A5" s="31" t="inlineStr">
        <is>
          <t>CNY → MNT</t>
        </is>
      </c>
      <c r="B5" s="32" t="n">
        <v>536</v>
      </c>
      <c r="C5" s="29" t="inlineStr">
        <is>
          <t>Mid-market, late Sep 2026 (trip-planner skill)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</row>
    <row r="6" ht="15" customHeight="1" s="26">
      <c r="A6" s="31" t="inlineStr">
        <is>
          <t>Team size (students)</t>
        </is>
      </c>
      <c r="B6" s="33" t="n">
        <v>3</v>
      </c>
      <c r="C6" s="29" t="inlineStr">
        <is>
          <t>Default team</t>
        </is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</row>
    <row r="7" ht="15" customHeight="1" s="26">
      <c r="A7" s="31" t="inlineStr">
        <is>
          <t>Team size with coach</t>
        </is>
      </c>
      <c r="B7" s="33" t="n">
        <v>4</v>
      </c>
      <c r="C7" s="29" t="inlineStr">
        <is>
          <t>Default team + coach</t>
        </is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</row>
    <row r="8" ht="15" customHeight="1" s="26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</row>
    <row r="9" ht="31.5" customHeight="1" s="26">
      <c r="A9" s="34" t="inlineStr">
        <is>
          <t>Leg</t>
        </is>
      </c>
      <c r="B9" s="34" t="inlineStr">
        <is>
          <t>Date</t>
        </is>
      </c>
      <c r="C9" s="34" t="inlineStr">
        <is>
          <t>Airline</t>
        </is>
      </c>
      <c r="D9" s="34" t="inlineStr">
        <is>
          <t>Times</t>
        </is>
      </c>
      <c r="E9" s="34" t="inlineStr">
        <is>
          <t>Duration</t>
        </is>
      </c>
      <c r="F9" s="34" t="inlineStr">
        <is>
          <t>Stops</t>
        </is>
      </c>
      <c r="G9" s="34" t="inlineStr">
        <is>
          <t>Price $ pp</t>
        </is>
      </c>
      <c r="H9" s="34" t="inlineStr">
        <is>
          <t>Price ₮ pp</t>
        </is>
      </c>
      <c r="I9" s="34" t="inlineStr">
        <is>
          <t>Team of 3 (₮)</t>
        </is>
      </c>
      <c r="J9" s="34" t="inlineStr">
        <is>
          <t>Team of 4 (₮)</t>
        </is>
      </c>
      <c r="K9" s="34" t="inlineStr">
        <is>
          <t>Benchmark $ pp</t>
        </is>
      </c>
      <c r="L9" s="34" t="inlineStr">
        <is>
          <t>Benchmark basis</t>
        </is>
      </c>
      <c r="M9" s="34" t="inlineStr">
        <is>
          <t>Diff vs benchmark ₮ pp</t>
        </is>
      </c>
      <c r="N9" s="34" t="inlineStr">
        <is>
          <t>Use it?</t>
        </is>
      </c>
      <c r="O9" s="34" t="inlineStr">
        <is>
          <t>Source (Trip.com search page)</t>
        </is>
      </c>
    </row>
    <row r="10" ht="15" customHeight="1" s="26">
      <c r="A10" s="49" t="inlineStr">
        <is>
          <t>November regionals (Nanjing / Shenyang) – via Beijing</t>
        </is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</row>
    <row r="11" ht="15" customHeight="1" s="26">
      <c r="A11" s="51" t="inlineStr">
        <is>
          <t>UB → Beijing (PEK)</t>
        </is>
      </c>
      <c r="B11" s="51" t="inlineStr">
        <is>
          <t>12 Nov 2026</t>
        </is>
      </c>
      <c r="C11" s="51" t="inlineStr">
        <is>
          <t>MIAT</t>
        </is>
      </c>
      <c r="D11" s="51" t="inlineStr">
        <is>
          <t>07:30–09:45</t>
        </is>
      </c>
      <c r="E11" s="51" t="inlineStr">
        <is>
          <t>2 h 15 min</t>
        </is>
      </c>
      <c r="F11" s="51" t="inlineStr">
        <is>
          <t>Nonstop</t>
        </is>
      </c>
      <c r="G11" s="52" t="n">
        <v>151</v>
      </c>
      <c r="H11" s="53">
        <f>G11*$B$4</f>
        <v/>
      </c>
      <c r="I11" s="53">
        <f>H11*$B$6</f>
        <v/>
      </c>
      <c r="J11" s="53">
        <f>H11*$B$7</f>
        <v/>
      </c>
      <c r="K11" s="52" t="n">
        <v>154</v>
      </c>
      <c r="L11" s="51" t="inlineStr">
        <is>
          <t>SlickTrip MIAT fare (skill)</t>
        </is>
      </c>
      <c r="M11" s="53">
        <f>IF(K11="","",(G11-K11)*$B$4)</f>
        <v/>
      </c>
      <c r="N11" s="54" t="inlineStr">
        <is>
          <t>Yes – cheapest outbound</t>
        </is>
      </c>
      <c r="O11" s="55" t="inlineStr">
        <is>
          <t>https://www.trip.com/flights/showfarefirst?dcity=ubn&amp;acity=bjs&amp;ddate=2026-11-12&amp;triptype=ow&amp;class=y&amp;quantity=1&amp;curr=USD</t>
        </is>
      </c>
    </row>
    <row r="12" ht="15" customHeight="1" s="26">
      <c r="A12" s="51" t="inlineStr">
        <is>
          <t>UB → Beijing (PEK)</t>
        </is>
      </c>
      <c r="B12" s="51" t="inlineStr">
        <is>
          <t>12 Nov 2026</t>
        </is>
      </c>
      <c r="C12" s="51" t="inlineStr">
        <is>
          <t>Air China</t>
        </is>
      </c>
      <c r="D12" s="51" t="inlineStr">
        <is>
          <t>11:50–13:55</t>
        </is>
      </c>
      <c r="E12" s="51" t="inlineStr">
        <is>
          <t>2 h 05 min</t>
        </is>
      </c>
      <c r="F12" s="51" t="inlineStr">
        <is>
          <t>Nonstop</t>
        </is>
      </c>
      <c r="G12" s="52" t="n">
        <v>196</v>
      </c>
      <c r="H12" s="53">
        <f>G12*$B$4</f>
        <v/>
      </c>
      <c r="I12" s="53">
        <f>H12*$B$6</f>
        <v/>
      </c>
      <c r="J12" s="53">
        <f>H12*$B$7</f>
        <v/>
      </c>
      <c r="K12" s="42" t="n"/>
      <c r="L12" s="51" t="inlineStr">
        <is>
          <t>SlickTrip showed $0 (unpriced)</t>
        </is>
      </c>
      <c r="M12" s="53">
        <f>IF(K12="","",(G12-K12)*$B$4)</f>
        <v/>
      </c>
      <c r="N12" s="51" t="inlineStr">
        <is>
          <t>Backup if MIAT full</t>
        </is>
      </c>
      <c r="O12" s="55" t="inlineStr">
        <is>
          <t>https://www.trip.com/flights/showfarefirst?dcity=ubn&amp;acity=bjs&amp;ddate=2026-11-12&amp;triptype=ow&amp;class=y&amp;quantity=1&amp;curr=USD</t>
        </is>
      </c>
    </row>
    <row r="13" ht="15" customHeight="1" s="26">
      <c r="A13" s="51" t="inlineStr">
        <is>
          <t>Beijing (PEK) → UB</t>
        </is>
      </c>
      <c r="B13" s="51" t="inlineStr">
        <is>
          <t>16 Nov 2026</t>
        </is>
      </c>
      <c r="C13" s="51" t="inlineStr">
        <is>
          <t>Air China</t>
        </is>
      </c>
      <c r="D13" s="51" t="inlineStr">
        <is>
          <t>12:55–15:05</t>
        </is>
      </c>
      <c r="E13" s="51" t="inlineStr">
        <is>
          <t>2 h 10 min</t>
        </is>
      </c>
      <c r="F13" s="51" t="inlineStr">
        <is>
          <t>Nonstop</t>
        </is>
      </c>
      <c r="G13" s="52" t="n">
        <v>171</v>
      </c>
      <c r="H13" s="53">
        <f>G13*$B$4</f>
        <v/>
      </c>
      <c r="I13" s="53">
        <f>H13*$B$6</f>
        <v/>
      </c>
      <c r="J13" s="53">
        <f>H13*$B$7</f>
        <v/>
      </c>
      <c r="K13" s="52" t="n">
        <v>196</v>
      </c>
      <c r="L13" s="51" t="inlineStr">
        <is>
          <t>MIAT OM224 low end $196 (skill)</t>
        </is>
      </c>
      <c r="M13" s="53">
        <f>IF(K13="","",(G13-K13)*$B$4)</f>
        <v/>
      </c>
      <c r="N13" s="54" t="inlineStr">
        <is>
          <t>Yes – cheapest return</t>
        </is>
      </c>
      <c r="O13" s="55" t="inlineStr">
        <is>
          <t>https://www.trip.com/flights/showfarefirst?dcity=bjs&amp;acity=ubn&amp;ddate=2026-11-16&amp;triptype=ow&amp;class=y&amp;quantity=1&amp;curr=USD</t>
        </is>
      </c>
    </row>
    <row r="14" ht="15" customHeight="1" s="26">
      <c r="A14" s="51" t="inlineStr">
        <is>
          <t>Beijing (PEK) → UB</t>
        </is>
      </c>
      <c r="B14" s="51" t="inlineStr">
        <is>
          <t>16 Nov 2026</t>
        </is>
      </c>
      <c r="C14" s="51" t="inlineStr">
        <is>
          <t>MIAT</t>
        </is>
      </c>
      <c r="D14" s="51" t="inlineStr">
        <is>
          <t>11:30–13:50</t>
        </is>
      </c>
      <c r="E14" s="51" t="inlineStr">
        <is>
          <t>2 h 20 min</t>
        </is>
      </c>
      <c r="F14" s="51" t="inlineStr">
        <is>
          <t>Nonstop</t>
        </is>
      </c>
      <c r="G14" s="52" t="n">
        <v>194</v>
      </c>
      <c r="H14" s="53">
        <f>G14*$B$4</f>
        <v/>
      </c>
      <c r="I14" s="53">
        <f>H14*$B$6</f>
        <v/>
      </c>
      <c r="J14" s="53">
        <f>H14*$B$7</f>
        <v/>
      </c>
      <c r="K14" s="52" t="n">
        <v>196</v>
      </c>
      <c r="L14" s="51" t="inlineStr">
        <is>
          <t>MIAT OM224 low end $196 (skill)</t>
        </is>
      </c>
      <c r="M14" s="53">
        <f>IF(K14="","",(G14-K14)*$B$4)</f>
        <v/>
      </c>
      <c r="N14" s="51" t="inlineStr">
        <is>
          <t>Backup</t>
        </is>
      </c>
      <c r="O14" s="55" t="inlineStr">
        <is>
          <t>https://www.trip.com/flights/showfarefirst?dcity=bjs&amp;acity=ubn&amp;ddate=2026-11-16&amp;triptype=ow&amp;class=y&amp;quantity=1&amp;curr=USD</t>
        </is>
      </c>
    </row>
    <row r="15" ht="26.85" customHeight="1" s="26">
      <c r="A15" s="51" t="inlineStr">
        <is>
          <t>UB → Shenyang</t>
        </is>
      </c>
      <c r="B15" s="51" t="inlineStr">
        <is>
          <t>12 Nov 2026</t>
        </is>
      </c>
      <c r="C15" s="51" t="inlineStr">
        <is>
          <t>MIAT + China Southern</t>
        </is>
      </c>
      <c r="D15" s="51" t="inlineStr">
        <is>
          <t>07:30–23:00</t>
        </is>
      </c>
      <c r="E15" s="51" t="inlineStr">
        <is>
          <t>15 h 30 min</t>
        </is>
      </c>
      <c r="F15" s="51" t="inlineStr">
        <is>
          <t>1 (11 h 30 min in Beijing)</t>
        </is>
      </c>
      <c r="G15" s="52" t="n">
        <v>219</v>
      </c>
      <c r="H15" s="53">
        <f>G15*$B$4</f>
        <v/>
      </c>
      <c r="I15" s="53">
        <f>H15*$B$6</f>
        <v/>
      </c>
      <c r="J15" s="53">
        <f>H15*$B$7</f>
        <v/>
      </c>
      <c r="K15" s="43">
        <f>151+339*$B$5/$B$4</f>
        <v/>
      </c>
      <c r="L15" s="51" t="inlineStr">
        <is>
          <t>MIAT $151 + train 339 CNY</t>
        </is>
      </c>
      <c r="M15" s="53">
        <f>IF(K15="","",(G15-K15)*$B$4)</f>
        <v/>
      </c>
      <c r="N15" s="51" t="inlineStr">
        <is>
          <t>No – Beijing + train is cheaper and faster</t>
        </is>
      </c>
      <c r="O15" s="55" t="inlineStr">
        <is>
          <t>https://www.trip.com/flights/showfarefirst?dcity=ubn&amp;acity=she&amp;ddate=2026-11-12&amp;triptype=ow&amp;class=y&amp;quantity=1&amp;curr=USD</t>
        </is>
      </c>
    </row>
    <row r="16" ht="26.85" customHeight="1" s="26">
      <c r="A16" s="51" t="inlineStr">
        <is>
          <t>UB → Shenyang</t>
        </is>
      </c>
      <c r="B16" s="51" t="inlineStr">
        <is>
          <t>12 Nov 2026</t>
        </is>
      </c>
      <c r="C16" s="51" t="inlineStr">
        <is>
          <t>Air China + Spring</t>
        </is>
      </c>
      <c r="D16" s="51" t="inlineStr">
        <is>
          <t>13:00–21:15</t>
        </is>
      </c>
      <c r="E16" s="51" t="inlineStr">
        <is>
          <t>8 h 15 min</t>
        </is>
      </c>
      <c r="F16" s="51" t="inlineStr">
        <is>
          <t>1 (4 h 25 min in Hohhot)</t>
        </is>
      </c>
      <c r="G16" s="52" t="n">
        <v>233</v>
      </c>
      <c r="H16" s="53">
        <f>G16*$B$4</f>
        <v/>
      </c>
      <c r="I16" s="53">
        <f>H16*$B$6</f>
        <v/>
      </c>
      <c r="J16" s="53">
        <f>H16*$B$7</f>
        <v/>
      </c>
      <c r="K16" s="43">
        <f>151+339*$B$5/$B$4</f>
        <v/>
      </c>
      <c r="L16" s="51" t="inlineStr">
        <is>
          <t>MIAT $151 + train 339 CNY</t>
        </is>
      </c>
      <c r="M16" s="53">
        <f>IF(K16="","",(G16-K16)*$B$4)</f>
        <v/>
      </c>
      <c r="N16" s="51" t="inlineStr">
        <is>
          <t>No</t>
        </is>
      </c>
      <c r="O16" s="55" t="inlineStr">
        <is>
          <t>https://www.trip.com/flights/showfarefirst?dcity=ubn&amp;acity=she&amp;ddate=2026-11-12&amp;triptype=ow&amp;class=y&amp;quantity=1&amp;curr=USD</t>
        </is>
      </c>
    </row>
    <row r="17" ht="15" customHeight="1" s="26">
      <c r="A17" s="49" t="inlineStr">
        <is>
          <t>Hong Kong regional</t>
        </is>
      </c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</row>
    <row r="18" ht="26.85" customHeight="1" s="26">
      <c r="A18" s="51" t="inlineStr">
        <is>
          <t>UB ↔ Hong Kong, return</t>
        </is>
      </c>
      <c r="B18" s="51" t="inlineStr">
        <is>
          <t>8–11 Jan 2027</t>
        </is>
      </c>
      <c r="C18" s="51" t="inlineStr">
        <is>
          <t>MIAT</t>
        </is>
      </c>
      <c r="D18" s="51" t="inlineStr">
        <is>
          <t>Out 06:45–11:25</t>
        </is>
      </c>
      <c r="E18" s="51" t="inlineStr">
        <is>
          <t>4 h 40 min each way</t>
        </is>
      </c>
      <c r="F18" s="51" t="inlineStr">
        <is>
          <t>Nonstop</t>
        </is>
      </c>
      <c r="G18" s="52" t="n">
        <v>583</v>
      </c>
      <c r="H18" s="53">
        <f>G18*$B$4</f>
        <v/>
      </c>
      <c r="I18" s="53">
        <f>H18*$B$6</f>
        <v/>
      </c>
      <c r="J18" s="53">
        <f>H18*$B$7</f>
        <v/>
      </c>
      <c r="K18" s="52" t="n">
        <v>590</v>
      </c>
      <c r="L18" s="51" t="inlineStr">
        <is>
          <t>MIAT return (skill)</t>
        </is>
      </c>
      <c r="M18" s="53">
        <f>IF(K18="","",(G18-K18)*$B$4)</f>
        <v/>
      </c>
      <c r="N18" s="54" t="inlineStr">
        <is>
          <t>Yes – best option</t>
        </is>
      </c>
      <c r="O18" s="55" t="inlineStr">
        <is>
          <t>https://www.trip.com/flights/showfarefirst?dcity=ubn&amp;acity=hkg&amp;ddate=2027-01-08&amp;rdate=2027-01-11&amp;triptype=rt&amp;class=y&amp;quantity=1&amp;curr=USD</t>
        </is>
      </c>
    </row>
    <row r="19" ht="15" customHeight="1" s="26">
      <c r="A19" s="49" t="inlineStr">
        <is>
          <t>EC Final (Hangzhou) – domestic legs</t>
        </is>
      </c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</row>
    <row r="20" ht="26.85" customHeight="1" s="26">
      <c r="A20" s="51" t="inlineStr">
        <is>
          <t>Beijing (PEK) → Hangzhou</t>
        </is>
      </c>
      <c r="B20" s="51" t="inlineStr">
        <is>
          <t>25 Jan 2027</t>
        </is>
      </c>
      <c r="C20" s="51" t="inlineStr">
        <is>
          <t>Air China</t>
        </is>
      </c>
      <c r="D20" s="51" t="inlineStr">
        <is>
          <t>21:30–00:05 (+1)</t>
        </is>
      </c>
      <c r="E20" s="51" t="inlineStr">
        <is>
          <t>2 h 35 min</t>
        </is>
      </c>
      <c r="F20" s="51" t="inlineStr">
        <is>
          <t>Nonstop</t>
        </is>
      </c>
      <c r="G20" s="52" t="n">
        <v>338</v>
      </c>
      <c r="H20" s="53">
        <f>G20*$B$4</f>
        <v/>
      </c>
      <c r="I20" s="53">
        <f>H20*$B$6</f>
        <v/>
      </c>
      <c r="J20" s="53">
        <f>H20*$B$7</f>
        <v/>
      </c>
      <c r="K20" s="44">
        <f>700*$B$5/$B$4</f>
        <v/>
      </c>
      <c r="L20" s="45" t="inlineStr">
        <is>
          <t>ASSUMPTION: Chinese market ~¥700 in late Jan</t>
        </is>
      </c>
      <c r="M20" s="53">
        <f>IF(K20="","",(G20-K20)*$B$4)</f>
        <v/>
      </c>
      <c r="N20" s="51" t="inlineStr">
        <is>
          <t>No – inflated; take train or book on 12306/Ctrip</t>
        </is>
      </c>
      <c r="O20" s="55" t="inlineStr">
        <is>
          <t>https://www.trip.com/flights/showfarefirst?dcity=bjs&amp;acity=hgh&amp;ddate=2027-01-25&amp;triptype=ow&amp;class=y&amp;quantity=1&amp;curr=USD</t>
        </is>
      </c>
    </row>
    <row r="21" ht="26.85" customHeight="1" s="26">
      <c r="A21" s="51" t="inlineStr">
        <is>
          <t>Hangzhou → Beijing (PEK)</t>
        </is>
      </c>
      <c r="B21" s="51" t="inlineStr">
        <is>
          <t>28 Jan 2027</t>
        </is>
      </c>
      <c r="C21" s="51" t="inlineStr">
        <is>
          <t>Air China</t>
        </is>
      </c>
      <c r="D21" s="51" t="inlineStr">
        <is>
          <t>07:00–09:25 (hourly)</t>
        </is>
      </c>
      <c r="E21" s="51" t="inlineStr">
        <is>
          <t>2 h 25 min</t>
        </is>
      </c>
      <c r="F21" s="51" t="inlineStr">
        <is>
          <t>Nonstop</t>
        </is>
      </c>
      <c r="G21" s="52" t="n">
        <v>270</v>
      </c>
      <c r="H21" s="53">
        <f>G21*$B$4</f>
        <v/>
      </c>
      <c r="I21" s="53">
        <f>H21*$B$6</f>
        <v/>
      </c>
      <c r="J21" s="53">
        <f>H21*$B$7</f>
        <v/>
      </c>
      <c r="K21" s="44">
        <f>700*$B$5/$B$4</f>
        <v/>
      </c>
      <c r="L21" s="45" t="inlineStr">
        <is>
          <t>ASSUMPTION: Chinese market ~¥700 in late Jan</t>
        </is>
      </c>
      <c r="M21" s="53">
        <f>IF(K21="","",(G21-K21)*$B$4)</f>
        <v/>
      </c>
      <c r="N21" s="51" t="inlineStr">
        <is>
          <t>No – inflated</t>
        </is>
      </c>
      <c r="O21" s="55" t="inlineStr">
        <is>
          <t>https://www.trip.com/flights/showfarefirst?dcity=hgh&amp;acity=bjs&amp;ddate=2027-01-28&amp;triptype=ow&amp;class=y&amp;quantity=1&amp;curr=USD</t>
        </is>
      </c>
    </row>
    <row r="22" ht="26.85" customHeight="1" s="26">
      <c r="A22" s="51" t="inlineStr">
        <is>
          <t>Hangzhou → Beijing</t>
        </is>
      </c>
      <c r="B22" s="51" t="inlineStr">
        <is>
          <t>26 Jan 2027</t>
        </is>
      </c>
      <c r="C22" s="51" t="inlineStr">
        <is>
          <t>Not shown (date calendar)</t>
        </is>
      </c>
      <c r="D22" s="51" t="inlineStr">
        <is>
          <t>–</t>
        </is>
      </c>
      <c r="E22" s="51" t="inlineStr">
        <is>
          <t>–</t>
        </is>
      </c>
      <c r="F22" s="51" t="inlineStr">
        <is>
          <t>–</t>
        </is>
      </c>
      <c r="G22" s="52" t="n">
        <v>184</v>
      </c>
      <c r="H22" s="53">
        <f>G22*$B$4</f>
        <v/>
      </c>
      <c r="I22" s="53">
        <f>H22*$B$6</f>
        <v/>
      </c>
      <c r="J22" s="53">
        <f>H22*$B$7</f>
        <v/>
      </c>
      <c r="K22" s="44">
        <f>700*$B$5/$B$4</f>
        <v/>
      </c>
      <c r="L22" s="45" t="inlineStr">
        <is>
          <t>ASSUMPTION: Chinese market ~¥700 in late Jan</t>
        </is>
      </c>
      <c r="M22" s="53">
        <f>IF(K22="","",(G22-K22)*$B$4)</f>
        <v/>
      </c>
      <c r="N22" s="51" t="inlineStr">
        <is>
          <t>Only if leaving before closing – still above market</t>
        </is>
      </c>
      <c r="O22" s="55" t="inlineStr">
        <is>
          <t>https://www.trip.com/flights/showfarefirst?dcity=hgh&amp;acity=bjs&amp;ddate=2027-01-28&amp;triptype=ow&amp;class=y&amp;quantity=1&amp;curr=USD</t>
        </is>
      </c>
    </row>
    <row r="23" ht="15" customHeight="1" s="26">
      <c r="A23" s="29" t="inlineStr">
        <is>
          <t>Diff vs benchmark: negative = cheaper than what the plans used; positive = more expensive.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</row>
    <row r="24" ht="15" customHeight="1" s="26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</row>
    <row r="25" ht="15" customHeight="1" s="26">
      <c r="A25" s="46" t="inlineStr">
        <is>
          <t>What switching the November return to Air China saves (per trip)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</row>
    <row r="26" ht="15" customHeight="1" s="26">
      <c r="A26" s="31" t="inlineStr">
        <is>
          <t>MIAT fare used in plans, high end ($)</t>
        </is>
      </c>
      <c r="B26" s="47" t="n">
        <v>223</v>
      </c>
      <c r="C26" s="29" t="inlineStr">
        <is>
          <t>SlickTrip, 30 Sep 2026 (skill notes $196–223)</t>
        </is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</row>
    <row r="27" ht="15" customHeight="1" s="26">
      <c r="A27" s="31" t="inlineStr">
        <is>
          <t>Saving vs MIAT today ($194) – team of 3</t>
        </is>
      </c>
      <c r="B27" s="48">
        <f>(G14-G13)*$B$4*$B$6</f>
        <v/>
      </c>
      <c r="C27" s="31" t="inlineStr">
        <is>
          <t>Saving vs MIAT today ($194) – team of 4</t>
        </is>
      </c>
      <c r="D27" s="48">
        <f>(G14-G13)*$B$4*$B$7</f>
        <v/>
      </c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</row>
    <row r="28" ht="15" customHeight="1" s="26">
      <c r="A28" s="31" t="inlineStr">
        <is>
          <t>Saving vs plan low end ($196) – team of 3</t>
        </is>
      </c>
      <c r="B28" s="48">
        <f>(K13-G13)*$B$4*$B$6</f>
        <v/>
      </c>
      <c r="C28" s="31" t="inlineStr">
        <is>
          <t>Saving vs plan low end ($196) – team of 4</t>
        </is>
      </c>
      <c r="D28" s="48">
        <f>(K13-G13)*$B$4*$B$7</f>
        <v/>
      </c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</row>
    <row r="29" ht="15" customHeight="1" s="26">
      <c r="A29" s="31" t="inlineStr">
        <is>
          <t>Saving vs plan high end ($223) – team of 3</t>
        </is>
      </c>
      <c r="B29" s="48">
        <f>(B26-G13)*$B$4*$B$6</f>
        <v/>
      </c>
      <c r="C29" s="31" t="inlineStr">
        <is>
          <t>Saving vs plan high end ($223) – team of 4</t>
        </is>
      </c>
      <c r="D29" s="48">
        <f>(B26-G13)*$B$4*$B$7</f>
        <v/>
      </c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</row>
    <row r="30" ht="15" customHeight="1" s="26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</row>
    <row r="31" ht="15" customHeight="1" s="26">
      <c r="A31" s="46" t="inlineStr">
        <is>
          <t>Recommended picks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</row>
    <row r="32" ht="15" customHeight="1" s="26">
      <c r="A32" s="31" t="inlineStr">
        <is>
          <t>• November trips: fly out on MIAT ($151, lands 09:45), fly home on Air China ($171).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</row>
    <row r="33" ht="15" customHeight="1" s="26">
      <c r="A33" s="31" t="inlineStr">
        <is>
          <t>• Hong Kong: MIAT nonstop return, $583. Nothing via Seoul or Beijing comes close.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</row>
    <row r="34" ht="15" customHeight="1" s="26">
      <c r="A34" s="31" t="inlineStr">
        <is>
          <t>• EC Final: keep the high-speed train via Beijing, or buy domestic flights on 12306 / Chinese Ctrip closer to the date.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</row>
    <row r="35" ht="15" customHeight="1" s="26">
      <c r="A35" s="31" t="inlineStr">
        <is>
          <t>• Trip.com lists student fares on some routes – worth checking at booking.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</row>
    <row r="37">
      <c r="A37" s="49" t="inlineStr">
        <is>
          <t>Added 1 Oct 2026 – remaining legs used in the plans</t>
        </is>
      </c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</row>
    <row r="38">
      <c r="A38" s="51" t="inlineStr">
        <is>
          <t>UB → Beijing (PEK)</t>
        </is>
      </c>
      <c r="B38" s="51" t="inlineStr">
        <is>
          <t>6 Nov 2026</t>
        </is>
      </c>
      <c r="C38" s="51" t="inlineStr">
        <is>
          <t>MIAT</t>
        </is>
      </c>
      <c r="D38" s="51" t="inlineStr">
        <is>
          <t>17:15–19:30</t>
        </is>
      </c>
      <c r="E38" s="51" t="inlineStr">
        <is>
          <t>2 h 15 min</t>
        </is>
      </c>
      <c r="F38" s="51" t="inlineStr">
        <is>
          <t>Nonstop</t>
        </is>
      </c>
      <c r="G38" s="52" t="n">
        <v>150</v>
      </c>
      <c r="H38" s="53">
        <f>G38*$B$4</f>
        <v/>
      </c>
      <c r="I38" s="53">
        <f>H38*$B$6</f>
        <v/>
      </c>
      <c r="J38" s="53">
        <f>H38*$B$7</f>
        <v/>
      </c>
      <c r="K38" s="52" t="n">
        <v>154</v>
      </c>
      <c r="L38" s="51" t="inlineStr">
        <is>
          <t>SlickTrip MIAT fare (skill)</t>
        </is>
      </c>
      <c r="M38" s="53">
        <f>IF(K38="","",(G38-K38)*$B$4)</f>
        <v/>
      </c>
      <c r="N38" s="54" t="inlineStr">
        <is>
          <t>Yes – Nanjing trip outbound</t>
        </is>
      </c>
      <c r="O38" s="55" t="inlineStr">
        <is>
          <t>https://www.trip.com/flights/showfarefirst?dcity=ubn&amp;acity=bjs&amp;ddate=2026-11-06&amp;triptype=ow&amp;class=y&amp;quantity=1&amp;curr=USD</t>
        </is>
      </c>
    </row>
    <row r="39">
      <c r="A39" s="51" t="inlineStr">
        <is>
          <t>UB → Beijing (PEK)</t>
        </is>
      </c>
      <c r="B39" s="51" t="inlineStr">
        <is>
          <t>13 Nov 2026</t>
        </is>
      </c>
      <c r="C39" s="51" t="inlineStr">
        <is>
          <t>MIAT</t>
        </is>
      </c>
      <c r="D39" s="51" t="inlineStr">
        <is>
          <t>17:15–19:30</t>
        </is>
      </c>
      <c r="E39" s="51" t="inlineStr">
        <is>
          <t>2 h 15 min</t>
        </is>
      </c>
      <c r="F39" s="51" t="inlineStr">
        <is>
          <t>Nonstop</t>
        </is>
      </c>
      <c r="G39" s="52" t="n">
        <v>150</v>
      </c>
      <c r="H39" s="53">
        <f>G39*$B$4</f>
        <v/>
      </c>
      <c r="I39" s="53">
        <f>H39*$B$6</f>
        <v/>
      </c>
      <c r="J39" s="53">
        <f>H39*$B$7</f>
        <v/>
      </c>
      <c r="K39" s="52" t="n">
        <v>154</v>
      </c>
      <c r="L39" s="51" t="inlineStr">
        <is>
          <t>SlickTrip MIAT fare (skill)</t>
        </is>
      </c>
      <c r="M39" s="53">
        <f>IF(K39="","",(G39-K39)*$B$4)</f>
        <v/>
      </c>
      <c r="N39" s="54" t="inlineStr">
        <is>
          <t>Yes – Shenyang Budget / Home-between outbound</t>
        </is>
      </c>
      <c r="O39" s="55" t="inlineStr">
        <is>
          <t>https://www.trip.com/flights/showfarefirst?dcity=ubn&amp;acity=bjs&amp;ddate=2026-11-13&amp;triptype=ow&amp;class=y&amp;quantity=1&amp;curr=USD</t>
        </is>
      </c>
    </row>
    <row r="40">
      <c r="A40" s="51" t="inlineStr">
        <is>
          <t>Beijing (PEK) → UB</t>
        </is>
      </c>
      <c r="B40" s="51" t="inlineStr">
        <is>
          <t>10 Nov 2026</t>
        </is>
      </c>
      <c r="C40" s="51" t="inlineStr">
        <is>
          <t>MIAT</t>
        </is>
      </c>
      <c r="D40" s="51" t="inlineStr">
        <is>
          <t>20:45–23:05</t>
        </is>
      </c>
      <c r="E40" s="51" t="inlineStr">
        <is>
          <t>2 h 20 min</t>
        </is>
      </c>
      <c r="F40" s="51" t="inlineStr">
        <is>
          <t>Nonstop</t>
        </is>
      </c>
      <c r="G40" s="52" t="n">
        <v>219</v>
      </c>
      <c r="H40" s="53">
        <f>G40*$B$4</f>
        <v/>
      </c>
      <c r="I40" s="53">
        <f>H40*$B$6</f>
        <v/>
      </c>
      <c r="J40" s="53">
        <f>H40*$B$7</f>
        <v/>
      </c>
      <c r="K40" s="52" t="n">
        <v>223</v>
      </c>
      <c r="L40" s="51" t="inlineStr">
        <is>
          <t>SlickTrip MIAT 10 Nov (plan)</t>
        </is>
      </c>
      <c r="M40" s="53">
        <f>IF(K40="","",(G40-K40)*$B$4)</f>
        <v/>
      </c>
      <c r="N40" s="54" t="inlineStr">
        <is>
          <t>Yes – keeps the Home-between day plan</t>
        </is>
      </c>
      <c r="O40" s="55" t="inlineStr">
        <is>
          <t>https://www.trip.com/flights/showfarefirst?dcity=bjs&amp;acity=ubn&amp;ddate=2026-11-10&amp;triptype=ow&amp;class=y&amp;quantity=1&amp;curr=USD</t>
        </is>
      </c>
    </row>
    <row r="41">
      <c r="A41" s="51" t="inlineStr">
        <is>
          <t>Beijing (PEK) → UB</t>
        </is>
      </c>
      <c r="B41" s="51" t="inlineStr">
        <is>
          <t>10 Nov 2026</t>
        </is>
      </c>
      <c r="C41" s="51" t="inlineStr">
        <is>
          <t>Air China</t>
        </is>
      </c>
      <c r="D41" s="51" t="inlineStr">
        <is>
          <t>08:10–10:40</t>
        </is>
      </c>
      <c r="E41" s="51" t="inlineStr">
        <is>
          <t>2 h 30 min</t>
        </is>
      </c>
      <c r="F41" s="51" t="inlineStr">
        <is>
          <t>Nonstop</t>
        </is>
      </c>
      <c r="G41" s="52" t="n">
        <v>172</v>
      </c>
      <c r="H41" s="53">
        <f>G41*$B$4</f>
        <v/>
      </c>
      <c r="I41" s="53">
        <f>H41*$B$6</f>
        <v/>
      </c>
      <c r="J41" s="53">
        <f>H41*$B$7</f>
        <v/>
      </c>
      <c r="K41" s="52" t="n">
        <v>223</v>
      </c>
      <c r="L41" s="51" t="inlineStr">
        <is>
          <t>SlickTrip MIAT 10 Nov (plan)</t>
        </is>
      </c>
      <c r="M41" s="53">
        <f>IF(K41="","",(G41-K41)*$B$4)</f>
        <v/>
      </c>
      <c r="N41" s="51" t="inlineStr">
        <is>
          <t>Only with an extra Beijing night on 9 Nov</t>
        </is>
      </c>
      <c r="O41" s="55" t="inlineStr">
        <is>
          <t>https://www.trip.com/flights/showfarefirst?dcity=bjs&amp;acity=ubn&amp;ddate=2026-11-10&amp;triptype=ow&amp;class=y&amp;quantity=1&amp;curr=USD</t>
        </is>
      </c>
    </row>
    <row r="42">
      <c r="A42" s="51" t="inlineStr">
        <is>
          <t>Nanjing → Shenyang</t>
        </is>
      </c>
      <c r="B42" s="51" t="inlineStr">
        <is>
          <t>13 Nov 2026</t>
        </is>
      </c>
      <c r="C42" s="51" t="inlineStr">
        <is>
          <t>China Eastern</t>
        </is>
      </c>
      <c r="D42" s="51" t="inlineStr">
        <is>
          <t>07:40–09:50</t>
        </is>
      </c>
      <c r="E42" s="51" t="inlineStr">
        <is>
          <t>2 h 10 min</t>
        </is>
      </c>
      <c r="F42" s="51" t="inlineStr">
        <is>
          <t>Nonstop (bag incl.)</t>
        </is>
      </c>
      <c r="G42" s="52" t="n">
        <v>121</v>
      </c>
      <c r="H42" s="53">
        <f>G42*$B$4</f>
        <v/>
      </c>
      <c r="I42" s="53">
        <f>H42*$B$6</f>
        <v/>
      </c>
      <c r="J42" s="53">
        <f>H42*$B$7</f>
        <v/>
      </c>
      <c r="K42" s="52">
        <f>110.67+100*$B$5/$B$4</f>
        <v/>
      </c>
      <c r="L42" s="51" t="inlineStr">
        <is>
          <t>Spring 9C7758 $110.67 + 100 CNY bag</t>
        </is>
      </c>
      <c r="M42" s="53">
        <f>IF(K42="","",(G42-K42)*$B$4)</f>
        <v/>
      </c>
      <c r="N42" s="54" t="inlineStr">
        <is>
          <t>Yes – cheaper with bag, arrives morning</t>
        </is>
      </c>
      <c r="O42" s="55" t="inlineStr">
        <is>
          <t>https://www.trip.com/flights/showfarefirst?dcity=nkg&amp;acity=she&amp;ddate=2026-11-13&amp;triptype=ow&amp;class=y&amp;quantity=1&amp;curr=USD</t>
        </is>
      </c>
    </row>
    <row r="43">
      <c r="A43" s="51" t="inlineStr">
        <is>
          <t>Nanjing → Shenyang</t>
        </is>
      </c>
      <c r="B43" s="51" t="inlineStr">
        <is>
          <t>13 Nov 2026</t>
        </is>
      </c>
      <c r="C43" s="51" t="inlineStr">
        <is>
          <t>Shenzhen Airlines</t>
        </is>
      </c>
      <c r="D43" s="51" t="inlineStr">
        <is>
          <t>19:25–21:30</t>
        </is>
      </c>
      <c r="E43" s="51" t="inlineStr">
        <is>
          <t>2 h 05 min</t>
        </is>
      </c>
      <c r="F43" s="51" t="inlineStr">
        <is>
          <t>Nonstop (bag incl.)</t>
        </is>
      </c>
      <c r="G43" s="52" t="n">
        <v>129</v>
      </c>
      <c r="H43" s="53">
        <f>G43*$B$4</f>
        <v/>
      </c>
      <c r="I43" s="53">
        <f>H43*$B$6</f>
        <v/>
      </c>
      <c r="J43" s="53">
        <f>H43*$B$7</f>
        <v/>
      </c>
      <c r="K43" s="52" t="n">
        <v>142</v>
      </c>
      <c r="L43" s="51" t="inlineStr">
        <is>
          <t>SlickTrip ZH9700 (skill)</t>
        </is>
      </c>
      <c r="M43" s="53">
        <f>IF(K43="","",(G43-K43)*$B$4)</f>
        <v/>
      </c>
      <c r="N43" s="51" t="inlineStr">
        <is>
          <t>Backup – evening departure</t>
        </is>
      </c>
      <c r="O43" s="55" t="inlineStr">
        <is>
          <t>https://www.trip.com/flights/showfarefirst?dcity=nkg&amp;acity=she&amp;ddate=2026-11-13&amp;triptype=ow&amp;class=y&amp;quantity=1&amp;curr=USD</t>
        </is>
      </c>
    </row>
    <row r="44">
      <c r="A44" s="51" t="inlineStr">
        <is>
          <t>UB → Beijing (PEK)</t>
        </is>
      </c>
      <c r="B44" s="51" t="inlineStr">
        <is>
          <t>25 Jan 2027</t>
        </is>
      </c>
      <c r="C44" s="51" t="inlineStr">
        <is>
          <t>MIAT</t>
        </is>
      </c>
      <c r="D44" s="51" t="inlineStr">
        <is>
          <t>08:15–10:30</t>
        </is>
      </c>
      <c r="E44" s="51" t="inlineStr">
        <is>
          <t>2 h 15 min</t>
        </is>
      </c>
      <c r="F44" s="51" t="inlineStr">
        <is>
          <t>Nonstop</t>
        </is>
      </c>
      <c r="G44" s="52" t="n">
        <v>150</v>
      </c>
      <c r="H44" s="53">
        <f>G44*$B$4</f>
        <v/>
      </c>
      <c r="I44" s="53">
        <f>H44*$B$6</f>
        <v/>
      </c>
      <c r="J44" s="53">
        <f>H44*$B$7</f>
        <v/>
      </c>
      <c r="K44" s="52" t="n">
        <v>154</v>
      </c>
      <c r="L44" s="51" t="inlineStr">
        <is>
          <t>SlickTrip MIAT fare (skill)</t>
        </is>
      </c>
      <c r="M44" s="53">
        <f>IF(K44="","",(G44-K44)*$B$4)</f>
        <v/>
      </c>
      <c r="N44" s="54" t="inlineStr">
        <is>
          <t>Yes – EC Final outbound</t>
        </is>
      </c>
      <c r="O44" s="55" t="inlineStr">
        <is>
          <t>https://www.trip.com/flights/showfarefirst?dcity=ubn&amp;acity=bjs&amp;ddate=2027-01-25&amp;triptype=ow&amp;class=y&amp;quantity=1&amp;curr=USD</t>
        </is>
      </c>
    </row>
    <row r="45">
      <c r="A45" s="51" t="inlineStr">
        <is>
          <t>Beijing (PEK) → UB</t>
        </is>
      </c>
      <c r="B45" s="51" t="inlineStr">
        <is>
          <t>30 Jan 2027</t>
        </is>
      </c>
      <c r="C45" s="51" t="inlineStr">
        <is>
          <t>MIAT</t>
        </is>
      </c>
      <c r="D45" s="51" t="inlineStr">
        <is>
          <t>11:30–13:50</t>
        </is>
      </c>
      <c r="E45" s="51" t="inlineStr">
        <is>
          <t>2 h 20 min</t>
        </is>
      </c>
      <c r="F45" s="51" t="inlineStr">
        <is>
          <t>Nonstop</t>
        </is>
      </c>
      <c r="G45" s="52" t="n">
        <v>219</v>
      </c>
      <c r="H45" s="53">
        <f>G45*$B$4</f>
        <v/>
      </c>
      <c r="I45" s="53">
        <f>H45*$B$6</f>
        <v/>
      </c>
      <c r="J45" s="53">
        <f>H45*$B$7</f>
        <v/>
      </c>
      <c r="K45" s="52" t="n">
        <v>223</v>
      </c>
      <c r="L45" s="51" t="inlineStr">
        <is>
          <t>SlickTrip MIAT 30 Jan (plan)</t>
        </is>
      </c>
      <c r="M45" s="53">
        <f>IF(K45="","",(G45-K45)*$B$4)</f>
        <v/>
      </c>
      <c r="N45" s="54" t="inlineStr">
        <is>
          <t>Yes – EC Final return (Air China 08:10 is $416)</t>
        </is>
      </c>
      <c r="O45" s="55" t="inlineStr">
        <is>
          <t>https://www.trip.com/flights/showfarefirst?dcity=bjs&amp;acity=ubn&amp;ddate=2027-01-30&amp;triptype=ow&amp;class=y&amp;quantity=1&amp;curr=USD</t>
        </is>
      </c>
    </row>
    <row r="47">
      <c r="A47" s="56" t="inlineStr">
        <is>
          <t>• Nanjing → Shenyang: China Eastern 07:40 ($121, bag included) beats Spring Airlines + bag fee and lands 14 h earlier.</t>
        </is>
      </c>
    </row>
    <row r="49">
      <c r="A49" s="49" t="inlineStr">
        <is>
          <t>EC Final domestic legs &amp; through tickets – checked 1 Oct 2026 in CNY (shown here in $)</t>
        </is>
      </c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</row>
    <row r="50">
      <c r="A50" s="51" t="inlineStr">
        <is>
          <t>Beijing → Hangzhou</t>
        </is>
      </c>
      <c r="B50" s="51" t="inlineStr">
        <is>
          <t>25 Jan 2027</t>
        </is>
      </c>
      <c r="C50" s="51" t="inlineStr">
        <is>
          <t>Air China</t>
        </is>
      </c>
      <c r="D50" s="51" t="inlineStr">
        <is>
          <t>21:30–00:05 (+1)</t>
        </is>
      </c>
      <c r="E50" s="51" t="inlineStr">
        <is>
          <t>2 h 35 min</t>
        </is>
      </c>
      <c r="F50" s="51" t="inlineStr">
        <is>
          <t>Nonstop</t>
        </is>
      </c>
      <c r="G50" s="52">
        <f>2265*$B$5/$B$4</f>
        <v/>
      </c>
      <c r="H50" s="53">
        <f>G50*$B$4</f>
        <v/>
      </c>
      <c r="I50" s="53">
        <f>H50*$B$6</f>
        <v/>
      </c>
      <c r="J50" s="53">
        <f>H50*$B$7</f>
        <v/>
      </c>
      <c r="K50" s="52">
        <f>700*$B$5/$B$4</f>
        <v/>
      </c>
      <c r="L50" s="51" t="inlineStr">
        <is>
          <t>ASSUMPTION ¥700 used in the old Fly plan</t>
        </is>
      </c>
      <c r="M50" s="53">
        <f>IF(K50="","",(G50-K50)*$B$4)</f>
        <v/>
      </c>
      <c r="N50" s="51" t="inlineStr">
        <is>
          <t>No – lands after midnight; use the through ticket</t>
        </is>
      </c>
      <c r="O50" s="55" t="inlineStr">
        <is>
          <t>https://www.trip.com/flights/showfarefirst?dcity=bjs&amp;acity=hgh&amp;ddate=2027-01-25&amp;triptype=ow&amp;class=y&amp;quantity=1&amp;curr=CNY</t>
        </is>
      </c>
    </row>
    <row r="51">
      <c r="A51" s="51" t="inlineStr">
        <is>
          <t>Beijing → Hangzhou</t>
        </is>
      </c>
      <c r="B51" s="51" t="inlineStr">
        <is>
          <t>26 Jan 2027</t>
        </is>
      </c>
      <c r="C51" s="51" t="inlineStr">
        <is>
          <t>Shandong Airlines</t>
        </is>
      </c>
      <c r="D51" s="51" t="inlineStr">
        <is>
          <t>18:35–20:40</t>
        </is>
      </c>
      <c r="E51" s="51" t="inlineStr">
        <is>
          <t>2 h 05 min</t>
        </is>
      </c>
      <c r="F51" s="51" t="inlineStr">
        <is>
          <t>Nonstop</t>
        </is>
      </c>
      <c r="G51" s="52">
        <f>1286*$B$5/$B$4</f>
        <v/>
      </c>
      <c r="H51" s="53">
        <f>G51*$B$4</f>
        <v/>
      </c>
      <c r="I51" s="53">
        <f>H51*$B$6</f>
        <v/>
      </c>
      <c r="J51" s="53">
        <f>H51*$B$7</f>
        <v/>
      </c>
      <c r="K51" s="52">
        <f>700*$B$5/$B$4</f>
        <v/>
      </c>
      <c r="L51" s="51" t="inlineStr">
        <is>
          <t>ASSUMPTION ¥700 used in the old Fly plan</t>
        </is>
      </c>
      <c r="M51" s="53">
        <f>IF(K51="","",(G51-K51)*$B$4)</f>
        <v/>
      </c>
      <c r="N51" s="51" t="inlineStr">
        <is>
          <t>No – lands after EC Final day 1</t>
        </is>
      </c>
      <c r="O51" s="55" t="inlineStr">
        <is>
          <t>https://www.trip.com/flights/showfarefirst?dcity=bjs&amp;acity=hgh&amp;ddate=2027-01-26&amp;triptype=ow&amp;class=y&amp;quantity=1&amp;curr=CNY</t>
        </is>
      </c>
    </row>
    <row r="52">
      <c r="A52" s="51" t="inlineStr">
        <is>
          <t>Hangzhou → Beijing</t>
        </is>
      </c>
      <c r="B52" s="51" t="inlineStr">
        <is>
          <t>29 Jan 2027</t>
        </is>
      </c>
      <c r="C52" s="51" t="inlineStr">
        <is>
          <t>Air China</t>
        </is>
      </c>
      <c r="D52" s="51" t="inlineStr">
        <is>
          <t>07:00–11:00 hourly</t>
        </is>
      </c>
      <c r="E52" s="51" t="inlineStr">
        <is>
          <t>2 h 20 min</t>
        </is>
      </c>
      <c r="F52" s="51" t="inlineStr">
        <is>
          <t>Nonstop</t>
        </is>
      </c>
      <c r="G52" s="52">
        <f>1809*$B$5/$B$4</f>
        <v/>
      </c>
      <c r="H52" s="53">
        <f>G52*$B$4</f>
        <v/>
      </c>
      <c r="I52" s="53">
        <f>H52*$B$6</f>
        <v/>
      </c>
      <c r="J52" s="53">
        <f>H52*$B$7</f>
        <v/>
      </c>
      <c r="K52" s="52">
        <f>700*$B$5/$B$4</f>
        <v/>
      </c>
      <c r="L52" s="51" t="inlineStr">
        <is>
          <t>ASSUMPTION ¥700 used in the old Fly plan</t>
        </is>
      </c>
      <c r="M52" s="53">
        <f>IF(K52="","",(G52-K52)*$B$4)</f>
        <v/>
      </c>
      <c r="N52" s="51" t="inlineStr">
        <is>
          <t>No – use the through ticket</t>
        </is>
      </c>
      <c r="O52" s="55" t="inlineStr">
        <is>
          <t>https://www.trip.com/flights/showfarefirst?dcity=hgh&amp;acity=bjs&amp;ddate=2027-01-29&amp;triptype=ow&amp;class=y&amp;quantity=1&amp;curr=CNY</t>
        </is>
      </c>
    </row>
    <row r="53">
      <c r="A53" s="51" t="inlineStr">
        <is>
          <t>UB → Hangzhou (through)</t>
        </is>
      </c>
      <c r="B53" s="51" t="inlineStr">
        <is>
          <t>25 Jan 2027</t>
        </is>
      </c>
      <c r="C53" s="51" t="inlineStr">
        <is>
          <t>Air China via PEK</t>
        </is>
      </c>
      <c r="D53" s="51" t="inlineStr">
        <is>
          <t>11:50–18:45</t>
        </is>
      </c>
      <c r="E53" s="51" t="inlineStr">
        <is>
          <t>6 h 55 min</t>
        </is>
      </c>
      <c r="F53" s="51" t="inlineStr">
        <is>
          <t>1 (2 h 35 min PEK)</t>
        </is>
      </c>
      <c r="G53" s="52">
        <f>3265*$B$5/$B$4</f>
        <v/>
      </c>
      <c r="H53" s="53">
        <f>G53*$B$4</f>
        <v/>
      </c>
      <c r="I53" s="53">
        <f>H53*$B$6</f>
        <v/>
      </c>
      <c r="J53" s="53">
        <f>H53*$B$7</f>
        <v/>
      </c>
      <c r="K53" s="52">
        <f>150+700*$B$5/$B$4</f>
        <v/>
      </c>
      <c r="L53" s="51" t="inlineStr">
        <is>
          <t>MIAT $150 + ¥700 (old Fly plan)</t>
        </is>
      </c>
      <c r="M53" s="53">
        <f>IF(K53="","",(G53-K53)*$B$4)</f>
        <v/>
      </c>
      <c r="N53" s="54" t="inlineStr">
        <is>
          <t>Yes – one ticket, bags through</t>
        </is>
      </c>
      <c r="O53" s="55" t="inlineStr">
        <is>
          <t>https://www.trip.com/flights/showfarefirst?dcity=ubn&amp;acity=hgh&amp;ddate=2027-01-25&amp;triptype=ow&amp;class=y&amp;quantity=1&amp;curr=CNY</t>
        </is>
      </c>
    </row>
    <row r="54">
      <c r="A54" s="51" t="inlineStr">
        <is>
          <t>UB → Hangzhou</t>
        </is>
      </c>
      <c r="B54" s="51" t="inlineStr">
        <is>
          <t>25 Jan 2027</t>
        </is>
      </c>
      <c r="C54" s="51" t="inlineStr">
        <is>
          <t>MIAT + Hong Kong Airlines</t>
        </is>
      </c>
      <c r="D54" s="51" t="inlineStr">
        <is>
          <t>14:50–23:40</t>
        </is>
      </c>
      <c r="E54" s="51" t="inlineStr">
        <is>
          <t>8 h 50 min</t>
        </is>
      </c>
      <c r="F54" s="51" t="inlineStr">
        <is>
          <t>1 (1 h 45 min HKG)</t>
        </is>
      </c>
      <c r="G54" s="52">
        <f>2721*$B$5/$B$4</f>
        <v/>
      </c>
      <c r="H54" s="53">
        <f>G54*$B$4</f>
        <v/>
      </c>
      <c r="I54" s="53">
        <f>H54*$B$6</f>
        <v/>
      </c>
      <c r="J54" s="53">
        <f>H54*$B$7</f>
        <v/>
      </c>
      <c r="K54" s="52">
        <f>150+700*$B$5/$B$4</f>
        <v/>
      </c>
      <c r="L54" s="51" t="inlineStr">
        <is>
          <t>MIAT $150 + ¥700 (old Fly plan)</t>
        </is>
      </c>
      <c r="M54" s="53">
        <f>IF(K54="","",(G54-K54)*$B$4)</f>
        <v/>
      </c>
      <c r="N54" s="51" t="inlineStr">
        <is>
          <t>Backup – cheaper but lands 23:40</t>
        </is>
      </c>
      <c r="O54" s="55" t="inlineStr">
        <is>
          <t>https://www.trip.com/flights/showfarefirst?dcity=ubn&amp;acity=hgh&amp;ddate=2027-01-25&amp;triptype=ow&amp;class=y&amp;quantity=1&amp;curr=CNY</t>
        </is>
      </c>
    </row>
    <row r="55">
      <c r="A55" s="51" t="inlineStr">
        <is>
          <t>Hangzhou → UB (through)</t>
        </is>
      </c>
      <c r="B55" s="51" t="inlineStr">
        <is>
          <t>29 Jan 2027</t>
        </is>
      </c>
      <c r="C55" s="51" t="inlineStr">
        <is>
          <t>Air China via PEK</t>
        </is>
      </c>
      <c r="D55" s="51" t="inlineStr">
        <is>
          <t>08:00–15:05</t>
        </is>
      </c>
      <c r="E55" s="51" t="inlineStr">
        <is>
          <t>7 h 05 min</t>
        </is>
      </c>
      <c r="F55" s="51" t="inlineStr">
        <is>
          <t>1 (2 h 35 min PEK)</t>
        </is>
      </c>
      <c r="G55" s="52">
        <f>2250*$B$5/$B$4</f>
        <v/>
      </c>
      <c r="H55" s="53">
        <f>G55*$B$4</f>
        <v/>
      </c>
      <c r="I55" s="53">
        <f>H55*$B$6</f>
        <v/>
      </c>
      <c r="J55" s="53">
        <f>H55*$B$7</f>
        <v/>
      </c>
      <c r="K55" s="52">
        <f>219+700*$B$5/$B$4</f>
        <v/>
      </c>
      <c r="L55" s="51" t="inlineStr">
        <is>
          <t>¥700 + MIAT 30 Jan $219 (+ Beijing night)</t>
        </is>
      </c>
      <c r="M55" s="53">
        <f>IF(K55="","",(G55-K55)*$B$4)</f>
        <v/>
      </c>
      <c r="N55" s="54" t="inlineStr">
        <is>
          <t>Yes – home same day</t>
        </is>
      </c>
      <c r="O55" s="55" t="inlineStr">
        <is>
          <t>https://www.trip.com/flights/showfarefirst?dcity=hgh&amp;acity=ubn&amp;ddate=2027-01-29&amp;triptype=ow&amp;class=y&amp;quantity=1&amp;curr=CNY</t>
        </is>
      </c>
    </row>
    <row r="57">
      <c r="A57" s="56" t="inlineStr">
        <is>
          <t>• EC Final: the ¥700 domestic fare is not on sale for 25 Jan (Spring Festival rush). Air China through tickets (¥3,265 out, ¥2,250 back) are the cheapest options that fit the schedule.</t>
        </is>
      </c>
    </row>
    <row r="59">
      <c r="A59" s="49" t="inlineStr">
        <is>
          <t>Nanjing / Shenyang through tickets – checked 1 Oct 2026 (not used: separate tickets are cheaper)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</row>
    <row r="60">
      <c r="A60" s="51" t="inlineStr">
        <is>
          <t>Shenyang → UB (through)</t>
        </is>
      </c>
      <c r="B60" s="51" t="inlineStr">
        <is>
          <t>16 Nov 2026</t>
        </is>
      </c>
      <c r="C60" s="51" t="inlineStr">
        <is>
          <t>Air China via PEK</t>
        </is>
      </c>
      <c r="D60" s="51" t="inlineStr">
        <is>
          <t>09:00–15:05</t>
        </is>
      </c>
      <c r="E60" s="51" t="inlineStr">
        <is>
          <t>6 h 05 min</t>
        </is>
      </c>
      <c r="F60" s="51" t="inlineStr">
        <is>
          <t>1 (2 h 10 min PEK)</t>
        </is>
      </c>
      <c r="G60" s="52" t="n">
        <v>286</v>
      </c>
      <c r="H60" s="53">
        <f>G60*$B$4</f>
        <v/>
      </c>
      <c r="I60" s="53">
        <f>H60*$B$6</f>
        <v/>
      </c>
      <c r="J60" s="53">
        <f>H60*$B$7</f>
        <v/>
      </c>
      <c r="K60" s="52">
        <f>171+339*$B$5/$B$4+100*$B$5/$B$4</f>
        <v/>
      </c>
      <c r="L60" s="51" t="inlineStr">
        <is>
          <t>Train ¥339 + Beijing night ~¥100 pp + Air China $171</t>
        </is>
      </c>
      <c r="M60" s="53">
        <f>IF(K60="","",(G60-K60)*$B$4)</f>
        <v/>
      </c>
      <c r="N60" s="51" t="inlineStr">
        <is>
          <t>Only if the closing runs late</t>
        </is>
      </c>
      <c r="O60" s="55" t="inlineStr">
        <is>
          <t>https://www.trip.com/flights/showfarefirst?dcity=she&amp;acity=ubn&amp;ddate=2026-11-16&amp;triptype=ow&amp;class=y&amp;quantity=1&amp;curr=USD</t>
        </is>
      </c>
    </row>
    <row r="61">
      <c r="A61" s="51" t="inlineStr">
        <is>
          <t>UB → Nanjing (through)</t>
        </is>
      </c>
      <c r="B61" s="51" t="inlineStr">
        <is>
          <t>6 Nov 2026</t>
        </is>
      </c>
      <c r="C61" s="51" t="inlineStr">
        <is>
          <t>Air China via PEK</t>
        </is>
      </c>
      <c r="D61" s="51" t="inlineStr">
        <is>
          <t>16:10–22:50</t>
        </is>
      </c>
      <c r="E61" s="51" t="inlineStr">
        <is>
          <t>6 h 40 min</t>
        </is>
      </c>
      <c r="F61" s="51" t="inlineStr">
        <is>
          <t>1 (2 h 40 min PEK)</t>
        </is>
      </c>
      <c r="G61" s="52" t="n">
        <v>353</v>
      </c>
      <c r="H61" s="53">
        <f>G61*$B$4</f>
        <v/>
      </c>
      <c r="I61" s="53">
        <f>H61*$B$6</f>
        <v/>
      </c>
      <c r="J61" s="53">
        <f>H61*$B$7</f>
        <v/>
      </c>
      <c r="K61" s="52">
        <f>150+504*$B$5/$B$4+100*$B$5/$B$4</f>
        <v/>
      </c>
      <c r="L61" s="51" t="inlineStr">
        <is>
          <t>MIAT $150 + Beijing night ~¥100 pp + fast train ¥504</t>
        </is>
      </c>
      <c r="M61" s="53">
        <f>IF(K61="","",(G61-K61)*$B$4)</f>
        <v/>
      </c>
      <c r="N61" s="51" t="inlineStr">
        <is>
          <t>No</t>
        </is>
      </c>
      <c r="O61" s="55" t="inlineStr">
        <is>
          <t>https://www.trip.com/flights/showfarefirst?dcity=ubn&amp;acity=nkg&amp;ddate=2026-11-06&amp;triptype=ow&amp;class=y&amp;quantity=1&amp;curr=USD</t>
        </is>
      </c>
    </row>
    <row r="62">
      <c r="A62" s="51" t="inlineStr">
        <is>
          <t>UB → Nanjing</t>
        </is>
      </c>
      <c r="B62" s="51" t="inlineStr">
        <is>
          <t>6 Nov 2026</t>
        </is>
      </c>
      <c r="C62" s="51" t="inlineStr">
        <is>
          <t>Spring + China Eastern via PVG</t>
        </is>
      </c>
      <c r="D62" s="51" t="inlineStr">
        <is>
          <t>13:00–23:55</t>
        </is>
      </c>
      <c r="E62" s="51" t="inlineStr">
        <is>
          <t>10 h 55 min</t>
        </is>
      </c>
      <c r="F62" s="51" t="inlineStr">
        <is>
          <t>1 (6 h 05 min Shanghai)</t>
        </is>
      </c>
      <c r="G62" s="52" t="n">
        <v>208</v>
      </c>
      <c r="H62" s="53">
        <f>G62*$B$4</f>
        <v/>
      </c>
      <c r="I62" s="53">
        <f>H62*$B$6</f>
        <v/>
      </c>
      <c r="J62" s="53">
        <f>H62*$B$7</f>
        <v/>
      </c>
      <c r="K62" s="52">
        <f>150+504*$B$5/$B$4+100*$B$5/$B$4</f>
        <v/>
      </c>
      <c r="L62" s="51" t="inlineStr">
        <is>
          <t>MIAT $150 + Beijing night ~¥100 pp + fast train ¥504</t>
        </is>
      </c>
      <c r="M62" s="53">
        <f>IF(K62="","",(G62-K62)*$B$4)</f>
        <v/>
      </c>
      <c r="N62" s="51" t="inlineStr">
        <is>
          <t>No – hand baggage only, lands 23:55</t>
        </is>
      </c>
      <c r="O62" s="55" t="inlineStr">
        <is>
          <t>https://www.trip.com/flights/showfarefirst?dcity=ubn&amp;acity=nkg&amp;ddate=2026-11-06&amp;triptype=ow&amp;class=y&amp;quantity=1&amp;curr=USD</t>
        </is>
      </c>
    </row>
    <row r="63">
      <c r="A63" s="51" t="inlineStr">
        <is>
          <t>Nanjing → UB</t>
        </is>
      </c>
      <c r="B63" s="51" t="inlineStr">
        <is>
          <t>10 Nov 2026</t>
        </is>
      </c>
      <c r="C63" s="51" t="inlineStr">
        <is>
          <t>Air China + MIAT via PEK</t>
        </is>
      </c>
      <c r="D63" s="51" t="inlineStr">
        <is>
          <t>11:15–23:05</t>
        </is>
      </c>
      <c r="E63" s="51" t="inlineStr">
        <is>
          <t>11 h 50 min</t>
        </is>
      </c>
      <c r="F63" s="51" t="inlineStr">
        <is>
          <t>1 (7 h 30 min PEK)</t>
        </is>
      </c>
      <c r="G63" s="52" t="n">
        <v>360</v>
      </c>
      <c r="H63" s="53">
        <f>G63*$B$4</f>
        <v/>
      </c>
      <c r="I63" s="53">
        <f>H63*$B$6</f>
        <v/>
      </c>
      <c r="J63" s="53">
        <f>H63*$B$7</f>
        <v/>
      </c>
      <c r="K63" s="52">
        <f>219+504*$B$5/$B$4</f>
        <v/>
      </c>
      <c r="L63" s="51" t="inlineStr">
        <is>
          <t>Fast train ¥504 + MIAT $219</t>
        </is>
      </c>
      <c r="M63" s="53">
        <f>IF(K63="","",(G63-K63)*$B$4)</f>
        <v/>
      </c>
      <c r="N63" s="51" t="inlineStr">
        <is>
          <t>No</t>
        </is>
      </c>
      <c r="O63" s="55" t="inlineStr">
        <is>
          <t>https://www.trip.com/flights/showfarefirst?dcity=nkg&amp;acity=ubn&amp;ddate=2026-11-10&amp;triptype=ow&amp;class=y&amp;quantity=1&amp;curr=USD</t>
        </is>
      </c>
    </row>
    <row r="65">
      <c r="A65" s="49" t="inlineStr">
        <is>
          <t>Hohhot gateway – checked 1 Oct 2026 (Aero Mongolia / Air China / MIAT fly UB ⇄ Hohhot nonstop)</t>
        </is>
      </c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</row>
    <row r="66">
      <c r="A66" s="51" t="inlineStr">
        <is>
          <t>UB → Hohhot</t>
        </is>
      </c>
      <c r="B66" s="51" t="inlineStr">
        <is>
          <t>25 Jan 2027</t>
        </is>
      </c>
      <c r="C66" s="51" t="inlineStr">
        <is>
          <t>Aero Mongolia</t>
        </is>
      </c>
      <c r="D66" s="51" t="inlineStr">
        <is>
          <t>06:30–08:00</t>
        </is>
      </c>
      <c r="E66" s="51" t="inlineStr">
        <is>
          <t>1 h 30 min</t>
        </is>
      </c>
      <c r="F66" s="51" t="inlineStr">
        <is>
          <t>Nonstop</t>
        </is>
      </c>
      <c r="G66" s="52">
        <f>892*$B$5/$B$4</f>
        <v/>
      </c>
      <c r="H66" s="53">
        <f>G66*$B$4</f>
        <v/>
      </c>
      <c r="I66" s="53">
        <f>H66*$B$6</f>
        <v/>
      </c>
      <c r="J66" s="53">
        <f>H66*$B$7</f>
        <v/>
      </c>
      <c r="K66" s="52" t="n"/>
      <c r="L66" s="51" t="inlineStr"/>
      <c r="M66" s="53">
        <f>IF(K66="","",(G66-K66)*$B$4)</f>
        <v/>
      </c>
      <c r="N66" s="54" t="inlineStr">
        <is>
          <t>Yes – EC Fly outbound, leg 1</t>
        </is>
      </c>
      <c r="O66" s="55" t="inlineStr">
        <is>
          <t>https://www.trip.com/flights/showfarefirst?dcity=ubn&amp;acity=het&amp;ddate=2027-01-25&amp;triptype=ow&amp;class=y&amp;quantity=1&amp;curr=CNY</t>
        </is>
      </c>
    </row>
    <row r="67">
      <c r="A67" s="51" t="inlineStr">
        <is>
          <t>Hohhot → Hangzhou</t>
        </is>
      </c>
      <c r="B67" s="51" t="inlineStr">
        <is>
          <t>25 Jan 2027</t>
        </is>
      </c>
      <c r="C67" s="51" t="inlineStr">
        <is>
          <t>Xiamen Airlines</t>
        </is>
      </c>
      <c r="D67" s="51" t="inlineStr">
        <is>
          <t>11:15–13:40</t>
        </is>
      </c>
      <c r="E67" s="51" t="inlineStr">
        <is>
          <t>2 h 25 min</t>
        </is>
      </c>
      <c r="F67" s="51" t="inlineStr">
        <is>
          <t>Nonstop</t>
        </is>
      </c>
      <c r="G67" s="52">
        <f>1860*$B$5/$B$4</f>
        <v/>
      </c>
      <c r="H67" s="53">
        <f>G67*$B$4</f>
        <v/>
      </c>
      <c r="I67" s="53">
        <f>H67*$B$6</f>
        <v/>
      </c>
      <c r="J67" s="53">
        <f>H67*$B$7</f>
        <v/>
      </c>
      <c r="K67" s="52" t="n"/>
      <c r="L67" s="51" t="inlineStr"/>
      <c r="M67" s="53">
        <f>IF(K67="","",(G67-K67)*$B$4)</f>
        <v/>
      </c>
      <c r="N67" s="54" t="inlineStr">
        <is>
          <t>Yes – EC Fly outbound, leg 2 (Air China 19:40 ¥1,710 lands 22:20)</t>
        </is>
      </c>
      <c r="O67" s="55" t="inlineStr">
        <is>
          <t>https://www.trip.com/flights/showfarefirst?dcity=het&amp;acity=hgh&amp;ddate=2027-01-25&amp;triptype=ow&amp;class=y&amp;quantity=1&amp;curr=CNY</t>
        </is>
      </c>
    </row>
    <row r="68">
      <c r="A68" s="51" t="inlineStr">
        <is>
          <t>UB → Hangzhou via Hohhot (2 tickets)</t>
        </is>
      </c>
      <c r="B68" s="51" t="inlineStr">
        <is>
          <t>25 Jan 2027</t>
        </is>
      </c>
      <c r="C68" s="51" t="inlineStr">
        <is>
          <t>Aero Mongolia + Xiamen Airlines</t>
        </is>
      </c>
      <c r="D68" s="51" t="inlineStr">
        <is>
          <t>06:30–13:40</t>
        </is>
      </c>
      <c r="E68" s="51" t="inlineStr">
        <is>
          <t>7 h 10 min</t>
        </is>
      </c>
      <c r="F68" s="51" t="inlineStr">
        <is>
          <t>1 (3 h 15 min HET, self-transfer)</t>
        </is>
      </c>
      <c r="G68" s="52">
        <f>(892+1860)*$B$5/$B$4</f>
        <v/>
      </c>
      <c r="H68" s="53">
        <f>G68*$B$4</f>
        <v/>
      </c>
      <c r="I68" s="53">
        <f>H68*$B$6</f>
        <v/>
      </c>
      <c r="J68" s="53">
        <f>H68*$B$7</f>
        <v/>
      </c>
      <c r="K68" s="52">
        <f>3265*$B$5/$B$4</f>
        <v/>
      </c>
      <c r="L68" s="51" t="inlineStr">
        <is>
          <t>Air China through ticket via PEK ¥3,265</t>
        </is>
      </c>
      <c r="M68" s="53">
        <f>IF(K68="","",(G68-K68)*$B$4)</f>
        <v/>
      </c>
      <c r="N68" s="54" t="inlineStr">
        <is>
          <t>Yes – ¥513 pp cheaper, lands 5 h earlier</t>
        </is>
      </c>
      <c r="O68" s="55" t="n"/>
    </row>
    <row r="69">
      <c r="A69" s="51" t="inlineStr">
        <is>
          <t>Hangzhou → UB via Hohhot (2 tickets)</t>
        </is>
      </c>
      <c r="B69" s="51" t="inlineStr">
        <is>
          <t>29 Jan 2027</t>
        </is>
      </c>
      <c r="C69" s="51" t="inlineStr">
        <is>
          <t>Air China + Aero Mongolia</t>
        </is>
      </c>
      <c r="D69" s="51" t="inlineStr">
        <is>
          <t>09:55–01:00 (+1)</t>
        </is>
      </c>
      <c r="E69" s="51" t="inlineStr">
        <is>
          <t>15 h 05 min</t>
        </is>
      </c>
      <c r="F69" s="51" t="inlineStr">
        <is>
          <t>1 (10 h 50 min HET)</t>
        </is>
      </c>
      <c r="G69" s="52">
        <f>(1710+998)*$B$5/$B$4</f>
        <v/>
      </c>
      <c r="H69" s="53">
        <f>G69*$B$4</f>
        <v/>
      </c>
      <c r="I69" s="53">
        <f>H69*$B$6</f>
        <v/>
      </c>
      <c r="J69" s="53">
        <f>H69*$B$7</f>
        <v/>
      </c>
      <c r="K69" s="52">
        <f>2250*$B$5/$B$4</f>
        <v/>
      </c>
      <c r="L69" s="51" t="inlineStr">
        <is>
          <t>Air China through ticket via PEK ¥2,250</t>
        </is>
      </c>
      <c r="M69" s="53">
        <f>IF(K69="","",(G69-K69)*$B$4)</f>
        <v/>
      </c>
      <c r="N69" s="51" t="inlineStr">
        <is>
          <t>No</t>
        </is>
      </c>
      <c r="O69" s="55" t="inlineStr">
        <is>
          <t>https://www.trip.com/flights/showfarefirst?dcity=hgh&amp;acity=het&amp;ddate=2027-01-29&amp;triptype=ow&amp;class=y&amp;quantity=1&amp;curr=CNY</t>
        </is>
      </c>
    </row>
    <row r="70">
      <c r="A70" s="51" t="inlineStr">
        <is>
          <t>UB → Hohhot</t>
        </is>
      </c>
      <c r="B70" s="51" t="inlineStr">
        <is>
          <t>13 Nov 2026</t>
        </is>
      </c>
      <c r="C70" s="51" t="inlineStr">
        <is>
          <t>Air China</t>
        </is>
      </c>
      <c r="D70" s="51" t="inlineStr">
        <is>
          <t>13:00–14:40</t>
        </is>
      </c>
      <c r="E70" s="51" t="inlineStr">
        <is>
          <t>1 h 40 min</t>
        </is>
      </c>
      <c r="F70" s="51" t="inlineStr">
        <is>
          <t>Nonstop</t>
        </is>
      </c>
      <c r="G70" s="52" t="n">
        <v>157</v>
      </c>
      <c r="H70" s="53">
        <f>G70*$B$4</f>
        <v/>
      </c>
      <c r="I70" s="53">
        <f>H70*$B$6</f>
        <v/>
      </c>
      <c r="J70" s="53">
        <f>H70*$B$7</f>
        <v/>
      </c>
      <c r="K70" s="52" t="n">
        <v>150</v>
      </c>
      <c r="L70" s="51" t="inlineStr">
        <is>
          <t>MIAT UB → PEK $150</t>
        </is>
      </c>
      <c r="M70" s="53">
        <f>IF(K70="","",(G70-K70)*$B$4)</f>
        <v/>
      </c>
      <c r="N70" s="51" t="inlineStr">
        <is>
          <t>No – no fast rail Hohhot ⇄ Shenyang/Nanjing</t>
        </is>
      </c>
      <c r="O70" s="55" t="inlineStr">
        <is>
          <t>https://www.trip.com/flights/showfarefirst?dcity=ubn&amp;acity=het&amp;ddate=2026-11-13&amp;triptype=ow&amp;class=y&amp;quantity=1&amp;curr=USD</t>
        </is>
      </c>
    </row>
    <row r="71">
      <c r="A71" s="51" t="inlineStr">
        <is>
          <t>Hohhot → UB</t>
        </is>
      </c>
      <c r="B71" s="51" t="inlineStr">
        <is>
          <t>16 Nov 2026</t>
        </is>
      </c>
      <c r="C71" s="51" t="inlineStr">
        <is>
          <t>Aero Mongolia</t>
        </is>
      </c>
      <c r="D71" s="51" t="inlineStr">
        <is>
          <t>16:55–18:25</t>
        </is>
      </c>
      <c r="E71" s="51" t="inlineStr">
        <is>
          <t>1 h 30 min</t>
        </is>
      </c>
      <c r="F71" s="51" t="inlineStr">
        <is>
          <t>Nonstop</t>
        </is>
      </c>
      <c r="G71" s="52" t="n">
        <v>150</v>
      </c>
      <c r="H71" s="53">
        <f>G71*$B$4</f>
        <v/>
      </c>
      <c r="I71" s="53">
        <f>H71*$B$6</f>
        <v/>
      </c>
      <c r="J71" s="53">
        <f>H71*$B$7</f>
        <v/>
      </c>
      <c r="K71" s="52" t="n">
        <v>171</v>
      </c>
      <c r="L71" s="51" t="inlineStr">
        <is>
          <t>Air China PEK → UB $171</t>
        </is>
      </c>
      <c r="M71" s="53">
        <f>IF(K71="","",(G71-K71)*$B$4)</f>
        <v/>
      </c>
      <c r="N71" s="51" t="inlineStr">
        <is>
          <t>No – same reason</t>
        </is>
      </c>
      <c r="O71" s="55" t="inlineStr">
        <is>
          <t>https://www.trip.com/flights/showfarefirst?dcity=het&amp;acity=ubn&amp;ddate=2026-11-16&amp;triptype=ow&amp;class=y&amp;quantity=1&amp;curr=USD</t>
        </is>
      </c>
    </row>
    <row r="73">
      <c r="A73" s="56" t="inlineStr">
        <is>
          <t>• Other flight sources tried 1 Oct: Google Flights (scraped) shows MIAT UB ⇄ PEK at $154/$196 but no Air China prices; SlickTrip's price calendar matches; Expedia's tool is geo-blocked for Mongolia. Trip.com stays the best flight source.</t>
        </is>
      </c>
    </row>
  </sheetData>
  <hyperlinks>
    <hyperlink xmlns:r="http://schemas.openxmlformats.org/officeDocument/2006/relationships" ref="O11" display="https://www.trip.com/flights/showfarefirst?dcity=ubn&amp;acity=bjs&amp;ddate=2026-11-12&amp;triptype=ow&amp;class=y&amp;quantity=1&amp;curr=USD" r:id="rId1"/>
    <hyperlink xmlns:r="http://schemas.openxmlformats.org/officeDocument/2006/relationships" ref="O12" display="https://www.trip.com/flights/showfarefirst?dcity=ubn&amp;acity=bjs&amp;ddate=2026-11-12&amp;triptype=ow&amp;class=y&amp;quantity=1&amp;curr=USD" r:id="rId2"/>
    <hyperlink xmlns:r="http://schemas.openxmlformats.org/officeDocument/2006/relationships" ref="O13" display="https://www.trip.com/flights/showfarefirst?dcity=bjs&amp;acity=ubn&amp;ddate=2026-11-16&amp;triptype=ow&amp;class=y&amp;quantity=1&amp;curr=USD" r:id="rId3"/>
    <hyperlink xmlns:r="http://schemas.openxmlformats.org/officeDocument/2006/relationships" ref="O14" display="https://www.trip.com/flights/showfarefirst?dcity=bjs&amp;acity=ubn&amp;ddate=2026-11-16&amp;triptype=ow&amp;class=y&amp;quantity=1&amp;curr=USD" r:id="rId4"/>
    <hyperlink xmlns:r="http://schemas.openxmlformats.org/officeDocument/2006/relationships" ref="O15" display="https://www.trip.com/flights/showfarefirst?dcity=ubn&amp;acity=she&amp;ddate=2026-11-12&amp;triptype=ow&amp;class=y&amp;quantity=1&amp;curr=USD" r:id="rId5"/>
    <hyperlink xmlns:r="http://schemas.openxmlformats.org/officeDocument/2006/relationships" ref="O16" display="https://www.trip.com/flights/showfarefirst?dcity=ubn&amp;acity=she&amp;ddate=2026-11-12&amp;triptype=ow&amp;class=y&amp;quantity=1&amp;curr=USD" r:id="rId6"/>
    <hyperlink xmlns:r="http://schemas.openxmlformats.org/officeDocument/2006/relationships" ref="O18" display="https://www.trip.com/flights/showfarefirst?dcity=ubn&amp;acity=hkg&amp;ddate=2027-01-08&amp;rdate=2027-01-11&amp;triptype=rt&amp;class=y&amp;quantity=1&amp;curr=USD" r:id="rId7"/>
    <hyperlink xmlns:r="http://schemas.openxmlformats.org/officeDocument/2006/relationships" ref="O20" display="https://www.trip.com/flights/showfarefirst?dcity=bjs&amp;acity=hgh&amp;ddate=2027-01-25&amp;triptype=ow&amp;class=y&amp;quantity=1&amp;curr=USD" r:id="rId8"/>
    <hyperlink xmlns:r="http://schemas.openxmlformats.org/officeDocument/2006/relationships" ref="O21" display="https://www.trip.com/flights/showfarefirst?dcity=hgh&amp;acity=bjs&amp;ddate=2027-01-28&amp;triptype=ow&amp;class=y&amp;quantity=1&amp;curr=USD" r:id="rId9"/>
    <hyperlink xmlns:r="http://schemas.openxmlformats.org/officeDocument/2006/relationships" ref="O22" display="https://www.trip.com/flights/showfarefirst?dcity=hgh&amp;acity=bjs&amp;ddate=2027-01-28&amp;triptype=ow&amp;class=y&amp;quantity=1&amp;curr=USD" r:id="rId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110" customWidth="1" style="25" min="2" max="2"/>
  </cols>
  <sheetData>
    <row r="1" ht="17.35" customHeight="1" s="26">
      <c r="A1" s="27" t="inlineStr">
        <is>
          <t>About the 'Open platform (Trip.com)' connection</t>
        </is>
      </c>
    </row>
    <row r="3" ht="15" customHeight="1" s="26">
      <c r="A3" s="57" t="inlineStr">
        <is>
          <t>What it is</t>
        </is>
      </c>
      <c r="B3" s="58" t="inlineStr">
        <is>
          <t>A Bright Data web-scraping service (search engine + page unlocker), not an official Trip.com flight API.</t>
        </is>
      </c>
    </row>
    <row r="4" ht="39.55" customHeight="1" s="26">
      <c r="A4" s="57" t="inlineStr">
        <is>
          <t>What works</t>
        </is>
      </c>
      <c r="B4" s="58" t="inlineStr">
        <is>
          <t>Trip.com live search pages: www.trip.com/flights/showfarefirst?dcity=…&amp;acity=…&amp;ddate=YYYY-MM-DD&amp;triptype=ow&amp;class=y&amp;quantity=1&amp;curr=USD (use triptype=rt&amp;rdate=… for return). Route pages like /flights/beijing-to-hangzhou/airfares-bjs-hgh/ also work.</t>
        </is>
      </c>
    </row>
    <row r="5" ht="15" customHeight="1" s="26">
      <c r="A5" s="57" t="inlineStr">
        <is>
          <t>What it fixed</t>
        </is>
      </c>
      <c r="B5" s="58" t="inlineStr">
        <is>
          <t>Prices Air China and other carriers that SlickTrip returned as $0 (unpriced).</t>
        </is>
      </c>
    </row>
    <row r="6" ht="26.85" customHeight="1" s="26">
      <c r="A6" s="57" t="inlineStr">
        <is>
          <t>What fails</t>
        </is>
      </c>
      <c r="B6" s="58" t="inlineStr">
        <is>
          <t>Chinese Ctrip (flights.ctrip.com) – blocked unless the Bright Data account completes their KYC check. Old-style Trip.com URLs like /airfares-ubn-bjs/ return 404.</t>
        </is>
      </c>
    </row>
    <row r="7" ht="26.85" customHeight="1" s="26">
      <c r="A7" s="57" t="inlineStr">
        <is>
          <t>Limit</t>
        </is>
      </c>
      <c r="B7" s="58" t="inlineStr">
        <is>
          <t>Trip.com's international site sells the same inflated foreign-market domestic fares as SlickTrip for dates months ahead (~$270–380 vs ~¥470–700 real).</t>
        </is>
      </c>
    </row>
    <row r="8" ht="15" customHeight="1" s="26">
      <c r="A8" s="57" t="inlineStr">
        <is>
          <t>Output size</t>
        </is>
      </c>
      <c r="B8" s="58" t="inlineStr">
        <is>
          <t>Each search page is large; scrape 2 pages per batch to avoid truncation.</t>
        </is>
      </c>
    </row>
    <row r="9" ht="15" customHeight="1" s="26">
      <c r="A9" s="57" t="inlineStr">
        <is>
          <t>Exchange rates</t>
        </is>
      </c>
      <c r="B9" s="58" t="inlineStr">
        <is>
          <t>USD 3,598 ₮; CNY 536 ₮ (late Sep 2026, mid-market).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4" customWidth="1" style="26" min="1" max="1"/>
    <col width="22" customWidth="1" style="26" min="2" max="2"/>
    <col width="16" customWidth="1" style="26" min="3" max="3"/>
    <col width="18" customWidth="1" style="26" min="4" max="4"/>
    <col width="24" customWidth="1" style="26" min="5" max="5"/>
    <col width="26" customWidth="1" style="26" min="6" max="6"/>
    <col width="28" customWidth="1" style="26" min="7" max="7"/>
    <col width="44" customWidth="1" style="26" min="8" max="8"/>
  </cols>
  <sheetData>
    <row r="1">
      <c r="A1" s="59" t="inlineStr">
        <is>
          <t>Trains (Ctrip) and hotels (Trip.com) checked 1 Oct 2026</t>
        </is>
      </c>
    </row>
    <row r="2">
      <c r="A2" s="60" t="inlineStr">
        <is>
          <t>Train fares from trains.ctrip.com timetables (sales open 15 days ahead). Hotel prices are Trip.com totals incl. taxes for the stated stay, searched by distance from each venue.</t>
        </is>
      </c>
      <c r="B2" s="60" t="n"/>
      <c r="C2" s="60" t="n"/>
      <c r="D2" s="60" t="n"/>
      <c r="E2" s="60" t="n"/>
      <c r="F2" s="60" t="n"/>
      <c r="G2" s="60" t="n"/>
      <c r="H2" s="60" t="n"/>
    </row>
    <row r="3">
      <c r="A3" s="60" t="n"/>
      <c r="B3" s="60" t="n"/>
      <c r="C3" s="60" t="n"/>
      <c r="D3" s="60" t="n"/>
      <c r="E3" s="60" t="n"/>
      <c r="F3" s="60" t="n"/>
      <c r="G3" s="60" t="n"/>
      <c r="H3" s="60" t="n"/>
    </row>
    <row r="4">
      <c r="A4" s="61" t="inlineStr">
        <is>
          <t>Trains</t>
        </is>
      </c>
      <c r="B4" s="61" t="inlineStr">
        <is>
          <t>Date</t>
        </is>
      </c>
      <c r="C4" s="61" t="inlineStr">
        <is>
          <t>Train</t>
        </is>
      </c>
      <c r="D4" s="61" t="inlineStr">
        <is>
          <t>Times</t>
        </is>
      </c>
      <c r="E4" s="61" t="inlineStr">
        <is>
          <t>Duration</t>
        </is>
      </c>
      <c r="F4" s="61" t="inlineStr">
        <is>
          <t>Class / price (CNY pp)</t>
        </is>
      </c>
      <c r="G4" s="61" t="inlineStr">
        <is>
          <t>Replaces</t>
        </is>
      </c>
      <c r="H4" s="61" t="inlineStr">
        <is>
          <t>Used in</t>
        </is>
      </c>
    </row>
    <row r="5">
      <c r="A5" s="60" t="inlineStr">
        <is>
          <t>Beijing → Shenyang North</t>
        </is>
      </c>
      <c r="B5" s="60" t="inlineStr">
        <is>
          <t>13 Nov 2026</t>
        </is>
      </c>
      <c r="C5" s="60" t="inlineStr">
        <is>
          <t>K53</t>
        </is>
      </c>
      <c r="D5" s="60" t="inlineStr">
        <is>
          <t>22:35–07:00 (+1)</t>
        </is>
      </c>
      <c r="E5" s="60" t="inlineStr">
        <is>
          <t>8 h 25 min</t>
        </is>
      </c>
      <c r="F5" s="60" t="inlineStr">
        <is>
          <t>Hard sleeper 171 / soft 263</t>
        </is>
      </c>
      <c r="G5" s="60" t="inlineStr">
        <is>
          <t>Beijing night + G-train ¥339</t>
        </is>
      </c>
      <c r="H5" s="60" t="inlineStr">
        <is>
          <t>Shenyang Budget (hard), C Home between (soft)</t>
        </is>
      </c>
    </row>
    <row r="6">
      <c r="A6" s="60" t="inlineStr">
        <is>
          <t>Shenyang North → Beijing</t>
        </is>
      </c>
      <c r="B6" s="60" t="inlineStr">
        <is>
          <t>15 Nov 2026</t>
        </is>
      </c>
      <c r="C6" s="60" t="inlineStr">
        <is>
          <t>K54</t>
        </is>
      </c>
      <c r="D6" s="60" t="inlineStr">
        <is>
          <t>22:00–06:58 (+1)</t>
        </is>
      </c>
      <c r="E6" s="60" t="inlineStr">
        <is>
          <t>8 h 58 min</t>
        </is>
      </c>
      <c r="F6" s="60" t="inlineStr">
        <is>
          <t>Hard sleeper 171 / soft 263</t>
        </is>
      </c>
      <c r="G6" s="60" t="inlineStr">
        <is>
          <t>Evening G-train ¥339 + Beijing night</t>
        </is>
      </c>
      <c r="H6" s="60" t="inlineStr">
        <is>
          <t>All Shenyang plans</t>
        </is>
      </c>
    </row>
    <row r="7">
      <c r="A7" s="60" t="inlineStr">
        <is>
          <t>Shenyang → Beijing Chaoyang</t>
        </is>
      </c>
      <c r="B7" s="60" t="inlineStr">
        <is>
          <t>15 Nov 2026</t>
        </is>
      </c>
      <c r="C7" s="60" t="inlineStr">
        <is>
          <t>G3522</t>
        </is>
      </c>
      <c r="D7" s="60" t="inlineStr">
        <is>
          <t>19:21–22:36</t>
        </is>
      </c>
      <c r="E7" s="60" t="inlineStr">
        <is>
          <t>3 h 15 min</t>
        </is>
      </c>
      <c r="F7" s="60" t="inlineStr">
        <is>
          <t>2nd class 268</t>
        </is>
      </c>
      <c r="G7" s="60" t="inlineStr"/>
      <c r="H7" s="60" t="inlineStr">
        <is>
          <t>Cheapest G-train that evening (fares 268–383)</t>
        </is>
      </c>
    </row>
    <row r="8">
      <c r="A8" s="60" t="inlineStr">
        <is>
          <t>Beijing → Nanjing</t>
        </is>
      </c>
      <c r="B8" s="60" t="inlineStr">
        <is>
          <t>6 Nov 2026</t>
        </is>
      </c>
      <c r="C8" s="60" t="inlineStr">
        <is>
          <t>D5</t>
        </is>
      </c>
      <c r="D8" s="60" t="inlineStr">
        <is>
          <t>21:21–06:46 (+1)</t>
        </is>
      </c>
      <c r="E8" s="60" t="inlineStr">
        <is>
          <t>9 h 25 min</t>
        </is>
      </c>
      <c r="F8" s="60" t="inlineStr">
        <is>
          <t>2nd-class sleeper 377</t>
        </is>
      </c>
      <c r="G8" s="60" t="inlineStr">
        <is>
          <t>Beijing night + G-train 504</t>
        </is>
      </c>
      <c r="H8" s="60" t="inlineStr">
        <is>
          <t>Not used – MIAT lands 19:30, too tight</t>
        </is>
      </c>
    </row>
    <row r="9">
      <c r="A9" s="60" t="n"/>
      <c r="B9" s="60" t="n"/>
      <c r="C9" s="60" t="n"/>
      <c r="D9" s="60" t="n"/>
      <c r="E9" s="60" t="n"/>
      <c r="F9" s="60" t="n"/>
      <c r="G9" s="60" t="n"/>
      <c r="H9" s="60" t="n"/>
    </row>
    <row r="10">
      <c r="A10" s="61" t="inlineStr">
        <is>
          <t>Hotels</t>
        </is>
      </c>
      <c r="B10" s="61" t="inlineStr">
        <is>
          <t>Stay</t>
        </is>
      </c>
      <c r="C10" s="61" t="inlineStr">
        <is>
          <t>Distance to venue</t>
        </is>
      </c>
      <c r="D10" s="61" t="inlineStr">
        <is>
          <t>Rating</t>
        </is>
      </c>
      <c r="E10" s="61" t="inlineStr">
        <is>
          <t>Room</t>
        </is>
      </c>
      <c r="F10" s="61" t="inlineStr">
        <is>
          <t>Total (CNY/HKD)</t>
        </is>
      </c>
      <c r="G10" s="61" t="inlineStr">
        <is>
          <t>Per night</t>
        </is>
      </c>
      <c r="H10" s="61" t="inlineStr">
        <is>
          <t>Used in</t>
        </is>
      </c>
    </row>
    <row r="11">
      <c r="A11" s="60" t="inlineStr">
        <is>
          <t>Shenyang RiCH Hotel (Sanhao St)</t>
        </is>
      </c>
      <c r="B11" s="60" t="inlineStr">
        <is>
          <t>12–15 Nov, 3 or 4 adults</t>
        </is>
      </c>
      <c r="C11" s="60" t="inlineStr">
        <is>
          <t>1.3 km NEU</t>
        </is>
      </c>
      <c r="D11" s="60" t="inlineStr">
        <is>
          <t>9.6 (1,802)</t>
        </is>
      </c>
      <c r="E11" s="60" t="inlineStr">
        <is>
          <t>Family Room</t>
        </is>
      </c>
      <c r="F11" s="60" t="inlineStr">
        <is>
          <t>976</t>
        </is>
      </c>
      <c r="G11" s="60" t="inlineStr">
        <is>
          <t>325.33</t>
        </is>
      </c>
      <c r="H11" s="60" t="inlineStr">
        <is>
          <t>Shenyang Comfort (3 &amp; 4 ppl)</t>
        </is>
      </c>
    </row>
    <row r="12">
      <c r="A12" s="60" t="inlineStr">
        <is>
          <t>Shenyang RiCH Hotel (Sanhao St)</t>
        </is>
      </c>
      <c r="B12" s="60" t="inlineStr">
        <is>
          <t>13–15 Nov, 3 adults</t>
        </is>
      </c>
      <c r="C12" s="60" t="inlineStr">
        <is>
          <t>1.3 km NEU</t>
        </is>
      </c>
      <c r="D12" s="60" t="inlineStr">
        <is>
          <t>9.6 (1,802)</t>
        </is>
      </c>
      <c r="E12" s="60" t="inlineStr">
        <is>
          <t>Family Room</t>
        </is>
      </c>
      <c r="F12" s="60" t="inlineStr">
        <is>
          <t>676</t>
        </is>
      </c>
      <c r="G12" s="60" t="inlineStr">
        <is>
          <t>338</t>
        </is>
      </c>
      <c r="H12" s="60" t="inlineStr">
        <is>
          <t>A Balanced; C (1 night ¥338)</t>
        </is>
      </c>
    </row>
    <row r="13">
      <c r="A13" s="60" t="inlineStr">
        <is>
          <t>Aiyi Future Serviced Apartment</t>
        </is>
      </c>
      <c r="B13" s="60" t="inlineStr">
        <is>
          <t>12–15 Nov, 4 adults</t>
        </is>
      </c>
      <c r="C13" s="60" t="inlineStr">
        <is>
          <t>1.8 km NEU</t>
        </is>
      </c>
      <c r="D13" s="60" t="inlineStr">
        <is>
          <t>9.8 (957)</t>
        </is>
      </c>
      <c r="E13" s="60" t="inlineStr">
        <is>
          <t>Family 2-bed Room</t>
        </is>
      </c>
      <c r="F13" s="60" t="inlineStr">
        <is>
          <t>528</t>
        </is>
      </c>
      <c r="G13" s="60" t="inlineStr">
        <is>
          <t>176</t>
        </is>
      </c>
      <c r="H13" s="60" t="inlineStr">
        <is>
          <t>Alternative (1 room for 4)</t>
        </is>
      </c>
    </row>
    <row r="14">
      <c r="A14" s="60" t="inlineStr">
        <is>
          <t>Bestay Hotel Express Huaiyuanmen</t>
        </is>
      </c>
      <c r="B14" s="60" t="inlineStr">
        <is>
          <t>13–15 Nov, 3 adults</t>
        </is>
      </c>
      <c r="C14" s="60" t="inlineStr">
        <is>
          <t>~25 min metro</t>
        </is>
      </c>
      <c r="D14" s="60" t="inlineStr">
        <is>
          <t>8.2 (1,062)</t>
        </is>
      </c>
      <c r="E14" s="60" t="inlineStr">
        <is>
          <t>2 × Family Room</t>
        </is>
      </c>
      <c r="F14" s="60" t="inlineStr">
        <is>
          <t>284</t>
        </is>
      </c>
      <c r="G14" s="60" t="inlineStr">
        <is>
          <t>142 (2 rooms)</t>
        </is>
      </c>
      <c r="H14" s="60" t="inlineStr">
        <is>
          <t>Confirms Booking.com's ¥86/night is real</t>
        </is>
      </c>
    </row>
    <row r="15">
      <c r="A15" s="60" t="inlineStr">
        <is>
          <t>Mujiangnan Hotel (Cuipingshan)</t>
        </is>
      </c>
      <c r="B15" s="60" t="inlineStr">
        <is>
          <t>7–13 Nov, 3 adults</t>
        </is>
      </c>
      <c r="C15" s="60" t="inlineStr">
        <is>
          <t>0.9–1.2 km NUAA</t>
        </is>
      </c>
      <c r="D15" s="60" t="inlineStr">
        <is>
          <t>9.2 (1,355)</t>
        </is>
      </c>
      <c r="E15" s="60" t="inlineStr">
        <is>
          <t>Smart Family Room</t>
        </is>
      </c>
      <c r="F15" s="60" t="inlineStr">
        <is>
          <t>1,508</t>
        </is>
      </c>
      <c r="G15" s="60" t="inlineStr">
        <is>
          <t>251.33</t>
        </is>
      </c>
      <c r="H15" s="60" t="inlineStr">
        <is>
          <t>A Balanced (C: 7–10 Nov ¥752)</t>
        </is>
      </c>
    </row>
    <row r="16">
      <c r="A16" s="60" t="inlineStr">
        <is>
          <t>Pod Inn Nanjing South Station</t>
        </is>
      </c>
      <c r="B16" s="60" t="inlineStr">
        <is>
          <t>7–13 Nov, 3 adults</t>
        </is>
      </c>
      <c r="C16" s="60" t="inlineStr">
        <is>
          <t>3.8 km NUAA</t>
        </is>
      </c>
      <c r="D16" s="60" t="inlineStr">
        <is>
          <t>8.4 (2,374)</t>
        </is>
      </c>
      <c r="E16" s="60" t="inlineStr">
        <is>
          <t>Family Room</t>
        </is>
      </c>
      <c r="F16" s="60" t="inlineStr">
        <is>
          <t>658</t>
        </is>
      </c>
      <c r="G16" s="60" t="inlineStr">
        <is>
          <t>109.67</t>
        </is>
      </c>
      <c r="H16" s="60" t="inlineStr">
        <is>
          <t>B Budget</t>
        </is>
      </c>
    </row>
    <row r="17">
      <c r="A17" s="60" t="inlineStr">
        <is>
          <t>HanTing Hotel Future Sci-Tech Town</t>
        </is>
      </c>
      <c r="B17" s="60" t="inlineStr">
        <is>
          <t>25–29 Jan, 3 / 4 adults</t>
        </is>
      </c>
      <c r="C17" s="60" t="inlineStr">
        <is>
          <t>1.6 km HZNU</t>
        </is>
      </c>
      <c r="D17" s="60" t="inlineStr">
        <is>
          <t>9.9 (70)</t>
        </is>
      </c>
      <c r="E17" s="60" t="inlineStr">
        <is>
          <t>Family Room / 2 twin rooms</t>
        </is>
      </c>
      <c r="F17" s="60" t="inlineStr">
        <is>
          <t>1,263 / 2,192</t>
        </is>
      </c>
      <c r="G17" s="60" t="inlineStr">
        <is>
          <t>315.75 / 548</t>
        </is>
      </c>
      <c r="H17" s="60" t="inlineStr">
        <is>
          <t>EC Final Train</t>
        </is>
      </c>
    </row>
    <row r="18">
      <c r="A18" s="60" t="inlineStr">
        <is>
          <t>Mehood Theater Hotel</t>
        </is>
      </c>
      <c r="B18" s="60" t="inlineStr">
        <is>
          <t>25–29 Jan, 3 / 4 adults</t>
        </is>
      </c>
      <c r="C18" s="60" t="inlineStr">
        <is>
          <t>1.7 km HZNU</t>
        </is>
      </c>
      <c r="D18" s="60" t="inlineStr">
        <is>
          <t>9.6 (2,037)</t>
        </is>
      </c>
      <c r="E18" s="60" t="inlineStr">
        <is>
          <t>Family Room / 2 doubles</t>
        </is>
      </c>
      <c r="F18" s="60" t="inlineStr">
        <is>
          <t>1,800 / 2,848</t>
        </is>
      </c>
      <c r="G18" s="60" t="inlineStr">
        <is>
          <t>450 / 712</t>
        </is>
      </c>
      <c r="H18" s="60" t="inlineStr">
        <is>
          <t>EC Final Fly</t>
        </is>
      </c>
    </row>
    <row r="19">
      <c r="A19" s="60" t="inlineStr">
        <is>
          <t>Hong Kong near HKU / Kowloon</t>
        </is>
      </c>
      <c r="B19" s="60" t="inlineStr">
        <is>
          <t>8–11 Jan</t>
        </is>
      </c>
      <c r="C19" s="60" t="inlineStr">
        <is>
          <t>—</t>
        </is>
      </c>
      <c r="D19" s="60" t="inlineStr">
        <is>
          <t>—</t>
        </is>
      </c>
      <c r="E19" s="60" t="inlineStr">
        <is>
          <t>—</t>
        </is>
      </c>
      <c r="F19" s="60" t="inlineStr">
        <is>
          <t>—</t>
        </is>
      </c>
      <c r="G19" s="60" t="inlineStr">
        <is>
          <t>—</t>
        </is>
      </c>
      <c r="H19" s="60" t="inlineStr">
        <is>
          <t>Not changed: near HKU dearer than Booking.com; cheap TST guesthouses rated &lt;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26" min="1" max="1"/>
    <col width="12" customWidth="1" style="26" min="2" max="2"/>
    <col width="8" customWidth="1" style="26" min="3" max="3"/>
    <col width="17" customWidth="1" style="26" min="4" max="4"/>
    <col width="26" customWidth="1" style="26" min="5" max="5"/>
    <col width="14" customWidth="1" style="26" min="6" max="6"/>
    <col width="10" customWidth="1" style="26" min="7" max="7"/>
    <col width="10" customWidth="1" style="26" min="8" max="8"/>
    <col width="16" customWidth="1" style="26" min="9" max="9"/>
    <col width="42" customWidth="1" style="26" min="10" max="10"/>
    <col width="12" customWidth="1" style="26" min="11" max="11"/>
    <col width="12" customWidth="1" style="26" min="12" max="12"/>
  </cols>
  <sheetData>
    <row r="1">
      <c r="A1" s="62" t="inlineStr">
        <is>
          <t>Official 12306 fares vs ChinaTicketOnline (checked 3 Oct 2026)</t>
        </is>
      </c>
    </row>
    <row r="2" ht="60" customHeight="1" s="26">
      <c r="A2" s="60" t="inlineStr">
        <is>
          <t>12306 fares: kyfw.12306.cn leftTicket/queryG + queryTicketPrice for the same trains on 15 Oct 2026 (the plan dates are not on sale yet; normal-train fares are fixed, high-speed fares float a little). Sale times: 12306 queryAllCacheSaleTime. ChinaTicketOnline (CTO): admin-ajax getTrainListAjax for the plan date; price + per-ticket service fee in USD (card transaction fee extra).</t>
        </is>
      </c>
    </row>
    <row r="4">
      <c r="A4" s="63" t="inlineStr">
        <is>
          <t>Route</t>
        </is>
      </c>
      <c r="B4" s="63" t="inlineStr">
        <is>
          <t>Plan date</t>
        </is>
      </c>
      <c r="C4" s="63" t="inlineStr">
        <is>
          <t>Train</t>
        </is>
      </c>
      <c r="D4" s="63" t="inlineStr">
        <is>
          <t>Times</t>
        </is>
      </c>
      <c r="E4" s="63" t="inlineStr">
        <is>
          <t>12306 fare (CNY pp)</t>
        </is>
      </c>
      <c r="F4" s="63" t="inlineStr">
        <is>
          <t>CTO price + fee (USD pp)</t>
        </is>
      </c>
      <c r="G4" s="63" t="inlineStr">
        <is>
          <t>CTO ≈ CNY</t>
        </is>
      </c>
      <c r="H4" s="63" t="inlineStr">
        <is>
          <t>CTO mark-up</t>
        </is>
      </c>
      <c r="I4" s="63" t="inlineStr">
        <is>
          <t>Sales open (Beijing time)</t>
        </is>
      </c>
      <c r="J4" s="63" t="inlineStr">
        <is>
          <t>Used in / verdict</t>
        </is>
      </c>
      <c r="K4" s="64" t="inlineStr">
        <is>
          <t>CTO total USD</t>
        </is>
      </c>
      <c r="L4" s="64" t="inlineStr">
        <is>
          <t>12306 base CNY</t>
        </is>
      </c>
    </row>
    <row r="5">
      <c r="A5" s="60" t="inlineStr">
        <is>
          <t>Beijing → Shenyang North</t>
        </is>
      </c>
      <c r="B5" s="60" t="inlineStr">
        <is>
          <t>13 Nov 2026</t>
        </is>
      </c>
      <c r="C5" s="60" t="inlineStr">
        <is>
          <t>K53</t>
        </is>
      </c>
      <c r="D5" s="60" t="inlineStr">
        <is>
          <t>22:35–07:00 (+1)</t>
        </is>
      </c>
      <c r="E5" s="60" t="inlineStr">
        <is>
          <t>Hard sleeper 171 / soft 263</t>
        </is>
      </c>
      <c r="F5" s="60" t="inlineStr">
        <is>
          <t>29 + 8.5</t>
        </is>
      </c>
      <c r="G5" s="60">
        <f>ROUND(K5*$B$20,0)</f>
        <v/>
      </c>
      <c r="H5" s="65">
        <f>G5/L5-1</f>
        <v/>
      </c>
      <c r="I5" s="60" t="inlineStr">
        <is>
          <t>30 Oct 10:00</t>
        </is>
      </c>
      <c r="J5" s="60" t="inlineStr">
        <is>
          <t>All Shenyang plans (unchanged)</t>
        </is>
      </c>
      <c r="K5" s="66" t="n">
        <v>37.5</v>
      </c>
      <c r="L5" s="66" t="n">
        <v>171</v>
      </c>
    </row>
    <row r="6">
      <c r="A6" s="60" t="inlineStr">
        <is>
          <t>Beijing → Shenyang</t>
        </is>
      </c>
      <c r="B6" s="60" t="inlineStr">
        <is>
          <t>13 Nov 2026</t>
        </is>
      </c>
      <c r="C6" s="60" t="inlineStr">
        <is>
          <t>K341</t>
        </is>
      </c>
      <c r="D6" s="60" t="inlineStr">
        <is>
          <t>23:00–08:47 (+1)</t>
        </is>
      </c>
      <c r="E6" s="60" t="inlineStr">
        <is>
          <t>Hard sleeper 194 / soft 301</t>
        </is>
      </c>
      <c r="F6" s="60" t="inlineStr">
        <is>
          <t>33 + 9.5</t>
        </is>
      </c>
      <c r="G6" s="60">
        <f>ROUND(K6*$B$20,0)</f>
        <v/>
      </c>
      <c r="H6" s="65">
        <f>G6/L6-1</f>
        <v/>
      </c>
      <c r="I6" s="60" t="inlineStr">
        <is>
          <t>30 Oct 10:00</t>
        </is>
      </c>
      <c r="J6" s="60" t="inlineStr">
        <is>
          <t>Backup if K53 is sold out</t>
        </is>
      </c>
      <c r="K6" s="66" t="n">
        <v>42.5</v>
      </c>
      <c r="L6" s="66" t="n">
        <v>194</v>
      </c>
    </row>
    <row r="7">
      <c r="A7" s="60" t="inlineStr">
        <is>
          <t>Shenyang North → Beijing</t>
        </is>
      </c>
      <c r="B7" s="60" t="inlineStr">
        <is>
          <t>15 Nov 2026</t>
        </is>
      </c>
      <c r="C7" s="60" t="inlineStr">
        <is>
          <t>K54</t>
        </is>
      </c>
      <c r="D7" s="60" t="inlineStr">
        <is>
          <t>22:00–06:58 (+1)</t>
        </is>
      </c>
      <c r="E7" s="60" t="inlineStr">
        <is>
          <t>Hard sleeper 171 / soft 263</t>
        </is>
      </c>
      <c r="F7" s="60" t="inlineStr">
        <is>
          <t>29 + 8.5</t>
        </is>
      </c>
      <c r="G7" s="60">
        <f>ROUND(K7*$B$20,0)</f>
        <v/>
      </c>
      <c r="H7" s="65">
        <f>G7/L7-1</f>
        <v/>
      </c>
      <c r="I7" s="60" t="inlineStr">
        <is>
          <t>1 Nov 09:00</t>
        </is>
      </c>
      <c r="J7" s="60" t="inlineStr">
        <is>
          <t>All Shenyang plans (unchanged)</t>
        </is>
      </c>
      <c r="K7" s="66" t="n">
        <v>37.5</v>
      </c>
      <c r="L7" s="66" t="n">
        <v>171</v>
      </c>
    </row>
    <row r="8">
      <c r="A8" s="60" t="inlineStr">
        <is>
          <t>Beijing Chaoyang → Shenyang North</t>
        </is>
      </c>
      <c r="B8" s="60" t="inlineStr">
        <is>
          <t>13 Nov 2026</t>
        </is>
      </c>
      <c r="C8" s="60" t="inlineStr">
        <is>
          <t>G101</t>
        </is>
      </c>
      <c r="D8" s="60" t="inlineStr">
        <is>
          <t>08:00–10:29</t>
        </is>
      </c>
      <c r="E8" s="60" t="inlineStr">
        <is>
          <t>2nd class 355</t>
        </is>
      </c>
      <c r="F8" s="60" t="inlineStr">
        <is>
          <t>60 + 9.5</t>
        </is>
      </c>
      <c r="G8" s="60">
        <f>ROUND(K8*$B$20,0)</f>
        <v/>
      </c>
      <c r="H8" s="65">
        <f>G8/L8-1</f>
        <v/>
      </c>
      <c r="I8" s="60" t="inlineStr">
        <is>
          <t>30 Oct 10:00</t>
        </is>
      </c>
      <c r="J8" s="60" t="inlineStr">
        <is>
          <t>Reference</t>
        </is>
      </c>
      <c r="K8" s="66" t="n">
        <v>69.5</v>
      </c>
      <c r="L8" s="66" t="n">
        <v>355</v>
      </c>
    </row>
    <row r="9">
      <c r="A9" s="60" t="inlineStr">
        <is>
          <t>Nanjing → Shenyang North</t>
        </is>
      </c>
      <c r="B9" s="60" t="inlineStr">
        <is>
          <t>12 Nov 2026</t>
        </is>
      </c>
      <c r="C9" s="60" t="inlineStr">
        <is>
          <t>Z366</t>
        </is>
      </c>
      <c r="D9" s="60" t="inlineStr">
        <is>
          <t>16:58–09:14 (+1)</t>
        </is>
      </c>
      <c r="E9" s="60" t="inlineStr">
        <is>
          <t>Hard sleeper 337 / soft 530</t>
        </is>
      </c>
      <c r="F9" s="60" t="inlineStr">
        <is>
          <t>56 + 9.5</t>
        </is>
      </c>
      <c r="G9" s="60">
        <f>ROUND(K9*$B$20,0)</f>
        <v/>
      </c>
      <c r="H9" s="65">
        <f>G9/L9-1</f>
        <v/>
      </c>
      <c r="I9" s="60" t="inlineStr">
        <is>
          <t>29 Oct 08:15</t>
        </is>
      </c>
      <c r="J9" s="60" t="inlineStr">
        <is>
          <t>NEW in combined A (soft) and B (hard); replaces China Eastern $121 + a Nanjing night</t>
        </is>
      </c>
      <c r="K9" s="66" t="n">
        <v>65.5</v>
      </c>
      <c r="L9" s="66" t="n">
        <v>337</v>
      </c>
    </row>
    <row r="10">
      <c r="A10" s="60" t="inlineStr">
        <is>
          <t>Nanjing → Shenyang North</t>
        </is>
      </c>
      <c r="B10" s="60" t="inlineStr">
        <is>
          <t>12 Nov 2026</t>
        </is>
      </c>
      <c r="C10" s="60" t="inlineStr">
        <is>
          <t>Z516</t>
        </is>
      </c>
      <c r="D10" s="60" t="inlineStr">
        <is>
          <t>18:38–10:26 (+1)</t>
        </is>
      </c>
      <c r="E10" s="60" t="inlineStr">
        <is>
          <t>Hard sleeper 337 / soft 530</t>
        </is>
      </c>
      <c r="F10" s="60" t="inlineStr">
        <is>
          <t>56 + 9.5</t>
        </is>
      </c>
      <c r="G10" s="60">
        <f>ROUND(K10*$B$20,0)</f>
        <v/>
      </c>
      <c r="H10" s="65">
        <f>G10/L10-1</f>
        <v/>
      </c>
      <c r="I10" s="60" t="inlineStr">
        <is>
          <t>29 Oct 08:15</t>
        </is>
      </c>
      <c r="J10" s="60" t="inlineStr">
        <is>
          <t>Backup for Z366</t>
        </is>
      </c>
      <c r="K10" s="66" t="n">
        <v>65.5</v>
      </c>
      <c r="L10" s="66" t="n">
        <v>337</v>
      </c>
    </row>
    <row r="11">
      <c r="A11" s="60" t="inlineStr">
        <is>
          <t>Beijing → Hangzhou</t>
        </is>
      </c>
      <c r="B11" s="60" t="inlineStr">
        <is>
          <t>25 Jan 2027</t>
        </is>
      </c>
      <c r="C11" s="60" t="inlineStr">
        <is>
          <t>D17</t>
        </is>
      </c>
      <c r="D11" s="60" t="inlineStr">
        <is>
          <t>19:10–09:15 (+1)</t>
        </is>
      </c>
      <c r="E11" s="60" t="inlineStr">
        <is>
          <t>2nd-class sleeper 491 / 1st-class sleeper 670</t>
        </is>
      </c>
      <c r="F11" s="60" t="inlineStr">
        <is>
          <t>110 + 12</t>
        </is>
      </c>
      <c r="G11" s="60">
        <f>ROUND(K11*$B$20,0)</f>
        <v/>
      </c>
      <c r="H11" s="65">
        <f>G11/L11-1</f>
        <v/>
      </c>
      <c r="I11" s="60" t="inlineStr">
        <is>
          <t>11 Jan 10:00</t>
        </is>
      </c>
      <c r="J11" s="60" t="inlineStr">
        <is>
          <t>NEW in EC Final – Train; replaces G-train ¥601 + 25 Jan hotel night</t>
        </is>
      </c>
      <c r="K11" s="66" t="n">
        <v>122</v>
      </c>
      <c r="L11" s="66" t="n">
        <v>491</v>
      </c>
    </row>
    <row r="12">
      <c r="A12" s="60" t="inlineStr">
        <is>
          <t>Beijing South → Hangzhou</t>
        </is>
      </c>
      <c r="B12" s="60" t="inlineStr">
        <is>
          <t>25 Jan 2027</t>
        </is>
      </c>
      <c r="C12" s="60" t="inlineStr">
        <is>
          <t>D11</t>
        </is>
      </c>
      <c r="D12" s="60" t="inlineStr">
        <is>
          <t>21:22–11:20 (+1)</t>
        </is>
      </c>
      <c r="E12" s="60" t="inlineStr">
        <is>
          <t>2nd-class sleeper 564 / 1st 714</t>
        </is>
      </c>
      <c r="F12" s="60" t="inlineStr">
        <is>
          <t>103 + 12</t>
        </is>
      </c>
      <c r="G12" s="60">
        <f>ROUND(K12*$B$20,0)</f>
        <v/>
      </c>
      <c r="H12" s="65">
        <f>G12/L12-1</f>
        <v/>
      </c>
      <c r="I12" s="60" t="inlineStr">
        <is>
          <t>11 Jan 12:45</t>
        </is>
      </c>
      <c r="J12" s="60" t="inlineStr">
        <is>
          <t>Backup for D17</t>
        </is>
      </c>
      <c r="K12" s="66" t="n">
        <v>115</v>
      </c>
      <c r="L12" s="66" t="n">
        <v>564</v>
      </c>
    </row>
    <row r="13">
      <c r="A13" s="60" t="inlineStr">
        <is>
          <t>Beijing Fengtai → Hangzhou</t>
        </is>
      </c>
      <c r="B13" s="60" t="inlineStr">
        <is>
          <t>25 Jan 2027</t>
        </is>
      </c>
      <c r="C13" s="60" t="inlineStr">
        <is>
          <t>Z281</t>
        </is>
      </c>
      <c r="D13" s="60" t="inlineStr">
        <is>
          <t>19:10–10:36 (+1)</t>
        </is>
      </c>
      <c r="E13" s="60" t="inlineStr">
        <is>
          <t>Hard sleeper 328 / soft 515</t>
        </is>
      </c>
      <c r="F13" s="60" t="inlineStr">
        <is>
          <t>55 + 9.5</t>
        </is>
      </c>
      <c r="G13" s="60">
        <f>ROUND(K13*$B$20,0)</f>
        <v/>
      </c>
      <c r="H13" s="65">
        <f>G13/L13-1</f>
        <v/>
      </c>
      <c r="I13" s="60" t="inlineStr">
        <is>
          <t>11 Jan 08:00</t>
        </is>
      </c>
      <c r="J13" s="60" t="inlineStr">
        <is>
          <t>Cheapest backup</t>
        </is>
      </c>
      <c r="K13" s="66" t="n">
        <v>64.5</v>
      </c>
      <c r="L13" s="66" t="n">
        <v>328</v>
      </c>
    </row>
    <row r="14">
      <c r="A14" s="60" t="inlineStr">
        <is>
          <t>Beijing South → Hangzhou East</t>
        </is>
      </c>
      <c r="B14" s="60" t="inlineStr">
        <is>
          <t>25 Jan 2027</t>
        </is>
      </c>
      <c r="C14" s="60" t="inlineStr">
        <is>
          <t>G815</t>
        </is>
      </c>
      <c r="D14" s="60" t="inlineStr">
        <is>
          <t>07:04–13:02</t>
        </is>
      </c>
      <c r="E14" s="60" t="inlineStr">
        <is>
          <t>2nd class 564</t>
        </is>
      </c>
      <c r="F14" s="60" t="inlineStr">
        <is>
          <t>121 + 15</t>
        </is>
      </c>
      <c r="G14" s="60">
        <f>ROUND(K14*$B$20,0)</f>
        <v/>
      </c>
      <c r="H14" s="65">
        <f>G14/L14-1</f>
        <v/>
      </c>
      <c r="I14" s="60" t="inlineStr">
        <is>
          <t>11 Jan 12:45</t>
        </is>
      </c>
      <c r="J14" s="60" t="inlineStr">
        <is>
          <t>Reference: afternoon G-trains are ¥601–644</t>
        </is>
      </c>
      <c r="K14" s="66" t="n">
        <v>136</v>
      </c>
      <c r="L14" s="66" t="n">
        <v>564</v>
      </c>
    </row>
    <row r="15">
      <c r="A15" s="60" t="inlineStr">
        <is>
          <t>Beijing → Nanjing</t>
        </is>
      </c>
      <c r="B15" s="60" t="inlineStr">
        <is>
          <t>6 Nov 2026</t>
        </is>
      </c>
      <c r="C15" s="60" t="inlineStr">
        <is>
          <t>D5</t>
        </is>
      </c>
      <c r="D15" s="60" t="inlineStr">
        <is>
          <t>21:21–06:46 (+1)</t>
        </is>
      </c>
      <c r="E15" s="60" t="inlineStr">
        <is>
          <t>2nd-class sleeper 377</t>
        </is>
      </c>
      <c r="F15" s="60" t="inlineStr">
        <is>
          <t>—</t>
        </is>
      </c>
      <c r="G15" s="60" t="n"/>
      <c r="H15" s="60" t="n"/>
      <c r="I15" s="60" t="inlineStr">
        <is>
          <t>23 Oct 10:00</t>
        </is>
      </c>
      <c r="J15" s="60" t="inlineStr">
        <is>
          <t>Not used – MIAT lands 19:30</t>
        </is>
      </c>
    </row>
    <row r="16">
      <c r="A16" s="60" t="inlineStr">
        <is>
          <t>Beijing West → Hong Kong West Kowloon</t>
        </is>
      </c>
      <c r="B16" s="60" t="inlineStr">
        <is>
          <t>8 Jan 2027</t>
        </is>
      </c>
      <c r="C16" s="60" t="inlineStr">
        <is>
          <t>G381</t>
        </is>
      </c>
      <c r="D16" s="60" t="inlineStr">
        <is>
          <t>10:00–18:12</t>
        </is>
      </c>
      <c r="E16" s="60" t="inlineStr">
        <is>
          <t>2nd class 1,248</t>
        </is>
      </c>
      <c r="F16" s="60" t="inlineStr">
        <is>
          <t>—</t>
        </is>
      </c>
      <c r="G16" s="60" t="n"/>
      <c r="H16" s="60" t="n"/>
      <c r="I16" s="60" t="inlineStr">
        <is>
          <t>25 Dec 08:00</t>
        </is>
      </c>
      <c r="J16" s="60" t="inlineStr">
        <is>
          <t>Not used – MIAT nonstop $583 return is cheaper and faster</t>
        </is>
      </c>
    </row>
    <row r="20">
      <c r="A20" s="25" t="inlineStr">
        <is>
          <t>USD → CNY (from MNT rates 3598 / 536)</t>
        </is>
      </c>
      <c r="B20" s="67">
        <f>3598/536</f>
        <v/>
      </c>
    </row>
    <row r="22">
      <c r="A22" s="68" t="inlineStr">
        <is>
          <t>Findings</t>
        </is>
      </c>
    </row>
    <row r="23" ht="45" customHeight="1" s="26">
      <c r="A23" s="60" t="inlineStr">
        <is>
          <t>• 12306 shows official fares and lets anyone query trains without logging in, but only for the next 15 days (day of travel counts: on 3 Oct it sold up to 17 Oct). Query a date inside the window to get fares for the same train later – normal-train fares are fixed.</t>
        </is>
      </c>
    </row>
    <row r="24" ht="45" customHeight="1" s="26">
      <c r="A24" s="60" t="inlineStr">
        <is>
          <t>• 12306 sale times differ by departure station: Beijing 10:00, Beijing South 12:45, Beijing West / Fengtai 08:00, Shenyang North 09:00, Nanjing / Nanjing South 08:15, Hangzhou / Hangzhou East 10:45.</t>
        </is>
      </c>
    </row>
    <row r="25" ht="45" customHeight="1" s="26">
      <c r="A25" s="60" t="inlineStr">
        <is>
          <t>• ChinaTicketOnline sells mainland trains only as a pre-booking agent (buys when sales open). Its prices are 30–70% above 12306 once the $8.50–20 service fee is added, and card fees are extra. Its Mongolia and Russia international trains page still says 'Suspended'. Use it only if no one can pay on 12306 / Trip.com.</t>
        </is>
      </c>
    </row>
    <row r="26" ht="45" customHeight="1" s="26">
      <c r="A26" s="60" t="inlineStr">
        <is>
          <t>• Overnight sleepers save a hotel night wherever the timing works: Z366 Nanjing → Shenyang (combined plan) and D17 Beijing → Hangzhou (EC Final). Beijing → Hong Kong by rail (¥1,248, 8 h) loses to the MIAT nonstop.</t>
        </is>
      </c>
    </row>
  </sheetData>
  <mergeCells count="5">
    <mergeCell ref="A23:J23"/>
    <mergeCell ref="A26:J26"/>
    <mergeCell ref="A24:J24"/>
    <mergeCell ref="A2:J2"/>
    <mergeCell ref="A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26" min="1" max="1"/>
    <col width="11" customWidth="1" style="26" min="2" max="2"/>
    <col width="44" customWidth="1" style="26" min="3" max="3"/>
    <col width="22" customWidth="1" style="26" min="4" max="4"/>
    <col width="20" customWidth="1" style="26" min="5" max="5"/>
    <col width="30" customWidth="1" style="26" min="6" max="6"/>
    <col width="34" customWidth="1" style="26" min="7" max="7"/>
  </cols>
  <sheetData>
    <row r="1">
      <c r="A1" s="62" t="inlineStr">
        <is>
          <t>Shanghai, Nanchang, Shenyang and Hong Kong checks (10 Oct 2026)</t>
        </is>
      </c>
    </row>
    <row r="2" ht="48" customHeight="1" s="26">
      <c r="A2" s="60" t="inlineStr">
        <is>
          <t>Flights: Trip.com in the built-in browser (open the m/flights URL in a fronted tab and wait ~40 s; background tabs do not finish loading) and SlickTrip. Trains: 12306 fares for the 20 Oct train (fares are fixed), ChinaTicketOnline for timetables and sale dates of the real plan dates.</t>
        </is>
      </c>
    </row>
    <row r="4">
      <c r="A4" s="69" t="inlineStr">
        <is>
          <t>Item</t>
        </is>
      </c>
      <c r="B4" s="69" t="inlineStr">
        <is>
          <t>Date</t>
        </is>
      </c>
      <c r="C4" s="69" t="inlineStr">
        <is>
          <t>Option</t>
        </is>
      </c>
      <c r="D4" s="69" t="inlineStr">
        <is>
          <t>Trip.com (USD / CNY)</t>
        </is>
      </c>
      <c r="E4" s="69" t="inlineStr">
        <is>
          <t>SlickTrip (USD)</t>
        </is>
      </c>
      <c r="F4" s="69" t="inlineStr">
        <is>
          <t>12306 / CTO</t>
        </is>
      </c>
      <c r="G4" s="69" t="inlineStr">
        <is>
          <t>Used in</t>
        </is>
      </c>
    </row>
    <row r="5">
      <c r="A5" s="60" t="inlineStr">
        <is>
          <t>Flight UB → Beijing</t>
        </is>
      </c>
      <c r="B5" s="60" t="inlineStr">
        <is>
          <t>17 Dec</t>
        </is>
      </c>
      <c r="C5" s="60" t="inlineStr">
        <is>
          <t>Air China CA956 16:10–18:20</t>
        </is>
      </c>
      <c r="D5" s="60" t="inlineStr">
        <is>
          <t>$157</t>
        </is>
      </c>
      <c r="E5" s="60" t="inlineStr">
        <is>
          <t>n/a</t>
        </is>
      </c>
      <c r="F5" s="60" t="inlineStr"/>
      <c r="G5" s="60" t="inlineStr">
        <is>
          <t>Nanchang – Sleeper</t>
        </is>
      </c>
    </row>
    <row r="6">
      <c r="A6" s="60" t="inlineStr">
        <is>
          <t>Flight UB → Beijing</t>
        </is>
      </c>
      <c r="B6" s="60" t="inlineStr">
        <is>
          <t>17 Dec</t>
        </is>
      </c>
      <c r="C6" s="60" t="inlineStr">
        <is>
          <t>MIAT OM223 07:30–09:45</t>
        </is>
      </c>
      <c r="D6" s="60" t="inlineStr">
        <is>
          <t>$193</t>
        </is>
      </c>
      <c r="E6" s="60" t="inlineStr">
        <is>
          <t>$196</t>
        </is>
      </c>
      <c r="F6" s="60" t="inlineStr"/>
      <c r="G6" s="60" t="inlineStr">
        <is>
          <t>Nanchang – Comfort</t>
        </is>
      </c>
    </row>
    <row r="7">
      <c r="A7" s="60" t="inlineStr">
        <is>
          <t>Flight UB → Beijing</t>
        </is>
      </c>
      <c r="B7" s="60" t="inlineStr">
        <is>
          <t>17 Dec</t>
        </is>
      </c>
      <c r="C7" s="60" t="inlineStr">
        <is>
          <t>Air China CA902 11:50–13:55</t>
        </is>
      </c>
      <c r="D7" s="60" t="inlineStr">
        <is>
          <t>$363 ($354 student)</t>
        </is>
      </c>
      <c r="E7" s="60" t="inlineStr">
        <is>
          <t>$356 through to KHN</t>
        </is>
      </c>
      <c r="F7" s="60" t="inlineStr"/>
      <c r="G7" s="60" t="inlineStr">
        <is>
          <t>Nanchang – Fly in</t>
        </is>
      </c>
    </row>
    <row r="8">
      <c r="A8" s="60" t="inlineStr">
        <is>
          <t>Flight Beijing → UB</t>
        </is>
      </c>
      <c r="B8" s="60" t="inlineStr">
        <is>
          <t>21 Dec</t>
        </is>
      </c>
      <c r="C8" s="60" t="inlineStr">
        <is>
          <t>Air China CA955 12:55–15:05 (08:25 also $172)</t>
        </is>
      </c>
      <c r="D8" s="60" t="inlineStr">
        <is>
          <t>$172</t>
        </is>
      </c>
      <c r="E8" s="60" t="inlineStr">
        <is>
          <t>n/a</t>
        </is>
      </c>
      <c r="F8" s="60" t="inlineStr"/>
      <c r="G8" s="60" t="inlineStr">
        <is>
          <t>Nanchang (all)</t>
        </is>
      </c>
    </row>
    <row r="9">
      <c r="A9" s="60" t="inlineStr">
        <is>
          <t>Flight Beijing → UB</t>
        </is>
      </c>
      <c r="B9" s="60" t="inlineStr">
        <is>
          <t>21 Dec</t>
        </is>
      </c>
      <c r="C9" s="60" t="inlineStr">
        <is>
          <t>MIAT OM224 11:30–13:50</t>
        </is>
      </c>
      <c r="D9" s="60" t="inlineStr">
        <is>
          <t>$193</t>
        </is>
      </c>
      <c r="E9" s="60" t="inlineStr">
        <is>
          <t>$224</t>
        </is>
      </c>
      <c r="F9" s="60" t="inlineStr"/>
      <c r="G9" s="60" t="inlineStr"/>
    </row>
    <row r="10">
      <c r="A10" s="60" t="inlineStr">
        <is>
          <t>Flight UB → Beijing</t>
        </is>
      </c>
      <c r="B10" s="60" t="inlineStr">
        <is>
          <t>3 Dec</t>
        </is>
      </c>
      <c r="C10" s="60" t="inlineStr">
        <is>
          <t>MIAT OM223 07:30–09:45</t>
        </is>
      </c>
      <c r="D10" s="60" t="inlineStr">
        <is>
          <t>$151</t>
        </is>
      </c>
      <c r="E10" s="60" t="inlineStr">
        <is>
          <t>$154</t>
        </is>
      </c>
      <c r="F10" s="60" t="inlineStr"/>
      <c r="G10" s="60" t="inlineStr">
        <is>
          <t>Shanghai (A, C)</t>
        </is>
      </c>
    </row>
    <row r="11">
      <c r="A11" s="60" t="inlineStr">
        <is>
          <t>Flight UB → Beijing</t>
        </is>
      </c>
      <c r="B11" s="60" t="inlineStr">
        <is>
          <t>3 Dec</t>
        </is>
      </c>
      <c r="C11" s="60" t="inlineStr">
        <is>
          <t>Air China 11:50–13:55</t>
        </is>
      </c>
      <c r="D11" s="60" t="inlineStr">
        <is>
          <t>$200</t>
        </is>
      </c>
      <c r="E11" s="60" t="inlineStr"/>
      <c r="F11" s="60" t="inlineStr"/>
      <c r="G11" s="60" t="inlineStr"/>
    </row>
    <row r="12">
      <c r="A12" s="60" t="inlineStr">
        <is>
          <t>Flight Beijing → UB</t>
        </is>
      </c>
      <c r="B12" s="60" t="inlineStr">
        <is>
          <t>7 Dec</t>
        </is>
      </c>
      <c r="C12" s="60" t="inlineStr">
        <is>
          <t>Air China CA955 12:55–15:05 (08:25 also $172)</t>
        </is>
      </c>
      <c r="D12" s="60" t="inlineStr">
        <is>
          <t>$172</t>
        </is>
      </c>
      <c r="E12" s="60" t="inlineStr">
        <is>
          <t>n/a</t>
        </is>
      </c>
      <c r="F12" s="60" t="inlineStr"/>
      <c r="G12" s="60" t="inlineStr">
        <is>
          <t>Shanghai (A, C)</t>
        </is>
      </c>
    </row>
    <row r="13">
      <c r="A13" s="60" t="inlineStr">
        <is>
          <t>Flight Beijing → UB</t>
        </is>
      </c>
      <c r="B13" s="60" t="inlineStr">
        <is>
          <t>7 Dec</t>
        </is>
      </c>
      <c r="C13" s="60" t="inlineStr">
        <is>
          <t>MIAT OM224 11:30–13:50</t>
        </is>
      </c>
      <c r="D13" s="60" t="inlineStr">
        <is>
          <t>$193</t>
        </is>
      </c>
      <c r="E13" s="60" t="inlineStr">
        <is>
          <t>$197</t>
        </is>
      </c>
      <c r="F13" s="60" t="inlineStr"/>
      <c r="G13" s="60" t="inlineStr"/>
    </row>
    <row r="14">
      <c r="A14" s="60" t="inlineStr">
        <is>
          <t>Flight UB → Shanghai</t>
        </is>
      </c>
      <c r="B14" s="60" t="inlineStr">
        <is>
          <t>1 Dec</t>
        </is>
      </c>
      <c r="C14" s="60" t="inlineStr">
        <is>
          <t>Spring 9C6520 13:00–17:00 PVG</t>
        </is>
      </c>
      <c r="D14" s="60" t="inlineStr">
        <is>
          <t>$173</t>
        </is>
      </c>
      <c r="E14" s="60" t="inlineStr">
        <is>
          <t>$164</t>
        </is>
      </c>
      <c r="F14" s="60" t="inlineStr"/>
      <c r="G14" s="60" t="inlineStr">
        <is>
          <t>Shanghai – Spring nonstop</t>
        </is>
      </c>
    </row>
    <row r="15">
      <c r="A15" s="60" t="inlineStr">
        <is>
          <t>Flight Shanghai → UB</t>
        </is>
      </c>
      <c r="B15" s="60" t="inlineStr">
        <is>
          <t>8 Dec</t>
        </is>
      </c>
      <c r="C15" s="60" t="inlineStr">
        <is>
          <t>Spring 9C6519 08:00–12:00 PVG</t>
        </is>
      </c>
      <c r="D15" s="60" t="inlineStr">
        <is>
          <t>$159</t>
        </is>
      </c>
      <c r="E15" s="60" t="inlineStr">
        <is>
          <t>$153</t>
        </is>
      </c>
      <c r="F15" s="60" t="inlineStr"/>
      <c r="G15" s="60" t="inlineStr">
        <is>
          <t>Shanghai – Spring nonstop</t>
        </is>
      </c>
    </row>
    <row r="16">
      <c r="A16" s="60" t="inlineStr">
        <is>
          <t>Flight UB ⇄ Hong Kong</t>
        </is>
      </c>
      <c r="B16" s="60" t="inlineStr">
        <is>
          <t>8–11 Jan</t>
        </is>
      </c>
      <c r="C16" s="60" t="inlineStr">
        <is>
          <t>MIAT nonstop round trip</t>
        </is>
      </c>
      <c r="D16" s="60" t="inlineStr">
        <is>
          <t>$586 (30 Sep: $583)</t>
        </is>
      </c>
      <c r="E16" s="60" t="inlineStr">
        <is>
          <t>$593</t>
        </is>
      </c>
      <c r="F16" s="60" t="inlineStr"/>
      <c r="G16" s="60" t="inlineStr">
        <is>
          <t>Hong Kong (all)</t>
        </is>
      </c>
    </row>
    <row r="17">
      <c r="A17" s="60" t="inlineStr">
        <is>
          <t>Flight Hohhot → HKG/SZX</t>
        </is>
      </c>
      <c r="B17" s="60" t="inlineStr">
        <is>
          <t>8 Jan</t>
        </is>
      </c>
      <c r="C17" s="60" t="inlineStr">
        <is>
          <t>Shenzhen Airlines HET → SZX 15:45</t>
        </is>
      </c>
      <c r="D17" s="60" t="inlineStr"/>
      <c r="E17" s="60" t="inlineStr">
        <is>
          <t>$214</t>
        </is>
      </c>
      <c r="F17" s="60" t="inlineStr"/>
      <c r="G17" s="60" t="inlineStr">
        <is>
          <t>Not used (Aero Mongolia ¥892 + $214 &gt; $293)</t>
        </is>
      </c>
    </row>
    <row r="18">
      <c r="A18" s="60" t="inlineStr">
        <is>
          <t>Flight Beijing → HKG</t>
        </is>
      </c>
      <c r="B18" s="60" t="inlineStr">
        <is>
          <t>8 Jan</t>
        </is>
      </c>
      <c r="C18" s="60" t="inlineStr">
        <is>
          <t>Cathay CX345 07:30</t>
        </is>
      </c>
      <c r="D18" s="60" t="inlineStr"/>
      <c r="E18" s="60" t="inlineStr">
        <is>
          <t>$206</t>
        </is>
      </c>
      <c r="F18" s="60" t="inlineStr"/>
      <c r="G18" s="60" t="inlineStr">
        <is>
          <t>Not used (MIAT $150–196 + $206)</t>
        </is>
      </c>
    </row>
    <row r="19">
      <c r="A19" s="60" t="inlineStr">
        <is>
          <t>Train Beijing Fengtai → Nanchang</t>
        </is>
      </c>
      <c r="B19" s="60" t="inlineStr">
        <is>
          <t>17 Dec</t>
        </is>
      </c>
      <c r="C19" s="60" t="inlineStr">
        <is>
          <t>Z111 23:06 → 11:52, hard sleeper</t>
        </is>
      </c>
      <c r="D19" s="60" t="inlineStr"/>
      <c r="E19" s="60" t="inlineStr"/>
      <c r="F19" s="60" t="inlineStr">
        <is>
          <t>12306 ¥296.5 / CTO $50+9.5</t>
        </is>
      </c>
      <c r="G19" s="60" t="inlineStr">
        <is>
          <t>Nanchang – Sleeper</t>
        </is>
      </c>
    </row>
    <row r="20">
      <c r="A20" s="60" t="inlineStr">
        <is>
          <t>Train Beijing Fengtai → Nanchang</t>
        </is>
      </c>
      <c r="B20" s="60" t="inlineStr">
        <is>
          <t>17 Dec</t>
        </is>
      </c>
      <c r="C20" s="60" t="inlineStr">
        <is>
          <t>D135 19:48 → 07:49, 2nd-class sleeper</t>
        </is>
      </c>
      <c r="D20" s="60" t="inlineStr"/>
      <c r="E20" s="60" t="inlineStr"/>
      <c r="F20" s="60" t="inlineStr">
        <is>
          <t>12306 ¥382 / CTO $69+10.5</t>
        </is>
      </c>
      <c r="G20" s="60" t="inlineStr">
        <is>
          <t>Backup (MIAT 07:30)</t>
        </is>
      </c>
    </row>
    <row r="21">
      <c r="A21" s="60" t="inlineStr">
        <is>
          <t>Train Beijing West → Nanchang West</t>
        </is>
      </c>
      <c r="B21" s="60" t="inlineStr">
        <is>
          <t>17 Dec</t>
        </is>
      </c>
      <c r="C21" s="60" t="inlineStr">
        <is>
          <t>G335 12:00 → 17:52</t>
        </is>
      </c>
      <c r="D21" s="60" t="inlineStr"/>
      <c r="E21" s="60" t="inlineStr"/>
      <c r="F21" s="60" t="inlineStr">
        <is>
          <t>12306 ¥745 / CTO $118+12</t>
        </is>
      </c>
      <c r="G21" s="60" t="inlineStr">
        <is>
          <t>Nanchang – Comfort</t>
        </is>
      </c>
    </row>
    <row r="22">
      <c r="A22" s="60" t="inlineStr">
        <is>
          <t>Train Nanchang → Beijing Fengtai</t>
        </is>
      </c>
      <c r="B22" s="60" t="inlineStr">
        <is>
          <t>20 Dec</t>
        </is>
      </c>
      <c r="C22" s="60" t="inlineStr">
        <is>
          <t>D136 19:22 → 07:31, 2nd-class sleeper</t>
        </is>
      </c>
      <c r="D22" s="60" t="inlineStr"/>
      <c r="E22" s="60" t="inlineStr"/>
      <c r="F22" s="60" t="inlineStr">
        <is>
          <t>12306 ¥382 / CTO $69+10.5</t>
        </is>
      </c>
      <c r="G22" s="60" t="inlineStr">
        <is>
          <t>Nanchang (all)</t>
        </is>
      </c>
    </row>
    <row r="23">
      <c r="A23" s="60" t="inlineStr">
        <is>
          <t>Train Beijing South → Shanghai</t>
        </is>
      </c>
      <c r="B23" s="60" t="inlineStr">
        <is>
          <t>3 Dec</t>
        </is>
      </c>
      <c r="C23" s="60" t="inlineStr">
        <is>
          <t>G17 13:00 → 17:35</t>
        </is>
      </c>
      <c r="D23" s="60" t="inlineStr"/>
      <c r="E23" s="60" t="inlineStr"/>
      <c r="F23" s="60" t="inlineStr">
        <is>
          <t>12306 ¥667 / CTO $124+15</t>
        </is>
      </c>
      <c r="G23" s="60" t="inlineStr">
        <is>
          <t>Shanghai (all)</t>
        </is>
      </c>
    </row>
    <row r="24">
      <c r="A24" s="60" t="inlineStr">
        <is>
          <t>Train Shanghai → Beijing Fengtai</t>
        </is>
      </c>
      <c r="B24" s="60" t="inlineStr">
        <is>
          <t>6 Dec</t>
        </is>
      </c>
      <c r="C24" s="60" t="inlineStr">
        <is>
          <t>D8 19:08 → 06:58/07:17, 2nd-class sleeper</t>
        </is>
      </c>
      <c r="D24" s="60" t="inlineStr"/>
      <c r="E24" s="60" t="inlineStr"/>
      <c r="F24" s="60" t="inlineStr">
        <is>
          <t>12306 ¥440 / CTO $97+12 (¥625)</t>
        </is>
      </c>
      <c r="G24" s="60" t="inlineStr">
        <is>
          <t>Shanghai – Sleeper</t>
        </is>
      </c>
    </row>
    <row r="25">
      <c r="A25" s="60" t="inlineStr">
        <is>
          <t>Train Hongqiao → Beijing South</t>
        </is>
      </c>
      <c r="B25" s="60" t="inlineStr">
        <is>
          <t>6 Dec</t>
        </is>
      </c>
      <c r="C25" s="60" t="inlineStr">
        <is>
          <t>G32 19:25 → 23:49</t>
        </is>
      </c>
      <c r="D25" s="60" t="inlineStr"/>
      <c r="E25" s="60" t="inlineStr"/>
      <c r="F25" s="60" t="inlineStr">
        <is>
          <t>12306 ¥598 / CTO $123+15</t>
        </is>
      </c>
      <c r="G25" s="60" t="inlineStr">
        <is>
          <t>Shanghai – Train (no sleeper)</t>
        </is>
      </c>
    </row>
    <row r="26">
      <c r="A26" s="60" t="inlineStr">
        <is>
          <t>Train Beijing Chaoyang → Shenyang N.</t>
        </is>
      </c>
      <c r="B26" s="60" t="inlineStr">
        <is>
          <t>12 Nov</t>
        </is>
      </c>
      <c r="C26" s="60" t="inlineStr">
        <is>
          <t>G149 12:19 → 14:48</t>
        </is>
      </c>
      <c r="D26" s="60" t="inlineStr"/>
      <c r="E26" s="60" t="inlineStr"/>
      <c r="F26" s="60" t="inlineStr">
        <is>
          <t>12306 ¥369</t>
        </is>
      </c>
      <c r="G26" s="60" t="inlineStr">
        <is>
          <t>Shenyang – Comfort (G-train)</t>
        </is>
      </c>
    </row>
    <row r="27">
      <c r="A27" s="60" t="inlineStr">
        <is>
          <t>Train Beijing Chaoyang → Shenyang N.</t>
        </is>
      </c>
      <c r="B27" s="60" t="inlineStr">
        <is>
          <t>14 Nov</t>
        </is>
      </c>
      <c r="C27" s="60" t="inlineStr">
        <is>
          <t>G101 08:00 → 10:29</t>
        </is>
      </c>
      <c r="D27" s="60" t="inlineStr"/>
      <c r="E27" s="60" t="inlineStr"/>
      <c r="F27" s="60" t="inlineStr">
        <is>
          <t>12306 ¥355</t>
        </is>
      </c>
      <c r="G27" s="60" t="inlineStr">
        <is>
          <t>Shenyang – Budget (G-train)</t>
        </is>
      </c>
    </row>
    <row r="28">
      <c r="A28" s="60" t="inlineStr">
        <is>
          <t>Train Shenyang N. → Beijing Chaoyang</t>
        </is>
      </c>
      <c r="B28" s="60" t="inlineStr">
        <is>
          <t>15 Nov</t>
        </is>
      </c>
      <c r="C28" s="60" t="inlineStr">
        <is>
          <t>G142 19:51 → 22:30</t>
        </is>
      </c>
      <c r="D28" s="60" t="inlineStr"/>
      <c r="E28" s="60" t="inlineStr"/>
      <c r="F28" s="60" t="inlineStr">
        <is>
          <t>12306 ¥268</t>
        </is>
      </c>
      <c r="G28" s="60" t="inlineStr">
        <is>
          <t>Shenyang (G-train)</t>
        </is>
      </c>
    </row>
    <row r="30">
      <c r="A30" s="68" t="inlineStr">
        <is>
          <t>Sale dates (Beijing time; train on date D opens D − 14 days)</t>
        </is>
      </c>
    </row>
    <row r="31">
      <c r="A31" s="25" t="inlineStr">
        <is>
          <t>Z111 / D135 / G335, 17 Dec</t>
        </is>
      </c>
      <c r="B31" s="25" t="inlineStr">
        <is>
          <t>3 Dec 08:00 (Fengtai / Beijing West)</t>
        </is>
      </c>
    </row>
    <row r="32">
      <c r="A32" s="25" t="inlineStr">
        <is>
          <t>D136, 20 Dec</t>
        </is>
      </c>
      <c r="B32" s="25" t="inlineStr">
        <is>
          <t>6 Dec 09:45 (Nanchang station; Nanjing is 08:15)</t>
        </is>
      </c>
    </row>
    <row r="33">
      <c r="A33" s="25" t="inlineStr">
        <is>
          <t>G17, 3 Dec</t>
        </is>
      </c>
      <c r="B33" s="25" t="inlineStr">
        <is>
          <t>19 Nov 12:45 (Beijing South)</t>
        </is>
      </c>
    </row>
    <row r="34">
      <c r="A34" s="25" t="inlineStr">
        <is>
          <t>D8 / G32, 6 Dec</t>
        </is>
      </c>
      <c r="B34" s="25" t="inlineStr">
        <is>
          <t>22 Nov 14:45 / 13:45 (Shanghai / Hongqiao)</t>
        </is>
      </c>
    </row>
    <row r="35">
      <c r="A35" s="25" t="inlineStr">
        <is>
          <t>D17 Beijing → Hangzhou, 25 Jan</t>
        </is>
      </c>
      <c r="B35" s="25" t="inlineStr">
        <is>
          <t>11 Jan 10:00 (Beijing)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26" min="1" max="1"/>
    <col width="44" customWidth="1" style="26" min="2" max="2"/>
    <col width="11" customWidth="1" style="26" min="3" max="3"/>
    <col width="8" customWidth="1" style="26" min="4" max="4"/>
    <col width="30" customWidth="1" style="26" min="5" max="5"/>
    <col width="26" customWidth="1" style="26" min="6" max="6"/>
    <col width="16" customWidth="1" style="26" min="7" max="7"/>
    <col width="14" customWidth="1" style="26" min="8" max="8"/>
    <col width="9" customWidth="1" style="26" min="9" max="9"/>
    <col width="13" customWidth="1" style="26" min="10" max="10"/>
    <col width="22" customWidth="1" style="26" min="11" max="11"/>
    <col width="60" customWidth="1" style="26" min="12" max="12"/>
    <col width="11" customWidth="1" style="26" min="13" max="13"/>
    <col width="16" customWidth="1" style="26" min="14" max="14"/>
  </cols>
  <sheetData>
    <row r="1">
      <c r="A1" s="70" t="inlineStr">
        <is>
          <t>Budget hotels around NEU Nanhu campus, Shenyang – by how you reach campus (searched 22 Oct 2026)</t>
        </is>
      </c>
    </row>
    <row r="2" ht="92" customHeight="1" s="26">
      <c r="A2" s="71" t="inlineStr">
        <is>
          <t>Stay 12–15 Nov 2026 (3 nights). Price = 2 rooms × 3 nights, the team price for 3 or 4 people (Tripadvisor search with 4 adults / 2 rooms; its partner prices exclude ~$1–3 tax). Distances are straight-line from the Trip.com NEU landmark (41.7655, 123.4182, campus centre); the contest building is not confirmed, so allow ±0.5 km. Nearest metro to NEU: Line 3 Sanhaojie station on Wenhua Road (~0.5 km; Line 3 east section opened 30 Jun 2026). Times are estimates: walk 75 m/min × 1.25 detour; metro = walk + 4 min wait + 2.3 min per stop + 5 min per change + 9 min walk from Sanhaojie; taxi = 1.35 × straight-line at 22 km/h + 3 min, fare ¥9 for 3 km + ¥2/km (2025 tariff per taxi-rechner.de, not confirmed officially). Metro fares start at ¥2 per person. Cheapest rates may be double-bed rooms; small independent hotels may not register foreign guests.</t>
        </is>
      </c>
    </row>
    <row r="3">
      <c r="A3" s="72" t="inlineStr">
        <is>
          <t>USD → MNT</t>
        </is>
      </c>
      <c r="B3" s="73" t="n">
        <v>3598</v>
      </c>
      <c r="C3" s="72" t="inlineStr">
        <is>
          <t>CNY → MNT</t>
        </is>
      </c>
      <c r="D3" s="73" t="n">
        <v>536</v>
      </c>
      <c r="E3" s="74" t="inlineStr">
        <is>
          <t>Same rates as Compare!B8:B9 in ICPC_Single_Contest_Plans.xlsx</t>
        </is>
      </c>
    </row>
    <row r="5">
      <c r="A5" s="75" t="inlineStr">
        <is>
          <t>Group</t>
        </is>
      </c>
      <c r="B5" s="75" t="inlineStr">
        <is>
          <t>Hotel</t>
        </is>
      </c>
      <c r="C5" s="75" t="inlineStr">
        <is>
          <t>Distance to NEU (km)</t>
        </is>
      </c>
      <c r="D5" s="75" t="inlineStr">
        <is>
          <t>Walk (min)</t>
        </is>
      </c>
      <c r="E5" s="75" t="inlineStr">
        <is>
          <t>Nearest metro (walk km)</t>
        </is>
      </c>
      <c r="F5" s="75" t="inlineStr">
        <is>
          <t>Metro to NEU (min)</t>
        </is>
      </c>
      <c r="G5" s="75" t="inlineStr">
        <is>
          <t>Taxi to NEU (min / ¥ per car)</t>
        </is>
      </c>
      <c r="H5" s="75" t="inlineStr">
        <is>
          <t>Team price (2 rooms × 3 nights)</t>
        </is>
      </c>
      <c r="I5" s="75" t="inlineStr">
        <is>
          <t>Currency</t>
        </is>
      </c>
      <c r="J5" s="75" t="inlineStr">
        <is>
          <t>Total MNT</t>
        </is>
      </c>
      <c r="K5" s="75" t="inlineStr">
        <is>
          <t>Rating</t>
        </is>
      </c>
      <c r="L5" s="75" t="inlineStr">
        <is>
          <t>Source / note</t>
        </is>
      </c>
      <c r="M5" s="75" t="inlineStr">
        <is>
          <t>Trip.com</t>
        </is>
      </c>
      <c r="N5" s="75" t="inlineStr">
        <is>
          <t>Tripadvisor / Booking.com (dates set)</t>
        </is>
      </c>
    </row>
    <row r="6">
      <c r="A6" s="76" t="inlineStr">
        <is>
          <t>WALK – within ~1.5 km (≤ ~22 min on foot)</t>
        </is>
      </c>
      <c r="B6" s="77" t="n"/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</row>
    <row r="7">
      <c r="A7" s="71" t="inlineStr">
        <is>
          <t>Walk</t>
        </is>
      </c>
      <c r="B7" s="71" t="inlineStr">
        <is>
          <t>7 Days Inn Sanhao Street Liaozhan</t>
        </is>
      </c>
      <c r="C7" s="78" t="n">
        <v>1.31</v>
      </c>
      <c r="D7" s="71" t="n">
        <v>22</v>
      </c>
      <c r="E7" s="71" t="inlineStr">
        <is>
          <t>Gongye Zhanlanguan (L2/L3) (0.56)</t>
        </is>
      </c>
      <c r="F7" s="71" t="inlineStr">
        <is>
          <t>– (walking is quicker)</t>
        </is>
      </c>
      <c r="G7" s="71" t="inlineStr">
        <is>
          <t>8 / ¥9</t>
        </is>
      </c>
      <c r="H7" s="79" t="n">
        <v>95</v>
      </c>
      <c r="I7" s="71" t="inlineStr">
        <is>
          <t>USD</t>
        </is>
      </c>
      <c r="J7" s="80">
        <f>H7*IF(I7="USD",$B$3,$D$3)</f>
        <v/>
      </c>
      <c r="K7" s="71" t="inlineStr">
        <is>
          <t>no reviews</t>
        </is>
      </c>
      <c r="L7" s="71" t="inlineStr">
        <is>
          <t>Tripadvisor→Booking.com, 22 Oct. chain</t>
        </is>
      </c>
      <c r="N7" s="83" t="inlineStr">
        <is>
          <t>Tripadvisor</t>
        </is>
      </c>
    </row>
    <row r="8">
      <c r="A8" s="71" t="inlineStr">
        <is>
          <t>Walk</t>
        </is>
      </c>
      <c r="B8" s="71" t="inlineStr">
        <is>
          <t>Home Inn Sanhao St / Shengjing 2nd Hospital</t>
        </is>
      </c>
      <c r="C8" s="78" t="n">
        <v>1.13</v>
      </c>
      <c r="D8" s="71" t="n">
        <v>19</v>
      </c>
      <c r="E8" s="71" t="inlineStr">
        <is>
          <t>Gongye Zhanlanguan (L2/L3) (0.19)</t>
        </is>
      </c>
      <c r="F8" s="71" t="inlineStr">
        <is>
          <t>– (walking is quicker)</t>
        </is>
      </c>
      <c r="G8" s="71" t="inlineStr">
        <is>
          <t>7 / ¥9</t>
        </is>
      </c>
      <c r="H8" s="79" t="n">
        <v>105</v>
      </c>
      <c r="I8" s="71" t="inlineStr">
        <is>
          <t>USD</t>
        </is>
      </c>
      <c r="J8" s="80">
        <f>H8*IF(I8="USD",$B$3,$D$3)</f>
        <v/>
      </c>
      <c r="K8" s="71" t="inlineStr">
        <is>
          <t>no reviews</t>
        </is>
      </c>
      <c r="L8" s="71" t="inlineStr">
        <is>
          <t>Tripadvisor→Vio, 22 Oct. chain</t>
        </is>
      </c>
      <c r="N8" s="83" t="inlineStr">
        <is>
          <t>Tripadvisor</t>
        </is>
      </c>
    </row>
    <row r="9">
      <c r="A9" s="71" t="inlineStr">
        <is>
          <t>Walk</t>
        </is>
      </c>
      <c r="B9" s="71" t="inlineStr">
        <is>
          <t>7 Days Inn Shenyang Sanhao Street</t>
        </is>
      </c>
      <c r="C9" s="78" t="n">
        <v>0.7</v>
      </c>
      <c r="D9" s="71" t="n">
        <v>12</v>
      </c>
      <c r="E9" s="71" t="inlineStr">
        <is>
          <t>Sanhaojie (L3) (0.91)</t>
        </is>
      </c>
      <c r="F9" s="71" t="inlineStr">
        <is>
          <t>– (walking is quicker)</t>
        </is>
      </c>
      <c r="G9" s="71" t="inlineStr">
        <is>
          <t>6 / ¥9</t>
        </is>
      </c>
      <c r="H9" s="79" t="n">
        <v>109</v>
      </c>
      <c r="I9" s="71" t="inlineStr">
        <is>
          <t>USD</t>
        </is>
      </c>
      <c r="J9" s="80">
        <f>H9*IF(I9="USD",$B$3,$D$3)</f>
        <v/>
      </c>
      <c r="K9" s="71" t="inlineStr">
        <is>
          <t>Trip.com 8.9 (452); TA 4.0 (1)</t>
        </is>
      </c>
      <c r="L9" s="71" t="inlineStr">
        <is>
          <t>Tripadvisor→Agoda, 22 Oct. chain. Trip.com 22 Oct: 6 Jia 6 Wencui Road, Sanhaojie metro 780 m, Traditional Twin Room (2 single beds) offered, 'guests from all countries/regions are welcome'</t>
        </is>
      </c>
      <c r="M9" s="83" t="inlineStr">
        <is>
          <t>Trip.com</t>
        </is>
      </c>
      <c r="N9" s="83" t="inlineStr">
        <is>
          <t>Tripadvisor</t>
        </is>
      </c>
    </row>
    <row r="10">
      <c r="A10" s="71" t="inlineStr">
        <is>
          <t>Walk</t>
        </is>
      </c>
      <c r="B10" s="71" t="inlineStr">
        <is>
          <t>Jin Ke Hotel (Jinke)</t>
        </is>
      </c>
      <c r="C10" s="78" t="n">
        <v>0.95</v>
      </c>
      <c r="D10" s="71" t="n">
        <v>16</v>
      </c>
      <c r="E10" s="71" t="inlineStr">
        <is>
          <t>Gongye Zhanlanguan (L2/L3) (0.26)</t>
        </is>
      </c>
      <c r="F10" s="71" t="inlineStr">
        <is>
          <t>– (walking is quicker)</t>
        </is>
      </c>
      <c r="G10" s="71" t="inlineStr">
        <is>
          <t>6 / ¥9</t>
        </is>
      </c>
      <c r="H10" s="79" t="n">
        <v>146</v>
      </c>
      <c r="I10" s="71" t="inlineStr">
        <is>
          <t>USD</t>
        </is>
      </c>
      <c r="J10" s="80">
        <f>H10*IF(I10="USD",$B$3,$D$3)</f>
        <v/>
      </c>
      <c r="K10" s="71" t="inlineStr">
        <is>
          <t>Trip.com 9.5 (1,190); TA 3.4 (25)</t>
        </is>
      </c>
      <c r="L10" s="71" t="inlineStr">
        <is>
          <t>Tripadvisor→Trip.com, 22 Oct. Trip.com 22 Oct ¥1,044 for 2 rooms</t>
        </is>
      </c>
      <c r="M10" s="83" t="inlineStr">
        <is>
          <t>Trip.com</t>
        </is>
      </c>
      <c r="N10" s="83" t="inlineStr">
        <is>
          <t>Tripadvisor</t>
        </is>
      </c>
    </row>
    <row r="11">
      <c r="A11" s="71" t="inlineStr">
        <is>
          <t>Walk</t>
        </is>
      </c>
      <c r="B11" s="71" t="inlineStr">
        <is>
          <t>Atour Hotel Youth Avenue Square (Booking)</t>
        </is>
      </c>
      <c r="C11" s="78" t="n">
        <v>1.03</v>
      </c>
      <c r="D11" s="71" t="n">
        <v>17</v>
      </c>
      <c r="E11" s="71" t="inlineStr">
        <is>
          <t>Sanhaojie (L3) (0.73)</t>
        </is>
      </c>
      <c r="F11" s="71" t="inlineStr">
        <is>
          <t>– (walking is quicker)</t>
        </is>
      </c>
      <c r="G11" s="71" t="inlineStr">
        <is>
          <t>7 / ¥9</t>
        </is>
      </c>
      <c r="H11" s="79" t="n">
        <v>1591</v>
      </c>
      <c r="I11" s="71" t="inlineStr">
        <is>
          <t>CNY</t>
        </is>
      </c>
      <c r="J11" s="80">
        <f>H11*IF(I11="USD",$B$3,$D$3)</f>
        <v/>
      </c>
      <c r="K11" s="71" t="inlineStr">
        <is>
          <t>new, no score</t>
        </is>
      </c>
      <c r="L11" s="71" t="inlineStr">
        <is>
          <t>Booking.com, 22 Oct. 1 room for 3: ¥1,425</t>
        </is>
      </c>
      <c r="N11" s="83" t="inlineStr">
        <is>
          <t>Booking.com</t>
        </is>
      </c>
    </row>
    <row r="12">
      <c r="A12" s="76" t="inlineStr">
        <is>
          <t>METRO – ≤ ~850 m from a station, Line 3 direct or one change from Line 2 (~25–35 min door to door)</t>
        </is>
      </c>
      <c r="B12" s="77" t="n"/>
      <c r="C12" s="77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</row>
    <row r="13">
      <c r="A13" s="71" t="inlineStr">
        <is>
          <t>Metro</t>
        </is>
      </c>
      <c r="B13" s="71" t="inlineStr">
        <is>
          <t>Langrun Hotel</t>
        </is>
      </c>
      <c r="C13" s="78" t="n">
        <v>2.17</v>
      </c>
      <c r="D13" s="71" t="n">
        <v>36</v>
      </c>
      <c r="E13" s="71" t="inlineStr">
        <is>
          <t>Qingnian Gongyuan (L2) (0.22)</t>
        </is>
      </c>
      <c r="F13" s="71" t="inlineStr">
        <is>
          <t>26 (L2&gt;L3, 2 stops, 1 change)</t>
        </is>
      </c>
      <c r="G13" s="71" t="inlineStr">
        <is>
          <t>11 / ¥9</t>
        </is>
      </c>
      <c r="H13" s="79" t="n">
        <v>62</v>
      </c>
      <c r="I13" s="71" t="inlineStr">
        <is>
          <t>USD</t>
        </is>
      </c>
      <c r="J13" s="80">
        <f>H13*IF(I13="USD",$B$3,$D$3)</f>
        <v/>
      </c>
      <c r="K13" s="71" t="inlineStr">
        <is>
          <t>no reviews</t>
        </is>
      </c>
      <c r="L13" s="71" t="inlineStr">
        <is>
          <t>Tripadvisor→Trip.com, 22 Oct. independent – check photos / foreign guests</t>
        </is>
      </c>
      <c r="N13" s="83" t="inlineStr">
        <is>
          <t>Tripadvisor</t>
        </is>
      </c>
    </row>
    <row r="14">
      <c r="A14" s="71" t="inlineStr">
        <is>
          <t>Metro</t>
        </is>
      </c>
      <c r="B14" s="71" t="inlineStr">
        <is>
          <t>Home Inn Youth Park Metro / TV Tower</t>
        </is>
      </c>
      <c r="C14" s="78" t="n">
        <v>2.87</v>
      </c>
      <c r="D14" s="71" t="n">
        <v>48</v>
      </c>
      <c r="E14" s="71" t="inlineStr">
        <is>
          <t>Qingnian Gongyuan (L2) (0.80)</t>
        </is>
      </c>
      <c r="F14" s="71" t="inlineStr">
        <is>
          <t>36 (L2&gt;L3, 2 stops, 1 change)</t>
        </is>
      </c>
      <c r="G14" s="71" t="inlineStr">
        <is>
          <t>14 / ¥11</t>
        </is>
      </c>
      <c r="H14" s="79" t="n">
        <v>86</v>
      </c>
      <c r="I14" s="71" t="inlineStr">
        <is>
          <t>USD</t>
        </is>
      </c>
      <c r="J14" s="80">
        <f>H14*IF(I14="USD",$B$3,$D$3)</f>
        <v/>
      </c>
      <c r="K14" s="71" t="inlineStr">
        <is>
          <t>no reviews</t>
        </is>
      </c>
      <c r="L14" s="71" t="inlineStr">
        <is>
          <t>Tripadvisor→Agoda, 22 Oct. chain</t>
        </is>
      </c>
      <c r="N14" s="83" t="inlineStr">
        <is>
          <t>Tripadvisor</t>
        </is>
      </c>
    </row>
    <row r="15">
      <c r="A15" s="71" t="inlineStr">
        <is>
          <t>Metro</t>
        </is>
      </c>
      <c r="B15" s="71" t="inlineStr">
        <is>
          <t>7 Days Inn Maluwan</t>
        </is>
      </c>
      <c r="C15" s="78" t="n">
        <v>2.72</v>
      </c>
      <c r="D15" s="71" t="n">
        <v>45</v>
      </c>
      <c r="E15" s="71" t="inlineStr">
        <is>
          <t>Qingnian Dajie (L1/L2) (0.62)</t>
        </is>
      </c>
      <c r="F15" s="71" t="inlineStr">
        <is>
          <t>35 (L2&gt;L3, 3 stops, 1 change)</t>
        </is>
      </c>
      <c r="G15" s="71" t="inlineStr">
        <is>
          <t>13 / ¥10</t>
        </is>
      </c>
      <c r="H15" s="79" t="n">
        <v>87</v>
      </c>
      <c r="I15" s="71" t="inlineStr">
        <is>
          <t>USD</t>
        </is>
      </c>
      <c r="J15" s="80">
        <f>H15*IF(I15="USD",$B$3,$D$3)</f>
        <v/>
      </c>
      <c r="K15" s="71" t="inlineStr">
        <is>
          <t>no reviews</t>
        </is>
      </c>
      <c r="L15" s="71" t="inlineStr">
        <is>
          <t>Tripadvisor→Trip.com, 22 Oct. chain</t>
        </is>
      </c>
      <c r="N15" s="83" t="inlineStr">
        <is>
          <t>Tripadvisor</t>
        </is>
      </c>
    </row>
    <row r="16">
      <c r="A16" s="71" t="inlineStr">
        <is>
          <t>Metro</t>
        </is>
      </c>
      <c r="B16" s="71" t="inlineStr">
        <is>
          <t>Hanting Express Bus Station North</t>
        </is>
      </c>
      <c r="C16" s="78" t="n">
        <v>2.77</v>
      </c>
      <c r="D16" s="71" t="n">
        <v>46</v>
      </c>
      <c r="E16" s="71" t="inlineStr">
        <is>
          <t>Nanta (L3) (0.40)</t>
        </is>
      </c>
      <c r="F16" s="71" t="inlineStr">
        <is>
          <t>26 (L3, 3 stops)</t>
        </is>
      </c>
      <c r="G16" s="71" t="inlineStr">
        <is>
          <t>13 / ¥10</t>
        </is>
      </c>
      <c r="H16" s="79" t="n">
        <v>95</v>
      </c>
      <c r="I16" s="71" t="inlineStr">
        <is>
          <t>USD</t>
        </is>
      </c>
      <c r="J16" s="80">
        <f>H16*IF(I16="USD",$B$3,$D$3)</f>
        <v/>
      </c>
      <c r="K16" s="71" t="inlineStr">
        <is>
          <t>TA 3.0 (1)</t>
        </is>
      </c>
      <c r="L16" s="71" t="inlineStr">
        <is>
          <t>Tripadvisor→Trip.com (1 room, 3 ppl), 22 Oct. chain</t>
        </is>
      </c>
      <c r="N16" s="83" t="inlineStr">
        <is>
          <t>Tripadvisor</t>
        </is>
      </c>
    </row>
    <row r="17">
      <c r="A17" s="71" t="inlineStr">
        <is>
          <t>Metro</t>
        </is>
      </c>
      <c r="B17" s="71" t="inlineStr">
        <is>
          <t>Jianing Apartment Hotel Wenhua Rd</t>
        </is>
      </c>
      <c r="C17" s="78" t="n">
        <v>3.1</v>
      </c>
      <c r="D17" s="71" t="n">
        <v>52</v>
      </c>
      <c r="E17" s="71" t="inlineStr">
        <is>
          <t>Qingnian Dajie (L1/L2) (0.35)</t>
        </is>
      </c>
      <c r="F17" s="71" t="inlineStr">
        <is>
          <t>30 (L2&gt;L3, 3 stops, 1 change)</t>
        </is>
      </c>
      <c r="G17" s="71" t="inlineStr">
        <is>
          <t>14 / ¥11</t>
        </is>
      </c>
      <c r="H17" s="79" t="n">
        <v>103</v>
      </c>
      <c r="I17" s="71" t="inlineStr">
        <is>
          <t>USD</t>
        </is>
      </c>
      <c r="J17" s="80">
        <f>H17*IF(I17="USD",$B$3,$D$3)</f>
        <v/>
      </c>
      <c r="K17" s="71" t="inlineStr">
        <is>
          <t>no reviews</t>
        </is>
      </c>
      <c r="L17" s="71" t="inlineStr">
        <is>
          <t>Tripadvisor→Trip.com, 22 Oct. apartment</t>
        </is>
      </c>
      <c r="N17" s="83" t="inlineStr">
        <is>
          <t>Tripadvisor</t>
        </is>
      </c>
    </row>
    <row r="18">
      <c r="A18" s="71" t="inlineStr">
        <is>
          <t>Metro</t>
        </is>
      </c>
      <c r="B18" s="71" t="inlineStr">
        <is>
          <t>Moon Hotel</t>
        </is>
      </c>
      <c r="C18" s="78" t="n">
        <v>2.53</v>
      </c>
      <c r="D18" s="71" t="n">
        <v>42</v>
      </c>
      <c r="E18" s="71" t="inlineStr">
        <is>
          <t>Qingnian Gongyuan (L2) (0.44)</t>
        </is>
      </c>
      <c r="F18" s="71" t="inlineStr">
        <is>
          <t>30 (L2&gt;L3, 2 stops, 1 change)</t>
        </is>
      </c>
      <c r="G18" s="71" t="inlineStr">
        <is>
          <t>12 / ¥10</t>
        </is>
      </c>
      <c r="H18" s="79" t="n">
        <v>106</v>
      </c>
      <c r="I18" s="71" t="inlineStr">
        <is>
          <t>USD</t>
        </is>
      </c>
      <c r="J18" s="80">
        <f>H18*IF(I18="USD",$B$3,$D$3)</f>
        <v/>
      </c>
      <c r="K18" s="71" t="inlineStr">
        <is>
          <t>no reviews</t>
        </is>
      </c>
      <c r="L18" s="71" t="inlineStr">
        <is>
          <t>Tripadvisor→Trip.com, 22 Oct. independent</t>
        </is>
      </c>
      <c r="N18" s="83" t="inlineStr">
        <is>
          <t>Tripadvisor</t>
        </is>
      </c>
    </row>
    <row r="19">
      <c r="A19" s="71" t="inlineStr">
        <is>
          <t>Metro</t>
        </is>
      </c>
      <c r="B19" s="71" t="inlineStr">
        <is>
          <t>LazyBee International Youth Hostel</t>
        </is>
      </c>
      <c r="C19" s="78" t="n">
        <v>2.83</v>
      </c>
      <c r="D19" s="71" t="n">
        <v>47</v>
      </c>
      <c r="E19" s="71" t="inlineStr">
        <is>
          <t>Qingnian Dajie (L1/L2) (0.12)</t>
        </is>
      </c>
      <c r="F19" s="71" t="inlineStr">
        <is>
          <t>27 (L2&gt;L3, 3 stops, 1 change)</t>
        </is>
      </c>
      <c r="G19" s="71" t="inlineStr">
        <is>
          <t>13 / ¥11</t>
        </is>
      </c>
      <c r="H19" s="79" t="n">
        <v>112</v>
      </c>
      <c r="I19" s="71" t="inlineStr">
        <is>
          <t>USD</t>
        </is>
      </c>
      <c r="J19" s="80">
        <f>H19*IF(I19="USD",$B$3,$D$3)</f>
        <v/>
      </c>
      <c r="K19" s="71" t="inlineStr">
        <is>
          <t>TA 4.3 (8)</t>
        </is>
      </c>
      <c r="L19" s="71" t="inlineStr">
        <is>
          <t>Tripadvisor→Trip.com, 22 Oct. hostel, private rooms</t>
        </is>
      </c>
      <c r="N19" s="83" t="inlineStr">
        <is>
          <t>Tripadvisor</t>
        </is>
      </c>
    </row>
    <row r="20">
      <c r="A20" s="71" t="inlineStr">
        <is>
          <t>Metro</t>
        </is>
      </c>
      <c r="B20" s="71" t="inlineStr">
        <is>
          <t>Home Inn Neo Railway Stn Nanwu Rd Metro</t>
        </is>
      </c>
      <c r="C20" s="78" t="n">
        <v>2.33</v>
      </c>
      <c r="D20" s="71" t="n">
        <v>39</v>
      </c>
      <c r="E20" s="71" t="inlineStr">
        <is>
          <t>Jiaxing Jie (L3) (0.81)</t>
        </is>
      </c>
      <c r="F20" s="71" t="inlineStr">
        <is>
          <t>31 (L3, 2 stops)</t>
        </is>
      </c>
      <c r="G20" s="71" t="inlineStr">
        <is>
          <t>12 / ¥9</t>
        </is>
      </c>
      <c r="H20" s="79" t="n">
        <v>117</v>
      </c>
      <c r="I20" s="71" t="inlineStr">
        <is>
          <t>USD</t>
        </is>
      </c>
      <c r="J20" s="80">
        <f>H20*IF(I20="USD",$B$3,$D$3)</f>
        <v/>
      </c>
      <c r="K20" s="71" t="inlineStr">
        <is>
          <t>TA 3.8 (93)</t>
        </is>
      </c>
      <c r="L20" s="71" t="inlineStr">
        <is>
          <t>Tripadvisor→Agoda, 22 Oct. chain</t>
        </is>
      </c>
      <c r="N20" s="83" t="inlineStr">
        <is>
          <t>Tripadvisor</t>
        </is>
      </c>
    </row>
    <row r="21">
      <c r="A21" s="71" t="inlineStr">
        <is>
          <t>Metro</t>
        </is>
      </c>
      <c r="B21" s="71" t="inlineStr">
        <is>
          <t>Home Inn Nanta</t>
        </is>
      </c>
      <c r="C21" s="78" t="n">
        <v>3.33</v>
      </c>
      <c r="D21" s="71" t="n">
        <v>55</v>
      </c>
      <c r="E21" s="71" t="inlineStr">
        <is>
          <t>Wenfu Lu (L3) (0.45)</t>
        </is>
      </c>
      <c r="F21" s="71" t="inlineStr">
        <is>
          <t>29 (L3, 4 stops)</t>
        </is>
      </c>
      <c r="G21" s="71" t="inlineStr">
        <is>
          <t>15 / ¥12</t>
        </is>
      </c>
      <c r="H21" s="79" t="n">
        <v>139</v>
      </c>
      <c r="I21" s="71" t="inlineStr">
        <is>
          <t>USD</t>
        </is>
      </c>
      <c r="J21" s="80">
        <f>H21*IF(I21="USD",$B$3,$D$3)</f>
        <v/>
      </c>
      <c r="K21" s="71" t="inlineStr">
        <is>
          <t>TA 3.9 (134)</t>
        </is>
      </c>
      <c r="L21" s="71" t="inlineStr">
        <is>
          <t>Tripadvisor→Trip.com, 22 Oct. chain</t>
        </is>
      </c>
      <c r="N21" s="83" t="inlineStr">
        <is>
          <t>Tripadvisor</t>
        </is>
      </c>
    </row>
    <row r="22">
      <c r="A22" s="76" t="inlineStr">
        <is>
          <t>TAXI – no handy metro (or two changes); 13–30 min, ¥10–23 per car</t>
        </is>
      </c>
      <c r="B22" s="77" t="n"/>
      <c r="C22" s="77" t="n"/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</row>
    <row r="23">
      <c r="A23" s="71" t="inlineStr">
        <is>
          <t>Taxi</t>
        </is>
      </c>
      <c r="B23" s="71" t="inlineStr">
        <is>
          <t>YDOO &amp; YGOO Hotel</t>
        </is>
      </c>
      <c r="C23" s="78" t="n">
        <v>5.38</v>
      </c>
      <c r="D23" s="71" t="n">
        <v>90</v>
      </c>
      <c r="E23" s="71" t="inlineStr">
        <is>
          <t>Jinrong Zhongxin (L2) (0.90)</t>
        </is>
      </c>
      <c r="F23" s="71" t="inlineStr">
        <is>
          <t>44 (L2&gt;L3, 5 stops, 1 change)</t>
        </is>
      </c>
      <c r="G23" s="71" t="inlineStr">
        <is>
          <t>23 / ¥18</t>
        </is>
      </c>
      <c r="H23" s="79" t="n">
        <v>58</v>
      </c>
      <c r="I23" s="71" t="inlineStr">
        <is>
          <t>USD</t>
        </is>
      </c>
      <c r="J23" s="80">
        <f>H23*IF(I23="USD",$B$3,$D$3)</f>
        <v/>
      </c>
      <c r="K23" s="71" t="inlineStr">
        <is>
          <t>no reviews</t>
        </is>
      </c>
      <c r="L23" s="71" t="inlineStr">
        <is>
          <t>Tripadvisor→Vio, 22 Oct. independent</t>
        </is>
      </c>
      <c r="N23" s="83" t="inlineStr">
        <is>
          <t>Tripadvisor</t>
        </is>
      </c>
    </row>
    <row r="24">
      <c r="A24" s="71" t="inlineStr">
        <is>
          <t>Taxi</t>
        </is>
      </c>
      <c r="B24" s="71" t="inlineStr">
        <is>
          <t>Shenyang Dongdong Hotel</t>
        </is>
      </c>
      <c r="C24" s="78" t="n">
        <v>7.25</v>
      </c>
      <c r="D24" s="71" t="n">
        <v>121</v>
      </c>
      <c r="E24" s="71" t="inlineStr">
        <is>
          <t>none within 1 km</t>
        </is>
      </c>
      <c r="F24" s="71" t="inlineStr">
        <is>
          <t>–</t>
        </is>
      </c>
      <c r="G24" s="71" t="inlineStr">
        <is>
          <t>30 / ¥23</t>
        </is>
      </c>
      <c r="H24" s="79" t="n">
        <v>58</v>
      </c>
      <c r="I24" s="71" t="inlineStr">
        <is>
          <t>USD</t>
        </is>
      </c>
      <c r="J24" s="80">
        <f>H24*IF(I24="USD",$B$3,$D$3)</f>
        <v/>
      </c>
      <c r="K24" s="71" t="inlineStr">
        <is>
          <t>no reviews</t>
        </is>
      </c>
      <c r="L24" s="71" t="inlineStr">
        <is>
          <t>Tripadvisor→Trip.com, 22 Oct. independent</t>
        </is>
      </c>
      <c r="N24" s="83" t="inlineStr">
        <is>
          <t>Tripadvisor</t>
        </is>
      </c>
    </row>
    <row r="25">
      <c r="A25" s="71" t="inlineStr">
        <is>
          <t>Taxi</t>
        </is>
      </c>
      <c r="B25" s="71" t="inlineStr">
        <is>
          <t>Xinting Hotel</t>
        </is>
      </c>
      <c r="C25" s="78" t="n">
        <v>5.39</v>
      </c>
      <c r="D25" s="71" t="n">
        <v>90</v>
      </c>
      <c r="E25" s="71" t="inlineStr">
        <is>
          <t>none within 1 km</t>
        </is>
      </c>
      <c r="F25" s="71" t="inlineStr">
        <is>
          <t>–</t>
        </is>
      </c>
      <c r="G25" s="71" t="inlineStr">
        <is>
          <t>23 / ¥18</t>
        </is>
      </c>
      <c r="H25" s="79" t="n">
        <v>60</v>
      </c>
      <c r="I25" s="71" t="inlineStr">
        <is>
          <t>USD</t>
        </is>
      </c>
      <c r="J25" s="80">
        <f>H25*IF(I25="USD",$B$3,$D$3)</f>
        <v/>
      </c>
      <c r="K25" s="71" t="inlineStr">
        <is>
          <t>no reviews</t>
        </is>
      </c>
      <c r="L25" s="71" t="inlineStr">
        <is>
          <t>Tripadvisor→Trip.com, 22 Oct. independent</t>
        </is>
      </c>
      <c r="N25" s="83" t="inlineStr">
        <is>
          <t>Tripadvisor</t>
        </is>
      </c>
    </row>
    <row r="26">
      <c r="A26" s="71" t="inlineStr">
        <is>
          <t>Taxi</t>
        </is>
      </c>
      <c r="B26" s="71" t="inlineStr">
        <is>
          <t>Home Inn North Station South Exit</t>
        </is>
      </c>
      <c r="C26" s="78" t="n">
        <v>7.15</v>
      </c>
      <c r="D26" s="71" t="n">
        <v>119</v>
      </c>
      <c r="E26" s="71" t="inlineStr">
        <is>
          <t>none within 1 km</t>
        </is>
      </c>
      <c r="F26" s="71" t="inlineStr">
        <is>
          <t>–</t>
        </is>
      </c>
      <c r="G26" s="71" t="inlineStr">
        <is>
          <t>29 / ¥22</t>
        </is>
      </c>
      <c r="H26" s="79" t="n">
        <v>69</v>
      </c>
      <c r="I26" s="71" t="inlineStr">
        <is>
          <t>USD</t>
        </is>
      </c>
      <c r="J26" s="80">
        <f>H26*IF(I26="USD",$B$3,$D$3)</f>
        <v/>
      </c>
      <c r="K26" s="71" t="inlineStr">
        <is>
          <t>no reviews</t>
        </is>
      </c>
      <c r="L26" s="71" t="inlineStr">
        <is>
          <t>Tripadvisor→Vio, 22 Oct. chain</t>
        </is>
      </c>
      <c r="N26" s="83" t="inlineStr">
        <is>
          <t>Tripadvisor</t>
        </is>
      </c>
    </row>
    <row r="27">
      <c r="A27" s="71" t="inlineStr">
        <is>
          <t>Taxi</t>
        </is>
      </c>
      <c r="B27" s="71" t="inlineStr">
        <is>
          <t>Jinjiang Inn Shenyang North Station</t>
        </is>
      </c>
      <c r="C27" s="78" t="n">
        <v>6.88</v>
      </c>
      <c r="D27" s="71" t="n">
        <v>115</v>
      </c>
      <c r="E27" s="71" t="inlineStr">
        <is>
          <t>none within 1 km</t>
        </is>
      </c>
      <c r="F27" s="71" t="inlineStr">
        <is>
          <t>–</t>
        </is>
      </c>
      <c r="G27" s="71" t="inlineStr">
        <is>
          <t>28 / ¥22</t>
        </is>
      </c>
      <c r="H27" s="79" t="n">
        <v>71</v>
      </c>
      <c r="I27" s="71" t="inlineStr">
        <is>
          <t>USD</t>
        </is>
      </c>
      <c r="J27" s="80">
        <f>H27*IF(I27="USD",$B$3,$D$3)</f>
        <v/>
      </c>
      <c r="K27" s="71" t="inlineStr">
        <is>
          <t>TA 4.3 (84)</t>
        </is>
      </c>
      <c r="L27" s="71" t="inlineStr">
        <is>
          <t>Tripadvisor→Trip.com, 22 Oct. chain</t>
        </is>
      </c>
      <c r="N27" s="83" t="inlineStr">
        <is>
          <t>Tripadvisor</t>
        </is>
      </c>
    </row>
    <row r="28">
      <c r="A28" s="71" t="inlineStr">
        <is>
          <t>Taxi</t>
        </is>
      </c>
      <c r="B28" s="71" t="inlineStr">
        <is>
          <t>Bestay Express Huaiyuanmen</t>
        </is>
      </c>
      <c r="C28" s="78" t="n">
        <v>4.2</v>
      </c>
      <c r="D28" s="71" t="n">
        <v>70</v>
      </c>
      <c r="E28" s="71" t="inlineStr">
        <is>
          <t>Huaiyuanmen (L1) (0.45)</t>
        </is>
      </c>
      <c r="F28" s="71" t="inlineStr">
        <is>
          <t>39 (L1&gt;L2&gt;L3, 4 stops, 2 changes)</t>
        </is>
      </c>
      <c r="G28" s="71" t="inlineStr">
        <is>
          <t>18 / ¥14</t>
        </is>
      </c>
      <c r="H28" s="79" t="n">
        <v>77</v>
      </c>
      <c r="I28" s="71" t="inlineStr">
        <is>
          <t>USD</t>
        </is>
      </c>
      <c r="J28" s="80">
        <f>H28*IF(I28="USD",$B$3,$D$3)</f>
        <v/>
      </c>
      <c r="K28" s="71" t="inlineStr">
        <is>
          <t>Trip.com 8.7 (935); Booking 7.5 (7)</t>
        </is>
      </c>
      <c r="L28" s="71" t="inlineStr">
        <is>
          <t>Tripadvisor→Booking.com, 22 Oct. Booking.com direct ¥516 (2 rooms) / ¥266 (1 room for 3). Reviews: no lift, small rooms</t>
        </is>
      </c>
      <c r="M28" s="83" t="inlineStr">
        <is>
          <t>Trip.com</t>
        </is>
      </c>
      <c r="N28" s="83" t="inlineStr">
        <is>
          <t>Booking.com</t>
        </is>
      </c>
    </row>
    <row r="29">
      <c r="A29" s="71" t="inlineStr">
        <is>
          <t>Taxi</t>
        </is>
      </c>
      <c r="B29" s="71" t="inlineStr">
        <is>
          <t>Jinshang Express Motel</t>
        </is>
      </c>
      <c r="C29" s="78" t="n">
        <v>4.28</v>
      </c>
      <c r="D29" s="71" t="n">
        <v>71</v>
      </c>
      <c r="E29" s="71" t="inlineStr">
        <is>
          <t>Shenyang Stn (L1) (0.94)</t>
        </is>
      </c>
      <c r="F29" s="71" t="inlineStr">
        <is>
          <t>52 (L1&gt;L2&gt;L3, 6 stops, 2 changes)</t>
        </is>
      </c>
      <c r="G29" s="71" t="inlineStr">
        <is>
          <t>19 / ¥15</t>
        </is>
      </c>
      <c r="H29" s="79" t="n">
        <v>81</v>
      </c>
      <c r="I29" s="71" t="inlineStr">
        <is>
          <t>USD</t>
        </is>
      </c>
      <c r="J29" s="80">
        <f>H29*IF(I29="USD",$B$3,$D$3)</f>
        <v/>
      </c>
      <c r="K29" s="71" t="inlineStr">
        <is>
          <t>no reviews</t>
        </is>
      </c>
      <c r="L29" s="71" t="inlineStr">
        <is>
          <t>Tripadvisor→Trip.com, 22 Oct. independent</t>
        </is>
      </c>
      <c r="N29" s="83" t="inlineStr">
        <is>
          <t>Tripadvisor</t>
        </is>
      </c>
    </row>
    <row r="30">
      <c r="A30" s="71" t="inlineStr">
        <is>
          <t>Taxi</t>
        </is>
      </c>
      <c r="B30" s="71" t="inlineStr">
        <is>
          <t>7 Days Premium Railway Stn Zhongshan Sq</t>
        </is>
      </c>
      <c r="C30" s="78" t="n">
        <v>3.66</v>
      </c>
      <c r="D30" s="71" t="n">
        <v>61</v>
      </c>
      <c r="E30" s="71" t="inlineStr">
        <is>
          <t>none within 1 km</t>
        </is>
      </c>
      <c r="F30" s="71" t="inlineStr">
        <is>
          <t>–</t>
        </is>
      </c>
      <c r="G30" s="71" t="inlineStr">
        <is>
          <t>16 / ¥13</t>
        </is>
      </c>
      <c r="H30" s="79" t="n">
        <v>86</v>
      </c>
      <c r="I30" s="71" t="inlineStr">
        <is>
          <t>USD</t>
        </is>
      </c>
      <c r="J30" s="80">
        <f>H30*IF(I30="USD",$B$3,$D$3)</f>
        <v/>
      </c>
      <c r="K30" s="71" t="inlineStr">
        <is>
          <t>TA 4.1 (83)</t>
        </is>
      </c>
      <c r="L30" s="71" t="inlineStr">
        <is>
          <t>Tripadvisor→Trip.com, 22 Oct. chain</t>
        </is>
      </c>
      <c r="N30" s="83" t="inlineStr">
        <is>
          <t>Tripadvisor</t>
        </is>
      </c>
    </row>
    <row r="31">
      <c r="A31" s="71" t="inlineStr">
        <is>
          <t>Taxi</t>
        </is>
      </c>
      <c r="B31" s="71" t="inlineStr">
        <is>
          <t>7 Days Inn Gugong Huaiyuanmen</t>
        </is>
      </c>
      <c r="C31" s="78" t="n">
        <v>4.12</v>
      </c>
      <c r="D31" s="71" t="n">
        <v>69</v>
      </c>
      <c r="E31" s="71" t="inlineStr">
        <is>
          <t>Huaiyuanmen (L1) (0.44)</t>
        </is>
      </c>
      <c r="F31" s="71" t="inlineStr">
        <is>
          <t>39 (L1&gt;L2&gt;L3, 4 stops, 2 changes)</t>
        </is>
      </c>
      <c r="G31" s="71" t="inlineStr">
        <is>
          <t>18 / ¥14</t>
        </is>
      </c>
      <c r="H31" s="79" t="n">
        <v>91</v>
      </c>
      <c r="I31" s="71" t="inlineStr">
        <is>
          <t>USD</t>
        </is>
      </c>
      <c r="J31" s="80">
        <f>H31*IF(I31="USD",$B$3,$D$3)</f>
        <v/>
      </c>
      <c r="K31" s="71" t="inlineStr">
        <is>
          <t>TA 4.3 (7)</t>
        </is>
      </c>
      <c r="L31" s="71" t="inlineStr">
        <is>
          <t>Tripadvisor→Trip.com, 22 Oct. chain</t>
        </is>
      </c>
      <c r="N31" s="83" t="inlineStr">
        <is>
          <t>Tripadvisor</t>
        </is>
      </c>
    </row>
    <row r="32">
      <c r="A32" s="71" t="inlineStr">
        <is>
          <t>Taxi</t>
        </is>
      </c>
      <c r="B32" s="71" t="inlineStr">
        <is>
          <t>GreenTree Inn Tiexi Yunfeng St</t>
        </is>
      </c>
      <c r="C32" s="78" t="n">
        <v>4.51</v>
      </c>
      <c r="D32" s="71" t="n">
        <v>75</v>
      </c>
      <c r="E32" s="71" t="inlineStr">
        <is>
          <t>Yunfeng Beijie (L1) (0.32)</t>
        </is>
      </c>
      <c r="F32" s="71" t="inlineStr">
        <is>
          <t>44 (L1&gt;L2&gt;L3, 7 stops, 2 changes)</t>
        </is>
      </c>
      <c r="G32" s="71" t="inlineStr">
        <is>
          <t>20 / ¥15</t>
        </is>
      </c>
      <c r="H32" s="79" t="n">
        <v>91</v>
      </c>
      <c r="I32" s="71" t="inlineStr">
        <is>
          <t>USD</t>
        </is>
      </c>
      <c r="J32" s="80">
        <f>H32*IF(I32="USD",$B$3,$D$3)</f>
        <v/>
      </c>
      <c r="K32" s="71" t="inlineStr">
        <is>
          <t>no reviews</t>
        </is>
      </c>
      <c r="L32" s="71" t="inlineStr">
        <is>
          <t>Tripadvisor→Vio, 22 Oct. chain</t>
        </is>
      </c>
      <c r="N32" s="83" t="inlineStr">
        <is>
          <t>Tripadvisor</t>
        </is>
      </c>
    </row>
    <row r="33">
      <c r="A33" s="71" t="inlineStr">
        <is>
          <t>Taxi</t>
        </is>
      </c>
      <c r="B33" s="71" t="inlineStr">
        <is>
          <t>Jinjiang Inn Select Taiyuan South St</t>
        </is>
      </c>
      <c r="C33" s="78" t="n">
        <v>2.58</v>
      </c>
      <c r="D33" s="71" t="n">
        <v>43</v>
      </c>
      <c r="E33" s="71" t="inlineStr">
        <is>
          <t>Taiyuan Jie (L1) (0.76)</t>
        </is>
      </c>
      <c r="F33" s="71" t="inlineStr">
        <is>
          <t>47 (L1&gt;L2&gt;L3, 5 stops, 2 changes)</t>
        </is>
      </c>
      <c r="G33" s="71" t="inlineStr">
        <is>
          <t>13 / ¥10</t>
        </is>
      </c>
      <c r="H33" s="79" t="n">
        <v>99</v>
      </c>
      <c r="I33" s="71" t="inlineStr">
        <is>
          <t>USD</t>
        </is>
      </c>
      <c r="J33" s="80">
        <f>H33*IF(I33="USD",$B$3,$D$3)</f>
        <v/>
      </c>
      <c r="K33" s="71" t="inlineStr">
        <is>
          <t>no reviews</t>
        </is>
      </c>
      <c r="L33" s="71" t="inlineStr">
        <is>
          <t>Tripadvisor→Priceline, 22 Oct. chain</t>
        </is>
      </c>
      <c r="N33" s="83" t="inlineStr">
        <is>
          <t>Tripadvisor</t>
        </is>
      </c>
    </row>
    <row r="34">
      <c r="A34" s="71" t="inlineStr">
        <is>
          <t>Taxi</t>
        </is>
      </c>
      <c r="B34" s="71" t="inlineStr">
        <is>
          <t>Jinjiang Inn North Rly Stn Huigong Sq (Booking)</t>
        </is>
      </c>
      <c r="C34" s="78" t="n">
        <v>6.36</v>
      </c>
      <c r="D34" s="71" t="n">
        <v>106</v>
      </c>
      <c r="E34" s="71" t="inlineStr">
        <is>
          <t>none within 1 km</t>
        </is>
      </c>
      <c r="F34" s="71" t="inlineStr">
        <is>
          <t>–</t>
        </is>
      </c>
      <c r="G34" s="71" t="inlineStr">
        <is>
          <t>26 / ¥20</t>
        </is>
      </c>
      <c r="H34" s="79" t="n">
        <v>804</v>
      </c>
      <c r="I34" s="71" t="inlineStr">
        <is>
          <t>CNY</t>
        </is>
      </c>
      <c r="J34" s="80">
        <f>H34*IF(I34="USD",$B$3,$D$3)</f>
        <v/>
      </c>
      <c r="K34" s="71" t="inlineStr">
        <is>
          <t>Booking 7.0 (5)</t>
        </is>
      </c>
      <c r="L34" s="71" t="inlineStr">
        <is>
          <t>Booking.com, 22 Oct. chain</t>
        </is>
      </c>
      <c r="N34" s="83" t="inlineStr">
        <is>
          <t>Booking.com</t>
        </is>
      </c>
    </row>
    <row r="35">
      <c r="A35" s="71" t="inlineStr">
        <is>
          <t>Taxi</t>
        </is>
      </c>
      <c r="B35" s="71" t="inlineStr">
        <is>
          <t>7Days Premium Olympic Sports Center</t>
        </is>
      </c>
      <c r="C35" s="78" t="n">
        <v>3.88</v>
      </c>
      <c r="D35" s="71" t="n">
        <v>65</v>
      </c>
      <c r="E35" s="71" t="inlineStr">
        <is>
          <t>none within 1 km</t>
        </is>
      </c>
      <c r="F35" s="71" t="inlineStr">
        <is>
          <t>–</t>
        </is>
      </c>
      <c r="G35" s="71" t="inlineStr">
        <is>
          <t>17 / ¥13</t>
        </is>
      </c>
      <c r="H35" s="79" t="n">
        <v>128</v>
      </c>
      <c r="I35" s="71" t="inlineStr">
        <is>
          <t>USD</t>
        </is>
      </c>
      <c r="J35" s="80">
        <f>H35*IF(I35="USD",$B$3,$D$3)</f>
        <v/>
      </c>
      <c r="K35" s="71" t="inlineStr">
        <is>
          <t>Booking 8.5 (2)</t>
        </is>
      </c>
      <c r="L35" s="71" t="inlineStr">
        <is>
          <t>Tripadvisor→Booking.com, 22 Oct. Booking.com direct ¥906 (2 rooms)</t>
        </is>
      </c>
      <c r="N35" s="83" t="inlineStr">
        <is>
          <t>Booking.com</t>
        </is>
      </c>
    </row>
    <row r="36">
      <c r="A36" s="71" t="inlineStr">
        <is>
          <t>Taxi</t>
        </is>
      </c>
      <c r="B36" s="71" t="inlineStr">
        <is>
          <t>Jinjiang Inn Zhongshan Sq / Med Univ 1st Hosp (Booking)</t>
        </is>
      </c>
      <c r="C36" s="78" t="n">
        <v>3.65</v>
      </c>
      <c r="D36" s="71" t="n">
        <v>61</v>
      </c>
      <c r="E36" s="71" t="inlineStr">
        <is>
          <t>Renmin Guangchang (L2) (0.99)</t>
        </is>
      </c>
      <c r="F36" s="71" t="inlineStr">
        <is>
          <t>43 (L2&gt;L3, 4 stops, 1 change)</t>
        </is>
      </c>
      <c r="G36" s="71" t="inlineStr">
        <is>
          <t>16 / ¥13</t>
        </is>
      </c>
      <c r="H36" s="79" t="n">
        <v>924</v>
      </c>
      <c r="I36" s="71" t="inlineStr">
        <is>
          <t>CNY</t>
        </is>
      </c>
      <c r="J36" s="80">
        <f>H36*IF(I36="USD",$B$3,$D$3)</f>
        <v/>
      </c>
      <c r="K36" s="71" t="inlineStr">
        <is>
          <t>Booking 8.3 (3)</t>
        </is>
      </c>
      <c r="L36" s="71" t="inlineStr">
        <is>
          <t>Booking.com (1 room, 3 ppl), 22 Oct. chain</t>
        </is>
      </c>
      <c r="N36" s="83" t="inlineStr">
        <is>
          <t>Booking.com</t>
        </is>
      </c>
    </row>
    <row r="37">
      <c r="A37" s="76" t="inlineStr">
        <is>
          <t>EARLIER TRIP.COM CHECKS NEAR NEU (from the built-in browser; prices as seen then)</t>
        </is>
      </c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</row>
    <row r="38">
      <c r="A38" s="71" t="inlineStr">
        <is>
          <t>Walk</t>
        </is>
      </c>
      <c r="B38" s="71" t="inlineStr">
        <is>
          <t>Aiyi Future Serviced Apartment – Family 2-bed room for 4</t>
        </is>
      </c>
      <c r="C38" s="71" t="n">
        <v>1.6</v>
      </c>
      <c r="D38" s="71" t="n"/>
      <c r="E38" s="71" t="n"/>
      <c r="F38" s="71" t="n"/>
      <c r="G38" s="71" t="n"/>
      <c r="H38" s="79" t="n">
        <v>528</v>
      </c>
      <c r="I38" s="71" t="inlineStr">
        <is>
          <t>CNY</t>
        </is>
      </c>
      <c r="J38" s="80">
        <f>H38*IF(I38="USD",$B$3,$D$3)</f>
        <v/>
      </c>
      <c r="K38" s="71" t="inlineStr">
        <is>
          <t>9.8 (950)</t>
        </is>
      </c>
      <c r="L38" s="71" t="inlineStr">
        <is>
          <t>Trip.com 1 Oct, 12–15 Nov, 1 room for 4 (1 queen + 1 futon). 22 Oct page shows 'from USD 78' average, so the ¥528 rate may be gone; accepts foreign guests</t>
        </is>
      </c>
      <c r="M38" s="83" t="inlineStr">
        <is>
          <t>Trip.com</t>
        </is>
      </c>
    </row>
    <row r="39">
      <c r="A39" s="71" t="inlineStr">
        <is>
          <t>Walk</t>
        </is>
      </c>
      <c r="B39" s="71" t="inlineStr">
        <is>
          <t>Shenyang RiCH Hotel (Sanhao St) – Family Room</t>
        </is>
      </c>
      <c r="C39" s="71" t="n">
        <v>0.85</v>
      </c>
      <c r="D39" s="71" t="n"/>
      <c r="E39" s="71" t="n"/>
      <c r="F39" s="71" t="n"/>
      <c r="G39" s="71" t="n"/>
      <c r="H39" s="79" t="n">
        <v>976</v>
      </c>
      <c r="I39" s="71" t="inlineStr">
        <is>
          <t>CNY</t>
        </is>
      </c>
      <c r="J39" s="80">
        <f>H39*IF(I39="USD",$B$3,$D$3)</f>
        <v/>
      </c>
      <c r="K39" s="71" t="inlineStr">
        <is>
          <t>9.5 (1,799)</t>
        </is>
      </c>
      <c r="L39" s="71" t="inlineStr">
        <is>
          <t>Trip.com 1 Oct, 1 room for 3 or 4 (used in Shenyang – Comfort)</t>
        </is>
      </c>
      <c r="M39" s="83" t="inlineStr">
        <is>
          <t>Trip.com</t>
        </is>
      </c>
    </row>
    <row r="40">
      <c r="A40" s="71" t="inlineStr">
        <is>
          <t>Walk</t>
        </is>
      </c>
      <c r="B40" s="71" t="inlineStr">
        <is>
          <t>Jinke Hotel – 2 rooms (double beds)</t>
        </is>
      </c>
      <c r="C40" s="71" t="n">
        <v>0.95</v>
      </c>
      <c r="D40" s="71" t="n"/>
      <c r="E40" s="71" t="n"/>
      <c r="F40" s="71" t="n"/>
      <c r="G40" s="71" t="n"/>
      <c r="H40" s="79" t="n">
        <v>1044</v>
      </c>
      <c r="I40" s="71" t="inlineStr">
        <is>
          <t>CNY</t>
        </is>
      </c>
      <c r="J40" s="80">
        <f>H40*IF(I40="USD",$B$3,$D$3)</f>
        <v/>
      </c>
      <c r="K40" s="71" t="inlineStr">
        <is>
          <t>9.5 (1,190)</t>
        </is>
      </c>
      <c r="L40" s="71" t="inlineStr">
        <is>
          <t>Trip.com 22 Oct; same hotel as Jin Ke above (19 Wenhua Road)</t>
        </is>
      </c>
      <c r="M40" s="83" t="inlineStr">
        <is>
          <t>Trip.com</t>
        </is>
      </c>
    </row>
    <row r="41">
      <c r="A41" s="71" t="inlineStr">
        <is>
          <t>Walk</t>
        </is>
      </c>
      <c r="B41" s="71" t="inlineStr">
        <is>
          <t>Birches Hotel – 2 rooms (double beds, windowless)</t>
        </is>
      </c>
      <c r="C41" s="71" t="n">
        <v>0.79</v>
      </c>
      <c r="D41" s="71" t="n"/>
      <c r="E41" s="71" t="n"/>
      <c r="F41" s="71" t="n"/>
      <c r="G41" s="71" t="n"/>
      <c r="H41" s="79" t="n">
        <v>1116</v>
      </c>
      <c r="I41" s="71" t="inlineStr">
        <is>
          <t>CNY</t>
        </is>
      </c>
      <c r="J41" s="80">
        <f>H41*IF(I41="USD",$B$3,$D$3)</f>
        <v/>
      </c>
      <c r="K41" s="71" t="inlineStr">
        <is>
          <t>9.2 (1,377)</t>
        </is>
      </c>
      <c r="L41" s="71" t="inlineStr">
        <is>
          <t>Trip.com 22 Oct</t>
        </is>
      </c>
      <c r="M41" s="83" t="inlineStr">
        <is>
          <t>Trip.com</t>
        </is>
      </c>
    </row>
    <row r="42">
      <c r="A42" s="71" t="inlineStr">
        <is>
          <t>Walk</t>
        </is>
      </c>
      <c r="B42" s="71" t="inlineStr">
        <is>
          <t>RiCH Hotel – 2 Forest Rooms</t>
        </is>
      </c>
      <c r="C42" s="71" t="n">
        <v>0.85</v>
      </c>
      <c r="D42" s="71" t="n"/>
      <c r="E42" s="71" t="n"/>
      <c r="F42" s="71" t="n"/>
      <c r="G42" s="71" t="n"/>
      <c r="H42" s="79" t="n">
        <v>1220</v>
      </c>
      <c r="I42" s="71" t="inlineStr">
        <is>
          <t>CNY</t>
        </is>
      </c>
      <c r="J42" s="80">
        <f>H42*IF(I42="USD",$B$3,$D$3)</f>
        <v/>
      </c>
      <c r="K42" s="71" t="inlineStr">
        <is>
          <t>9.5 (1,799)</t>
        </is>
      </c>
      <c r="L42" s="71" t="inlineStr">
        <is>
          <t>Trip.com 22 Oct</t>
        </is>
      </c>
      <c r="M42" s="83" t="inlineStr">
        <is>
          <t>Trip.com</t>
        </is>
      </c>
    </row>
    <row r="43">
      <c r="A43" s="71" t="inlineStr">
        <is>
          <t>Walk</t>
        </is>
      </c>
      <c r="B43" s="71" t="inlineStr">
        <is>
          <t>Ji Hotel Sanhao St – 2 Budget Twin rooms</t>
        </is>
      </c>
      <c r="C43" s="71" t="n">
        <v>0.9399999999999999</v>
      </c>
      <c r="D43" s="71" t="n"/>
      <c r="E43" s="71" t="n"/>
      <c r="F43" s="71" t="n"/>
      <c r="G43" s="71" t="n"/>
      <c r="H43" s="79" t="n">
        <v>1371</v>
      </c>
      <c r="I43" s="71" t="inlineStr">
        <is>
          <t>CNY</t>
        </is>
      </c>
      <c r="J43" s="80">
        <f>H43*IF(I43="USD",$B$3,$D$3)</f>
        <v/>
      </c>
      <c r="K43" s="71" t="inlineStr">
        <is>
          <t>9.3 (1,663)</t>
        </is>
      </c>
      <c r="L43" s="71" t="inlineStr">
        <is>
          <t>Trip.com 22 Oct; twin beds, 55 Sanhao Street (used in Shenyang – Sleep value)</t>
        </is>
      </c>
      <c r="M43" s="83" t="inlineStr">
        <is>
          <t>Trip.com</t>
        </is>
      </c>
    </row>
    <row r="44">
      <c r="A44" s="71" t="inlineStr">
        <is>
          <t>Walk</t>
        </is>
      </c>
      <c r="B44" s="71" t="inlineStr">
        <is>
          <t>Lavande Hotel – 2 rooms</t>
        </is>
      </c>
      <c r="C44" s="71" t="n"/>
      <c r="D44" s="71" t="n"/>
      <c r="E44" s="71" t="n"/>
      <c r="F44" s="71" t="n"/>
      <c r="G44" s="71" t="n"/>
      <c r="H44" s="79" t="n">
        <v>1410</v>
      </c>
      <c r="I44" s="71" t="inlineStr">
        <is>
          <t>CNY</t>
        </is>
      </c>
      <c r="J44" s="80">
        <f>H44*IF(I44="USD",$B$3,$D$3)</f>
        <v/>
      </c>
      <c r="K44" s="71" t="inlineStr">
        <is>
          <t>9.3</t>
        </is>
      </c>
      <c r="L44" s="71" t="inlineStr">
        <is>
          <t>Trip.com 22 Oct</t>
        </is>
      </c>
    </row>
    <row r="45">
      <c r="A45" s="71" t="inlineStr">
        <is>
          <t>Walk</t>
        </is>
      </c>
      <c r="B45" s="71" t="inlineStr">
        <is>
          <t>NEU International (on campus) – 2 Superior Twin</t>
        </is>
      </c>
      <c r="C45" s="71" t="n">
        <v>0.54</v>
      </c>
      <c r="D45" s="71" t="n"/>
      <c r="E45" s="71" t="n"/>
      <c r="F45" s="71" t="n"/>
      <c r="G45" s="71" t="n"/>
      <c r="H45" s="79" t="n">
        <v>2388</v>
      </c>
      <c r="I45" s="71" t="inlineStr">
        <is>
          <t>CNY</t>
        </is>
      </c>
      <c r="J45" s="80">
        <f>H45*IF(I45="USD",$B$3,$D$3)</f>
        <v/>
      </c>
      <c r="K45" s="71" t="inlineStr">
        <is>
          <t>9.7 (1,997)</t>
        </is>
      </c>
      <c r="L45" s="71" t="inlineStr">
        <is>
          <t>Trip.com 22 Oct, 30% 'Surprise Savings' rate (used in Shenyang – Sleep first)</t>
        </is>
      </c>
      <c r="M45" s="83" t="inlineStr">
        <is>
          <t>Trip.com</t>
        </is>
      </c>
    </row>
    <row r="46">
      <c r="A46" s="71" t="inlineStr">
        <is>
          <t>Taxi</t>
        </is>
      </c>
      <c r="B46" s="71" t="inlineStr">
        <is>
          <t>Bestay Hotel Express Huaiyuanmen – 2 Family Rooms (2 nights)</t>
        </is>
      </c>
      <c r="C46" s="71" t="n">
        <v>4.2</v>
      </c>
      <c r="D46" s="71" t="n"/>
      <c r="E46" s="71" t="n"/>
      <c r="F46" s="71" t="n"/>
      <c r="G46" s="71" t="n"/>
      <c r="H46" s="79" t="n">
        <v>284</v>
      </c>
      <c r="I46" s="71" t="inlineStr">
        <is>
          <t>CNY</t>
        </is>
      </c>
      <c r="J46" s="80">
        <f>H46*IF(I46="USD",$B$3,$D$3)</f>
        <v/>
      </c>
      <c r="K46" s="71" t="inlineStr">
        <is>
          <t>8.7 (935)</t>
        </is>
      </c>
      <c r="L46" s="71" t="inlineStr">
        <is>
          <t>Trip.com 1 Oct, 13–15 Nov; Booking.com 22 Oct ¥516 for 3 nights. No lift, small rooms (reviews)</t>
        </is>
      </c>
      <c r="M46" s="83" t="inlineStr">
        <is>
          <t>Trip.com</t>
        </is>
      </c>
    </row>
    <row r="48">
      <c r="A48" s="72" t="inlineStr">
        <is>
          <t>Commute cost check</t>
        </is>
      </c>
    </row>
    <row r="49" ht="30" customHeight="1" s="26">
      <c r="A49" s="71" t="inlineStr">
        <is>
          <t>Trips to campus: 14 Nov there and back, 15 Nov there and back (luggage stays at the hotel after the contest-morning check-out) = 4 trips.</t>
        </is>
      </c>
    </row>
    <row r="50" ht="30" customHeight="1" s="26">
      <c r="A50" s="71" t="inlineStr">
        <is>
          <t>Taxi for the whole team (one car for 3–4 people): 4 × ¥9–23 = ¥36–92 (₮19–49k). Metro: ¥2–4 per person per ride, 4 people × 4 rides = ¥32–64, so with 3–4 people a taxi costs about the same as the metro.</t>
        </is>
      </c>
    </row>
    <row r="51" ht="30" customHeight="1" s="26">
      <c r="A51" s="71" t="inlineStr">
        <is>
          <t>Cheapest walkable chain (7 Days Inn Sanhao St Liaozhan $95 ≈ ₮342k) vs cheapest taxi-distance chains (Jinjiang Inn North Station $71 ≈ ₮255k, Bestay Huaiyuanmen ¥516 ≈ ₮277k) + 4 taxi rides (¥56–88): only ~₮35–40k saved for the whole team (₮10–13k per person), ~₮95k with the no-review $58 hotels, for a 20–30 min commute on contest morning. The sleep rule favours the walk group.</t>
        </is>
      </c>
    </row>
    <row r="52" ht="30" customHeight="1" s="26">
      <c r="A52" s="81" t="inlineStr">
        <is>
          <t>ASSUMPTION: taxi tariff ¥9 for 3 km + ¥2/km and the metro time model above. Didi (app or Alipay mini-program) is usually the same price or cheaper than a street taxi.</t>
        </is>
      </c>
    </row>
    <row r="54">
      <c r="A54" s="72" t="inlineStr">
        <is>
          <t>Metro stations near NEU (OpenStreetMap / Nominatim, 22 Oct 2026)</t>
        </is>
      </c>
    </row>
    <row r="55">
      <c r="A55" s="82" t="inlineStr">
        <is>
          <t>Station</t>
        </is>
      </c>
      <c r="B55" s="82" t="inlineStr">
        <is>
          <t>Lines</t>
        </is>
      </c>
      <c r="C55" s="82" t="inlineStr">
        <is>
          <t>Lat</t>
        </is>
      </c>
      <c r="D55" s="82" t="inlineStr">
        <is>
          <t>Lon</t>
        </is>
      </c>
      <c r="E55" s="82" t="inlineStr">
        <is>
          <t>Distance to NEU (km)</t>
        </is>
      </c>
      <c r="F55" s="82" t="inlineStr">
        <is>
          <t>Note</t>
        </is>
      </c>
    </row>
    <row r="56">
      <c r="A56" s="74" t="inlineStr">
        <is>
          <t>Sanhaojie 三好街</t>
        </is>
      </c>
      <c r="B56" s="74" t="inlineStr">
        <is>
          <t>L3</t>
        </is>
      </c>
      <c r="C56" s="74" t="n">
        <v>41.7691</v>
      </c>
      <c r="D56" s="74" t="n">
        <v>123.4222</v>
      </c>
      <c r="E56" s="74" t="n">
        <v>0.52</v>
      </c>
      <c r="F56" s="74" t="inlineStr">
        <is>
          <t>Nearest to NEU; Wenhua Road</t>
        </is>
      </c>
    </row>
    <row r="57">
      <c r="A57" s="74" t="inlineStr">
        <is>
          <t>Fangxing Guangchang 方型广场</t>
        </is>
      </c>
      <c r="B57" s="74" t="inlineStr">
        <is>
          <t>L3</t>
        </is>
      </c>
      <c r="C57" s="74" t="n">
        <v>41.7723</v>
      </c>
      <c r="D57" s="74" t="n">
        <v>123.4101</v>
      </c>
      <c r="E57" s="74" t="n">
        <v>1</v>
      </c>
      <c r="F57" s="74" t="inlineStr"/>
    </row>
    <row r="58">
      <c r="A58" s="74" t="inlineStr">
        <is>
          <t>Gongye Zhanlanguan 工业展览馆</t>
        </is>
      </c>
      <c r="B58" s="74" t="inlineStr">
        <is>
          <t>L2 / L3</t>
        </is>
      </c>
      <c r="C58" s="74" t="n">
        <v>41.7709</v>
      </c>
      <c r="D58" s="74" t="n">
        <v>123.4293</v>
      </c>
      <c r="E58" s="74" t="n">
        <v>1.1</v>
      </c>
      <c r="F58" s="74" t="inlineStr">
        <is>
          <t>Change L2 ⇄ L3 (or walk ~1 km to campus)</t>
        </is>
      </c>
    </row>
    <row r="59">
      <c r="A59" s="74" t="inlineStr">
        <is>
          <t>Shi Tushuguan 市图书馆</t>
        </is>
      </c>
      <c r="B59" s="74" t="inlineStr">
        <is>
          <t>L2</t>
        </is>
      </c>
      <c r="C59" s="74" t="n">
        <v>41.7576</v>
      </c>
      <c r="D59" s="74" t="n">
        <v>123.4293</v>
      </c>
      <c r="E59" s="74" t="n">
        <v>1.3</v>
      </c>
      <c r="F59" s="74" t="inlineStr">
        <is>
          <t>Approach from the south-east</t>
        </is>
      </c>
    </row>
    <row r="60">
      <c r="A60" s="74" t="inlineStr">
        <is>
          <t>Jiaxing Jie 嘉兴街</t>
        </is>
      </c>
      <c r="B60" s="74" t="inlineStr">
        <is>
          <t>L3</t>
        </is>
      </c>
      <c r="C60" s="74" t="n">
        <v>41.7747</v>
      </c>
      <c r="D60" s="74" t="n">
        <v>123.4046</v>
      </c>
      <c r="E60" s="74" t="n">
        <v>1.5</v>
      </c>
      <c r="F60" s="74" t="inlineStr"/>
    </row>
    <row r="61">
      <c r="A61" s="74" t="inlineStr">
        <is>
          <t>Zhongkeyuan Jinshusuo 中科院金属所</t>
        </is>
      </c>
      <c r="B61" s="74" t="inlineStr">
        <is>
          <t>L3</t>
        </is>
      </c>
      <c r="C61" s="74" t="n">
        <v>41.7687</v>
      </c>
      <c r="D61" s="74" t="n">
        <v>123.438</v>
      </c>
      <c r="E61" s="74" t="n">
        <v>1.7</v>
      </c>
      <c r="F61" s="74" t="inlineStr"/>
    </row>
    <row r="62">
      <c r="A62" s="74" t="inlineStr">
        <is>
          <t>Qingnian Gongyuan 青年公园</t>
        </is>
      </c>
      <c r="B62" s="74" t="inlineStr">
        <is>
          <t>L2</t>
        </is>
      </c>
      <c r="C62" s="74" t="n">
        <v>41.7824</v>
      </c>
      <c r="D62" s="74" t="n">
        <v>123.4297</v>
      </c>
      <c r="E62" s="74" t="n">
        <v>2.2</v>
      </c>
      <c r="F62" s="74" t="inlineStr"/>
    </row>
    <row r="63">
      <c r="A63" s="74" t="inlineStr">
        <is>
          <t>Nanta 南塔</t>
        </is>
      </c>
      <c r="B63" s="74" t="inlineStr">
        <is>
          <t>L3</t>
        </is>
      </c>
      <c r="C63" s="74" t="n">
        <v>41.7685</v>
      </c>
      <c r="D63" s="74" t="n">
        <v>123.4467</v>
      </c>
      <c r="E63" s="74" t="n">
        <v>2.4</v>
      </c>
      <c r="F63" s="74" t="inlineStr"/>
    </row>
    <row r="64">
      <c r="A64" s="74" t="inlineStr">
        <is>
          <t>Nanshichang 南市场</t>
        </is>
      </c>
      <c r="B64" s="74" t="inlineStr">
        <is>
          <t>L1</t>
        </is>
      </c>
      <c r="C64" s="74" t="n">
        <v>41.787</v>
      </c>
      <c r="D64" s="74" t="n">
        <v>123.4138</v>
      </c>
      <c r="E64" s="74" t="n">
        <v>2.4</v>
      </c>
      <c r="F64" s="74" t="inlineStr">
        <is>
          <t>L1 → L2 at Qingnian Dajie → L3</t>
        </is>
      </c>
    </row>
    <row r="65">
      <c r="A65" s="74" t="inlineStr">
        <is>
          <t>Shayang 砂阳</t>
        </is>
      </c>
      <c r="B65" s="74" t="inlineStr">
        <is>
          <t>L3 / L4</t>
        </is>
      </c>
      <c r="C65" s="74" t="n">
        <v>41.7651</v>
      </c>
      <c r="D65" s="74" t="n">
        <v>123.3855</v>
      </c>
      <c r="E65" s="74" t="n">
        <v>2.7</v>
      </c>
      <c r="F65" s="74" t="inlineStr"/>
    </row>
    <row r="66">
      <c r="A66" s="74" t="inlineStr">
        <is>
          <t>Huaiyuanmen 怀远门</t>
        </is>
      </c>
      <c r="B66" s="74" t="inlineStr">
        <is>
          <t>L1</t>
        </is>
      </c>
      <c r="C66" s="74" t="n">
        <v>41.7946</v>
      </c>
      <c r="D66" s="74" t="n">
        <v>123.4412</v>
      </c>
      <c r="E66" s="74" t="n">
        <v>3.7</v>
      </c>
      <c r="F66" s="74" t="inlineStr">
        <is>
          <t>Near Bestay / 7 Days Gugong</t>
        </is>
      </c>
    </row>
    <row r="67">
      <c r="A67" s="74" t="inlineStr">
        <is>
          <t>Shenyang North Station 沈阳北站</t>
        </is>
      </c>
      <c r="B67" s="74" t="inlineStr">
        <is>
          <t>L2 / L4</t>
        </is>
      </c>
      <c r="C67" s="74" t="n">
        <v>41.8173</v>
      </c>
      <c r="D67" s="74" t="n">
        <v>123.4297</v>
      </c>
      <c r="E67" s="74" t="n">
        <v>5.8</v>
      </c>
      <c r="F67" s="74" t="inlineStr">
        <is>
          <t>L2 to Gongye Zhanlanguan, change to L3; L2 also runs to Taoxian airport</t>
        </is>
      </c>
    </row>
  </sheetData>
  <mergeCells count="5">
    <mergeCell ref="A50:N50"/>
    <mergeCell ref="A2:N2"/>
    <mergeCell ref="A52:N52"/>
    <mergeCell ref="A51:N51"/>
    <mergeCell ref="A49:N49"/>
  </mergeCells>
  <hyperlinks>
    <hyperlink xmlns:r="http://schemas.openxmlformats.org/officeDocument/2006/relationships" ref="N7" r:id="rId1"/>
    <hyperlink xmlns:r="http://schemas.openxmlformats.org/officeDocument/2006/relationships" ref="N8" r:id="rId2"/>
    <hyperlink xmlns:r="http://schemas.openxmlformats.org/officeDocument/2006/relationships" ref="M9" r:id="rId3"/>
    <hyperlink xmlns:r="http://schemas.openxmlformats.org/officeDocument/2006/relationships" ref="N9" r:id="rId4"/>
    <hyperlink xmlns:r="http://schemas.openxmlformats.org/officeDocument/2006/relationships" ref="M10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3" r:id="rId17"/>
    <hyperlink xmlns:r="http://schemas.openxmlformats.org/officeDocument/2006/relationships" ref="N24" r:id="rId18"/>
    <hyperlink xmlns:r="http://schemas.openxmlformats.org/officeDocument/2006/relationships" ref="N25" r:id="rId19"/>
    <hyperlink xmlns:r="http://schemas.openxmlformats.org/officeDocument/2006/relationships" ref="N26" r:id="rId20"/>
    <hyperlink xmlns:r="http://schemas.openxmlformats.org/officeDocument/2006/relationships" ref="N27" r:id="rId21"/>
    <hyperlink xmlns:r="http://schemas.openxmlformats.org/officeDocument/2006/relationships" ref="M28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M38" r:id="rId32"/>
    <hyperlink xmlns:r="http://schemas.openxmlformats.org/officeDocument/2006/relationships" ref="M39" r:id="rId33"/>
    <hyperlink xmlns:r="http://schemas.openxmlformats.org/officeDocument/2006/relationships" ref="M40" r:id="rId34"/>
    <hyperlink xmlns:r="http://schemas.openxmlformats.org/officeDocument/2006/relationships" ref="M41" r:id="rId35"/>
    <hyperlink xmlns:r="http://schemas.openxmlformats.org/officeDocument/2006/relationships" ref="M42" r:id="rId36"/>
    <hyperlink xmlns:r="http://schemas.openxmlformats.org/officeDocument/2006/relationships" ref="M43" r:id="rId37"/>
    <hyperlink xmlns:r="http://schemas.openxmlformats.org/officeDocument/2006/relationships" ref="M45" r:id="rId38"/>
    <hyperlink xmlns:r="http://schemas.openxmlformats.org/officeDocument/2006/relationships" ref="M46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2026-09-30T15:03:00Z</dcterms:created>
  <dcterms:modified xmlns:dcterms="http://purl.org/dc/terms/" xmlns:xsi="http://www.w3.org/2001/XMLSchema-instance" xsi:type="dcterms:W3CDTF">2026-10-22T05:24:13Z</dcterms:modified>
  <cp:revision>0</cp:revision>
</cp:coreProperties>
</file>