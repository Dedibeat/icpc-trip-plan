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light fares" sheetId="1" state="visible" r:id="rId3"/>
    <sheet name="Connector no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<sst xmlns="http://schemas.openxmlformats.org/spreadsheetml/2006/main" count="149" uniqueCount="120">
  <si>
    <t xml:space="preserve">Cheap flights found via the Trip.com scraper connection (Bright Data)</t>
  </si>
  <si>
    <t xml:space="preserve">Prices per person, one way unless noted, economy, checked 30 Sep 2026. Live prices – re-check before booking.</t>
  </si>
  <si>
    <t xml:space="preserve">Inputs</t>
  </si>
  <si>
    <t xml:space="preserve">USD → MNT</t>
  </si>
  <si>
    <t xml:space="preserve">Mid-market, late Sep 2026 (trip-planner skill)</t>
  </si>
  <si>
    <t xml:space="preserve">CNY → MNT</t>
  </si>
  <si>
    <t xml:space="preserve">Team size (students)</t>
  </si>
  <si>
    <t xml:space="preserve">Default team</t>
  </si>
  <si>
    <t xml:space="preserve">Team size with coach</t>
  </si>
  <si>
    <t xml:space="preserve">Default team + coach</t>
  </si>
  <si>
    <t xml:space="preserve">Leg</t>
  </si>
  <si>
    <t xml:space="preserve">Date</t>
  </si>
  <si>
    <t xml:space="preserve">Airline</t>
  </si>
  <si>
    <t xml:space="preserve">Times</t>
  </si>
  <si>
    <t xml:space="preserve">Duration</t>
  </si>
  <si>
    <t xml:space="preserve">Stops</t>
  </si>
  <si>
    <t xml:space="preserve">Price $ pp</t>
  </si>
  <si>
    <t xml:space="preserve">Price ₮ pp</t>
  </si>
  <si>
    <t xml:space="preserve">Team of 3 (₮)</t>
  </si>
  <si>
    <t xml:space="preserve">Team of 4 (₮)</t>
  </si>
  <si>
    <t xml:space="preserve">Benchmark $ pp</t>
  </si>
  <si>
    <t xml:space="preserve">Benchmark basis</t>
  </si>
  <si>
    <t xml:space="preserve">Diff vs benchmark ₮ pp</t>
  </si>
  <si>
    <t xml:space="preserve">Use it?</t>
  </si>
  <si>
    <t xml:space="preserve">Source (Trip.com search page)</t>
  </si>
  <si>
    <t xml:space="preserve">November regionals (Nanjing / Shenyang) – via Beijing</t>
  </si>
  <si>
    <t xml:space="preserve">UB → Beijing (PEK)</t>
  </si>
  <si>
    <t xml:space="preserve">12 Nov 2026</t>
  </si>
  <si>
    <t xml:space="preserve">MIAT</t>
  </si>
  <si>
    <t xml:space="preserve">07:30–09:45</t>
  </si>
  <si>
    <t xml:space="preserve">2 h 15 min</t>
  </si>
  <si>
    <t xml:space="preserve">Nonstop</t>
  </si>
  <si>
    <t xml:space="preserve">SlickTrip MIAT fare (skill)</t>
  </si>
  <si>
    <t xml:space="preserve">Yes – cheapest outbound</t>
  </si>
  <si>
    <t xml:space="preserve">https://www.trip.com/flights/showfarefirst?dcity=ubn&amp;acity=bjs&amp;ddate=2026-11-12&amp;triptype=ow&amp;class=y&amp;quantity=1&amp;curr=USD</t>
  </si>
  <si>
    <t xml:space="preserve">Air China</t>
  </si>
  <si>
    <t xml:space="preserve">11:50–13:55</t>
  </si>
  <si>
    <t xml:space="preserve">2 h 05 min</t>
  </si>
  <si>
    <t xml:space="preserve">SlickTrip showed $0 (unpriced)</t>
  </si>
  <si>
    <t xml:space="preserve">Backup if MIAT full</t>
  </si>
  <si>
    <t xml:space="preserve">Beijing (PEK) → UB</t>
  </si>
  <si>
    <t xml:space="preserve">16 Nov 2026</t>
  </si>
  <si>
    <t xml:space="preserve">12:55–15:05</t>
  </si>
  <si>
    <t xml:space="preserve">2 h 10 min</t>
  </si>
  <si>
    <t xml:space="preserve">MIAT OM224 low end $196 (skill)</t>
  </si>
  <si>
    <t xml:space="preserve">Yes – cheapest return</t>
  </si>
  <si>
    <t xml:space="preserve">https://www.trip.com/flights/showfarefirst?dcity=bjs&amp;acity=ubn&amp;ddate=2026-11-16&amp;triptype=ow&amp;class=y&amp;quantity=1&amp;curr=USD</t>
  </si>
  <si>
    <t xml:space="preserve">11:30–13:50</t>
  </si>
  <si>
    <t xml:space="preserve">2 h 20 min</t>
  </si>
  <si>
    <t xml:space="preserve">Backup</t>
  </si>
  <si>
    <t xml:space="preserve">UB → Shenyang</t>
  </si>
  <si>
    <t xml:space="preserve">MIAT + China Southern</t>
  </si>
  <si>
    <t xml:space="preserve">07:30–23:00</t>
  </si>
  <si>
    <t xml:space="preserve">15 h 30 min</t>
  </si>
  <si>
    <t xml:space="preserve">1 (11 h 30 min in Beijing)</t>
  </si>
  <si>
    <t xml:space="preserve">MIAT $151 + train 339 CNY</t>
  </si>
  <si>
    <t xml:space="preserve">No – Beijing + train is cheaper and faster</t>
  </si>
  <si>
    <t xml:space="preserve">https://www.trip.com/flights/showfarefirst?dcity=ubn&amp;acity=she&amp;ddate=2026-11-12&amp;triptype=ow&amp;class=y&amp;quantity=1&amp;curr=USD</t>
  </si>
  <si>
    <t xml:space="preserve">Air China + Spring</t>
  </si>
  <si>
    <t xml:space="preserve">13:00–21:15</t>
  </si>
  <si>
    <t xml:space="preserve">8 h 15 min</t>
  </si>
  <si>
    <t xml:space="preserve">1 (4 h 25 min in Hohhot)</t>
  </si>
  <si>
    <t xml:space="preserve">No</t>
  </si>
  <si>
    <t xml:space="preserve">Hong Kong regional</t>
  </si>
  <si>
    <t xml:space="preserve">UB ↔ Hong Kong, return</t>
  </si>
  <si>
    <t xml:space="preserve">8–11 Jan 2027</t>
  </si>
  <si>
    <t xml:space="preserve">Out 06:45–11:25</t>
  </si>
  <si>
    <t xml:space="preserve">4 h 40 min each way</t>
  </si>
  <si>
    <t xml:space="preserve">MIAT return (skill)</t>
  </si>
  <si>
    <t xml:space="preserve">Yes – best option</t>
  </si>
  <si>
    <t xml:space="preserve">https://www.trip.com/flights/showfarefirst?dcity=ubn&amp;acity=hkg&amp;ddate=2027-01-08&amp;rdate=2027-01-11&amp;triptype=rt&amp;class=y&amp;quantity=1&amp;curr=USD</t>
  </si>
  <si>
    <t xml:space="preserve">EC Final (Hangzhou) – domestic legs</t>
  </si>
  <si>
    <t xml:space="preserve">Beijing (PEK) → Hangzhou</t>
  </si>
  <si>
    <t xml:space="preserve">25 Jan 2027</t>
  </si>
  <si>
    <t xml:space="preserve">21:30–00:05 (+1)</t>
  </si>
  <si>
    <t xml:space="preserve">2 h 35 min</t>
  </si>
  <si>
    <t xml:space="preserve">ASSUMPTION: Chinese market ~¥700 in late Jan</t>
  </si>
  <si>
    <t xml:space="preserve">No – inflated; take train or book on 12306/Ctrip</t>
  </si>
  <si>
    <t xml:space="preserve">https://www.trip.com/flights/showfarefirst?dcity=bjs&amp;acity=hgh&amp;ddate=2027-01-25&amp;triptype=ow&amp;class=y&amp;quantity=1&amp;curr=USD</t>
  </si>
  <si>
    <t xml:space="preserve">Hangzhou → Beijing (PEK)</t>
  </si>
  <si>
    <t xml:space="preserve">28 Jan 2027</t>
  </si>
  <si>
    <t xml:space="preserve">07:00–09:25 (hourly)</t>
  </si>
  <si>
    <t xml:space="preserve">2 h 25 min</t>
  </si>
  <si>
    <t xml:space="preserve">No – inflated</t>
  </si>
  <si>
    <t xml:space="preserve">https://www.trip.com/flights/showfarefirst?dcity=hgh&amp;acity=bjs&amp;ddate=2027-01-28&amp;triptype=ow&amp;class=y&amp;quantity=1&amp;curr=USD</t>
  </si>
  <si>
    <t xml:space="preserve">Hangzhou → Beijing</t>
  </si>
  <si>
    <t xml:space="preserve">26 Jan 2027</t>
  </si>
  <si>
    <t xml:space="preserve">Not shown (date calendar)</t>
  </si>
  <si>
    <t xml:space="preserve">–</t>
  </si>
  <si>
    <t xml:space="preserve">Only if leaving before closing – still above market</t>
  </si>
  <si>
    <t xml:space="preserve">Diff vs benchmark: negative = cheaper than what the plans used; positive = more expensive.</t>
  </si>
  <si>
    <t xml:space="preserve">What switching the November return to Air China saves (per trip)</t>
  </si>
  <si>
    <t xml:space="preserve">MIAT fare used in plans, high end ($)</t>
  </si>
  <si>
    <t xml:space="preserve">SlickTrip, 30 Sep 2026 (skill notes $196–223)</t>
  </si>
  <si>
    <t xml:space="preserve">Saving vs MIAT today ($194) – team of 3</t>
  </si>
  <si>
    <t xml:space="preserve">Saving vs MIAT today ($194) – team of 4</t>
  </si>
  <si>
    <t xml:space="preserve">Saving vs plan low end ($196) – team of 3</t>
  </si>
  <si>
    <t xml:space="preserve">Saving vs plan low end ($196) – team of 4</t>
  </si>
  <si>
    <t xml:space="preserve">Saving vs plan high end ($223) – team of 3</t>
  </si>
  <si>
    <t xml:space="preserve">Saving vs plan high end ($223) – team of 4</t>
  </si>
  <si>
    <t xml:space="preserve">Recommended picks</t>
  </si>
  <si>
    <t xml:space="preserve">• November trips: fly out on MIAT ($151, lands 09:45), fly home on Air China ($171).</t>
  </si>
  <si>
    <t xml:space="preserve">• Hong Kong: MIAT nonstop return, $583. Nothing via Seoul or Beijing comes close.</t>
  </si>
  <si>
    <t xml:space="preserve">• EC Final: keep the high-speed train via Beijing, or buy domestic flights on 12306 / Chinese Ctrip closer to the date.</t>
  </si>
  <si>
    <t xml:space="preserve">• Trip.com lists student fares on some routes – worth checking at booking.</t>
  </si>
  <si>
    <t xml:space="preserve">About the 'Open platform (Trip.com)' connection</t>
  </si>
  <si>
    <t xml:space="preserve">What it is</t>
  </si>
  <si>
    <t xml:space="preserve">A Bright Data web-scraping service (search engine + page unlocker), not an official Trip.com flight API.</t>
  </si>
  <si>
    <t xml:space="preserve">What works</t>
  </si>
  <si>
    <t xml:space="preserve"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</si>
  <si>
    <t xml:space="preserve">What it fixed</t>
  </si>
  <si>
    <t xml:space="preserve">Prices Air China and other carriers that SlickTrip returned as $0 (unpriced).</t>
  </si>
  <si>
    <t xml:space="preserve">What fails</t>
  </si>
  <si>
    <t xml:space="preserve">Chinese Ctrip (flights.ctrip.com) – blocked unless the Bright Data account completes their KYC check. Old-style Trip.com URLs like /airfares-ubn-bjs/ return 404.</t>
  </si>
  <si>
    <t xml:space="preserve">Limit</t>
  </si>
  <si>
    <t xml:space="preserve">Trip.com's international site sells the same inflated foreign-market domestic fares as SlickTrip for dates months ahead (~$270–380 vs ~¥470–700 real).</t>
  </si>
  <si>
    <t xml:space="preserve">Output size</t>
  </si>
  <si>
    <t xml:space="preserve">Each search page is large; scrape 2 pages per batch to avoid truncation.</t>
  </si>
  <si>
    <t xml:space="preserve">Exchange rates</t>
  </si>
  <si>
    <t xml:space="preserve">USD 3,598 ₮; CNY 536 ₮ (late Sep 2026, mid-market).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</si>
</sst>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"/>
    <numFmt numFmtId="167" formatCode="\$#,##0;&quot;($&quot;#,##0\);\-"/>
    <numFmt numFmtId="168" formatCode="#,##0&quot; ₮&quot;;\(#,##0&quot; ₮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rip.com/flights/showfarefirst?dcity=ubn&amp;acity=bjs&amp;ddate=2026-11-12&amp;triptype=ow&amp;class=y&amp;quantity=1&amp;curr=USD" TargetMode="External"/><Relationship Id="rId2" Type="http://schemas.openxmlformats.org/officeDocument/2006/relationships/hyperlink" Target="https://www.trip.com/flights/showfarefirst?dcity=ubn&amp;acity=bjs&amp;ddate=2026-11-12&amp;triptype=ow&amp;class=y&amp;quantity=1&amp;curr=USD" TargetMode="External"/><Relationship Id="rId3" Type="http://schemas.openxmlformats.org/officeDocument/2006/relationships/hyperlink" Target="https://www.trip.com/flights/showfarefirst?dcity=bjs&amp;acity=ubn&amp;ddate=2026-11-16&amp;triptype=ow&amp;class=y&amp;quantity=1&amp;curr=USD" TargetMode="External"/><Relationship Id="rId4" Type="http://schemas.openxmlformats.org/officeDocument/2006/relationships/hyperlink" Target="https://www.trip.com/flights/showfarefirst?dcity=bjs&amp;acity=ubn&amp;ddate=2026-11-16&amp;triptype=ow&amp;class=y&amp;quantity=1&amp;curr=USD" TargetMode="External"/><Relationship Id="rId5" Type="http://schemas.openxmlformats.org/officeDocument/2006/relationships/hyperlink" Target="https://www.trip.com/flights/showfarefirst?dcity=ubn&amp;acity=she&amp;ddate=2026-11-12&amp;triptype=ow&amp;class=y&amp;quantity=1&amp;curr=USD" TargetMode="External"/><Relationship Id="rId6" Type="http://schemas.openxmlformats.org/officeDocument/2006/relationships/hyperlink" Target="https://www.trip.com/flights/showfarefirst?dcity=ubn&amp;acity=she&amp;ddate=2026-11-12&amp;triptype=ow&amp;class=y&amp;quantity=1&amp;curr=USD" TargetMode="External"/><Relationship Id="rId7"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/><Relationship Id="rId8" Type="http://schemas.openxmlformats.org/officeDocument/2006/relationships/hyperlink" Target="https://www.trip.com/flights/showfarefirst?dcity=bjs&amp;acity=hgh&amp;ddate=2027-01-25&amp;triptype=ow&amp;class=y&amp;quantity=1&amp;curr=USD" TargetMode="External"/><Relationship Id="rId9" Type="http://schemas.openxmlformats.org/officeDocument/2006/relationships/hyperlink" Target="https://www.trip.com/flights/showfarefirst?dcity=hgh&amp;acity=bjs&amp;ddate=2027-01-28&amp;triptype=ow&amp;class=y&amp;quantity=1&amp;curr=USD" TargetMode="External"/><Relationship Id="rId10" Type="http://schemas.openxmlformats.org/officeDocument/2006/relationships/hyperlink" Target="https://www.trip.com/flights/showfarefirst?dcity=hgh&amp;acity=bjs&amp;ddate=2027-01-28&amp;triptype=ow&amp;class=y&amp;quantity=1&amp;curr=US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19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16"/>
    <col collapsed="false" customWidth="true" hidden="false" outlineLevel="0" max="14" min="14" style="0" width="30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5" t="s">
        <v>3</v>
      </c>
      <c r="B4" s="6" t="n">
        <v>3598</v>
      </c>
      <c r="C4" s="3" t="s">
        <v>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5" hidden="false" customHeight="false" outlineLevel="0" collapsed="false">
      <c r="A5" s="5" t="s">
        <v>5</v>
      </c>
      <c r="B5" s="6" t="n">
        <v>536</v>
      </c>
      <c r="C5" s="3" t="s">
        <v>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A6" s="5" t="s">
        <v>6</v>
      </c>
      <c r="B6" s="7" t="n">
        <v>3</v>
      </c>
      <c r="C6" s="3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5" hidden="false" customHeight="false" outlineLevel="0" collapsed="false">
      <c r="A7" s="5" t="s">
        <v>8</v>
      </c>
      <c r="B7" s="7" t="n">
        <v>4</v>
      </c>
      <c r="C7" s="3" t="s">
        <v>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31.5" hidden="false" customHeight="true" outlineLevel="0" collapsed="false">
      <c r="A9" s="8" t="s">
        <v>10</v>
      </c>
      <c r="B9" s="8" t="s">
        <v>11</v>
      </c>
      <c r="C9" s="8" t="s">
        <v>12</v>
      </c>
      <c r="D9" s="8" t="s">
        <v>13</v>
      </c>
      <c r="E9" s="8" t="s">
        <v>14</v>
      </c>
      <c r="F9" s="8" t="s">
        <v>15</v>
      </c>
      <c r="G9" s="8" t="s">
        <v>16</v>
      </c>
      <c r="H9" s="8" t="s">
        <v>17</v>
      </c>
      <c r="I9" s="8" t="s">
        <v>18</v>
      </c>
      <c r="J9" s="8" t="s">
        <v>19</v>
      </c>
      <c r="K9" s="8" t="s">
        <v>20</v>
      </c>
      <c r="L9" s="8" t="s">
        <v>21</v>
      </c>
      <c r="M9" s="8" t="s">
        <v>22</v>
      </c>
      <c r="N9" s="8" t="s">
        <v>23</v>
      </c>
      <c r="O9" s="8" t="s">
        <v>24</v>
      </c>
    </row>
    <row r="10" customFormat="false" ht="15" hidden="false" customHeight="false" outlineLevel="0" collapsed="false">
      <c r="A10" s="9" t="s">
        <v>25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</row>
    <row r="11" customFormat="false" ht="15" hidden="false" customHeight="false" outlineLevel="0" collapsed="false">
      <c r="A11" s="11" t="s">
        <v>26</v>
      </c>
      <c r="B11" s="11" t="s">
        <v>27</v>
      </c>
      <c r="C11" s="11" t="s">
        <v>28</v>
      </c>
      <c r="D11" s="11" t="s">
        <v>29</v>
      </c>
      <c r="E11" s="11" t="s">
        <v>30</v>
      </c>
      <c r="F11" s="11" t="s">
        <v>31</v>
      </c>
      <c r="G11" s="12" t="n">
        <v>151</v>
      </c>
      <c r="H11" s="13" t="n">
        <f aca="false">G11*$B$4</f>
        <v>543298</v>
      </c>
      <c r="I11" s="13" t="n">
        <f aca="false">H11*$B$6</f>
        <v>1629894</v>
      </c>
      <c r="J11" s="13" t="n">
        <f aca="false">H11*$B$7</f>
        <v>2173192</v>
      </c>
      <c r="K11" s="12" t="n">
        <v>154</v>
      </c>
      <c r="L11" s="11" t="s">
        <v>32</v>
      </c>
      <c r="M11" s="13" t="n">
        <f aca="false">IF(K11="","",(G11-K11)*$B$4)</f>
        <v>-10794</v>
      </c>
      <c r="N11" s="14" t="s">
        <v>33</v>
      </c>
      <c r="O11" s="15" t="s">
        <v>34</v>
      </c>
    </row>
    <row r="12" customFormat="false" ht="15" hidden="false" customHeight="false" outlineLevel="0" collapsed="false">
      <c r="A12" s="11" t="s">
        <v>26</v>
      </c>
      <c r="B12" s="11" t="s">
        <v>27</v>
      </c>
      <c r="C12" s="11" t="s">
        <v>35</v>
      </c>
      <c r="D12" s="11" t="s">
        <v>36</v>
      </c>
      <c r="E12" s="11" t="s">
        <v>37</v>
      </c>
      <c r="F12" s="11" t="s">
        <v>31</v>
      </c>
      <c r="G12" s="12" t="n">
        <v>196</v>
      </c>
      <c r="H12" s="13" t="n">
        <f aca="false">G12*$B$4</f>
        <v>705208</v>
      </c>
      <c r="I12" s="13" t="n">
        <f aca="false">H12*$B$6</f>
        <v>2115624</v>
      </c>
      <c r="J12" s="13" t="n">
        <f aca="false">H12*$B$7</f>
        <v>2820832</v>
      </c>
      <c r="K12" s="16"/>
      <c r="L12" s="11" t="s">
        <v>38</v>
      </c>
      <c r="M12" s="13" t="str">
        <f aca="false">IF(K12="","",(G12-K12)*$B$4)</f>
        <v/>
      </c>
      <c r="N12" s="11" t="s">
        <v>39</v>
      </c>
      <c r="O12" s="15" t="s">
        <v>34</v>
      </c>
    </row>
    <row r="13" customFormat="false" ht="15" hidden="false" customHeight="false" outlineLevel="0" collapsed="false">
      <c r="A13" s="11" t="s">
        <v>40</v>
      </c>
      <c r="B13" s="11" t="s">
        <v>41</v>
      </c>
      <c r="C13" s="11" t="s">
        <v>35</v>
      </c>
      <c r="D13" s="11" t="s">
        <v>42</v>
      </c>
      <c r="E13" s="11" t="s">
        <v>43</v>
      </c>
      <c r="F13" s="11" t="s">
        <v>31</v>
      </c>
      <c r="G13" s="12" t="n">
        <v>171</v>
      </c>
      <c r="H13" s="13" t="n">
        <f aca="false">G13*$B$4</f>
        <v>615258</v>
      </c>
      <c r="I13" s="13" t="n">
        <f aca="false">H13*$B$6</f>
        <v>1845774</v>
      </c>
      <c r="J13" s="13" t="n">
        <f aca="false">H13*$B$7</f>
        <v>2461032</v>
      </c>
      <c r="K13" s="12" t="n">
        <v>196</v>
      </c>
      <c r="L13" s="11" t="s">
        <v>44</v>
      </c>
      <c r="M13" s="13" t="n">
        <f aca="false">IF(K13="","",(G13-K13)*$B$4)</f>
        <v>-89950</v>
      </c>
      <c r="N13" s="14" t="s">
        <v>45</v>
      </c>
      <c r="O13" s="15" t="s">
        <v>46</v>
      </c>
    </row>
    <row r="14" customFormat="false" ht="15" hidden="false" customHeight="false" outlineLevel="0" collapsed="false">
      <c r="A14" s="11" t="s">
        <v>40</v>
      </c>
      <c r="B14" s="11" t="s">
        <v>41</v>
      </c>
      <c r="C14" s="11" t="s">
        <v>28</v>
      </c>
      <c r="D14" s="11" t="s">
        <v>47</v>
      </c>
      <c r="E14" s="11" t="s">
        <v>48</v>
      </c>
      <c r="F14" s="11" t="s">
        <v>31</v>
      </c>
      <c r="G14" s="12" t="n">
        <v>194</v>
      </c>
      <c r="H14" s="13" t="n">
        <f aca="false">G14*$B$4</f>
        <v>698012</v>
      </c>
      <c r="I14" s="13" t="n">
        <f aca="false">H14*$B$6</f>
        <v>2094036</v>
      </c>
      <c r="J14" s="13" t="n">
        <f aca="false">H14*$B$7</f>
        <v>2792048</v>
      </c>
      <c r="K14" s="12" t="n">
        <v>196</v>
      </c>
      <c r="L14" s="11" t="s">
        <v>44</v>
      </c>
      <c r="M14" s="13" t="n">
        <f aca="false">IF(K14="","",(G14-K14)*$B$4)</f>
        <v>-7196</v>
      </c>
      <c r="N14" s="11" t="s">
        <v>49</v>
      </c>
      <c r="O14" s="15" t="s">
        <v>46</v>
      </c>
    </row>
    <row r="15" customFormat="false" ht="26.85" hidden="false" customHeight="false" outlineLevel="0" collapsed="false">
      <c r="A15" s="11" t="s">
        <v>50</v>
      </c>
      <c r="B15" s="11" t="s">
        <v>27</v>
      </c>
      <c r="C15" s="11" t="s">
        <v>51</v>
      </c>
      <c r="D15" s="11" t="s">
        <v>52</v>
      </c>
      <c r="E15" s="11" t="s">
        <v>53</v>
      </c>
      <c r="F15" s="11" t="s">
        <v>54</v>
      </c>
      <c r="G15" s="12" t="n">
        <v>219</v>
      </c>
      <c r="H15" s="13" t="n">
        <f aca="false">G15*$B$4</f>
        <v>787962</v>
      </c>
      <c r="I15" s="13" t="n">
        <f aca="false">H15*$B$6</f>
        <v>2363886</v>
      </c>
      <c r="J15" s="13" t="n">
        <f aca="false">H15*$B$7</f>
        <v>3151848</v>
      </c>
      <c r="K15" s="17" t="n">
        <f aca="false">151+339*$B$5/$B$4</f>
        <v>201.501389660923</v>
      </c>
      <c r="L15" s="11" t="s">
        <v>55</v>
      </c>
      <c r="M15" s="13" t="n">
        <f aca="false">IF(K15="","",(G15-K15)*$B$4)</f>
        <v>62960</v>
      </c>
      <c r="N15" s="11" t="s">
        <v>56</v>
      </c>
      <c r="O15" s="15" t="s">
        <v>57</v>
      </c>
    </row>
    <row r="16" customFormat="false" ht="26.85" hidden="false" customHeight="false" outlineLevel="0" collapsed="false">
      <c r="A16" s="11" t="s">
        <v>50</v>
      </c>
      <c r="B16" s="11" t="s">
        <v>27</v>
      </c>
      <c r="C16" s="11" t="s">
        <v>58</v>
      </c>
      <c r="D16" s="11" t="s">
        <v>59</v>
      </c>
      <c r="E16" s="11" t="s">
        <v>60</v>
      </c>
      <c r="F16" s="11" t="s">
        <v>61</v>
      </c>
      <c r="G16" s="12" t="n">
        <v>233</v>
      </c>
      <c r="H16" s="13" t="n">
        <f aca="false">G16*$B$4</f>
        <v>838334</v>
      </c>
      <c r="I16" s="13" t="n">
        <f aca="false">H16*$B$6</f>
        <v>2515002</v>
      </c>
      <c r="J16" s="13" t="n">
        <f aca="false">H16*$B$7</f>
        <v>3353336</v>
      </c>
      <c r="K16" s="17" t="n">
        <f aca="false">151+339*$B$5/$B$4</f>
        <v>201.501389660923</v>
      </c>
      <c r="L16" s="11" t="s">
        <v>55</v>
      </c>
      <c r="M16" s="13" t="n">
        <f aca="false">IF(K16="","",(G16-K16)*$B$4)</f>
        <v>113332</v>
      </c>
      <c r="N16" s="11" t="s">
        <v>62</v>
      </c>
      <c r="O16" s="15" t="s">
        <v>57</v>
      </c>
    </row>
    <row r="17" customFormat="false" ht="15" hidden="false" customHeight="false" outlineLevel="0" collapsed="false">
      <c r="A17" s="9" t="s">
        <v>63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  <row r="18" customFormat="false" ht="26.85" hidden="false" customHeight="false" outlineLevel="0" collapsed="false">
      <c r="A18" s="11" t="s">
        <v>64</v>
      </c>
      <c r="B18" s="11" t="s">
        <v>65</v>
      </c>
      <c r="C18" s="11" t="s">
        <v>28</v>
      </c>
      <c r="D18" s="11" t="s">
        <v>66</v>
      </c>
      <c r="E18" s="11" t="s">
        <v>67</v>
      </c>
      <c r="F18" s="11" t="s">
        <v>31</v>
      </c>
      <c r="G18" s="12" t="n">
        <v>583</v>
      </c>
      <c r="H18" s="13" t="n">
        <f aca="false">G18*$B$4</f>
        <v>2097634</v>
      </c>
      <c r="I18" s="13" t="n">
        <f aca="false">H18*$B$6</f>
        <v>6292902</v>
      </c>
      <c r="J18" s="13" t="n">
        <f aca="false">H18*$B$7</f>
        <v>8390536</v>
      </c>
      <c r="K18" s="12" t="n">
        <v>590</v>
      </c>
      <c r="L18" s="11" t="s">
        <v>68</v>
      </c>
      <c r="M18" s="13" t="n">
        <f aca="false">IF(K18="","",(G18-K18)*$B$4)</f>
        <v>-25186</v>
      </c>
      <c r="N18" s="14" t="s">
        <v>69</v>
      </c>
      <c r="O18" s="15" t="s">
        <v>70</v>
      </c>
    </row>
    <row r="19" customFormat="false" ht="15" hidden="false" customHeight="false" outlineLevel="0" collapsed="false">
      <c r="A19" s="9" t="s">
        <v>71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  <row r="20" customFormat="false" ht="26.85" hidden="false" customHeight="false" outlineLevel="0" collapsed="false">
      <c r="A20" s="11" t="s">
        <v>72</v>
      </c>
      <c r="B20" s="11" t="s">
        <v>73</v>
      </c>
      <c r="C20" s="11" t="s">
        <v>35</v>
      </c>
      <c r="D20" s="11" t="s">
        <v>74</v>
      </c>
      <c r="E20" s="11" t="s">
        <v>75</v>
      </c>
      <c r="F20" s="11" t="s">
        <v>31</v>
      </c>
      <c r="G20" s="12" t="n">
        <v>338</v>
      </c>
      <c r="H20" s="13" t="n">
        <f aca="false">G20*$B$4</f>
        <v>1216124</v>
      </c>
      <c r="I20" s="13" t="n">
        <f aca="false">H20*$B$6</f>
        <v>3648372</v>
      </c>
      <c r="J20" s="13" t="n">
        <f aca="false">H20*$B$7</f>
        <v>4864496</v>
      </c>
      <c r="K20" s="18" t="n">
        <f aca="false">700*$B$5/$B$4</f>
        <v>104.280155642023</v>
      </c>
      <c r="L20" s="19" t="s">
        <v>76</v>
      </c>
      <c r="M20" s="13" t="n">
        <f aca="false">IF(K20="","",(G20-K20)*$B$4)</f>
        <v>840924</v>
      </c>
      <c r="N20" s="11" t="s">
        <v>77</v>
      </c>
      <c r="O20" s="15" t="s">
        <v>78</v>
      </c>
    </row>
    <row r="21" customFormat="false" ht="26.85" hidden="false" customHeight="false" outlineLevel="0" collapsed="false">
      <c r="A21" s="11" t="s">
        <v>79</v>
      </c>
      <c r="B21" s="11" t="s">
        <v>80</v>
      </c>
      <c r="C21" s="11" t="s">
        <v>35</v>
      </c>
      <c r="D21" s="11" t="s">
        <v>81</v>
      </c>
      <c r="E21" s="11" t="s">
        <v>82</v>
      </c>
      <c r="F21" s="11" t="s">
        <v>31</v>
      </c>
      <c r="G21" s="12" t="n">
        <v>270</v>
      </c>
      <c r="H21" s="13" t="n">
        <f aca="false">G21*$B$4</f>
        <v>971460</v>
      </c>
      <c r="I21" s="13" t="n">
        <f aca="false">H21*$B$6</f>
        <v>2914380</v>
      </c>
      <c r="J21" s="13" t="n">
        <f aca="false">H21*$B$7</f>
        <v>3885840</v>
      </c>
      <c r="K21" s="18" t="n">
        <f aca="false">700*$B$5/$B$4</f>
        <v>104.280155642023</v>
      </c>
      <c r="L21" s="19" t="s">
        <v>76</v>
      </c>
      <c r="M21" s="13" t="n">
        <f aca="false">IF(K21="","",(G21-K21)*$B$4)</f>
        <v>596260</v>
      </c>
      <c r="N21" s="11" t="s">
        <v>83</v>
      </c>
      <c r="O21" s="15" t="s">
        <v>84</v>
      </c>
    </row>
    <row r="22" customFormat="false" ht="26.85" hidden="false" customHeight="false" outlineLevel="0" collapsed="false">
      <c r="A22" s="11" t="s">
        <v>85</v>
      </c>
      <c r="B22" s="11" t="s">
        <v>86</v>
      </c>
      <c r="C22" s="11" t="s">
        <v>87</v>
      </c>
      <c r="D22" s="11" t="s">
        <v>88</v>
      </c>
      <c r="E22" s="11" t="s">
        <v>88</v>
      </c>
      <c r="F22" s="11" t="s">
        <v>88</v>
      </c>
      <c r="G22" s="12" t="n">
        <v>184</v>
      </c>
      <c r="H22" s="13" t="n">
        <f aca="false">G22*$B$4</f>
        <v>662032</v>
      </c>
      <c r="I22" s="13" t="n">
        <f aca="false">H22*$B$6</f>
        <v>1986096</v>
      </c>
      <c r="J22" s="13" t="n">
        <f aca="false">H22*$B$7</f>
        <v>2648128</v>
      </c>
      <c r="K22" s="18" t="n">
        <f aca="false">700*$B$5/$B$4</f>
        <v>104.280155642023</v>
      </c>
      <c r="L22" s="19" t="s">
        <v>76</v>
      </c>
      <c r="M22" s="13" t="n">
        <f aca="false">IF(K22="","",(G22-K22)*$B$4)</f>
        <v>286832</v>
      </c>
      <c r="N22" s="11" t="s">
        <v>89</v>
      </c>
      <c r="O22" s="15" t="s">
        <v>84</v>
      </c>
    </row>
    <row r="23" customFormat="false" ht="15" hidden="false" customHeight="false" outlineLevel="0" collapsed="false">
      <c r="A23" s="3" t="s">
        <v>90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20" t="s">
        <v>91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" hidden="false" customHeight="false" outlineLevel="0" collapsed="false">
      <c r="A26" s="5" t="s">
        <v>92</v>
      </c>
      <c r="B26" s="21" t="n">
        <v>223</v>
      </c>
      <c r="C26" s="3" t="s">
        <v>93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5" t="s">
        <v>94</v>
      </c>
      <c r="B27" s="22" t="n">
        <f aca="false">(G14-G13)*$B$4*$B$6</f>
        <v>248262</v>
      </c>
      <c r="C27" s="5" t="s">
        <v>95</v>
      </c>
      <c r="D27" s="22" t="n">
        <f aca="false">(G14-G13)*$B$4*$B$7</f>
        <v>331016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5" t="s">
        <v>96</v>
      </c>
      <c r="B28" s="22" t="n">
        <f aca="false">(K13-G13)*$B$4*$B$6</f>
        <v>269850</v>
      </c>
      <c r="C28" s="5" t="s">
        <v>97</v>
      </c>
      <c r="D28" s="22" t="n">
        <f aca="false">(K13-G13)*$B$4*$B$7</f>
        <v>359800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5" t="s">
        <v>98</v>
      </c>
      <c r="B29" s="22" t="n">
        <f aca="false">(B26-G13)*$B$4*$B$6</f>
        <v>561288</v>
      </c>
      <c r="C29" s="5" t="s">
        <v>99</v>
      </c>
      <c r="D29" s="22" t="n">
        <f aca="false">(B26-G13)*$B$4*$B$7</f>
        <v>748384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" hidden="false" customHeight="false" outlineLevel="0" collapsed="false">
      <c r="A31" s="20" t="s">
        <v>100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" hidden="false" customHeight="false" outlineLevel="0" collapsed="false">
      <c r="A32" s="5" t="s">
        <v>101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" hidden="false" customHeight="false" outlineLevel="0" collapsed="false">
      <c r="A33" s="5" t="s">
        <v>102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" hidden="false" customHeight="false" outlineLevel="0" collapsed="false">
      <c r="A34" s="5" t="s">
        <v>103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" hidden="false" customHeight="false" outlineLevel="0" collapsed="false">
      <c r="A35" s="5" t="s">
        <v>104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</sheetData>
  <hyperlinks>
    <hyperlink ref="O11" r:id="rId1" display="https://www.trip.com/flights/showfarefirst?dcity=ubn&amp;acity=bjs&amp;ddate=2026-11-12&amp;triptype=ow&amp;class=y&amp;quantity=1&amp;curr=USD"/>
    <hyperlink ref="O12" r:id="rId2" display="https://www.trip.com/flights/showfarefirst?dcity=ubn&amp;acity=bjs&amp;ddate=2026-11-12&amp;triptype=ow&amp;class=y&amp;quantity=1&amp;curr=USD"/>
    <hyperlink ref="O13" r:id="rId3" display="https://www.trip.com/flights/showfarefirst?dcity=bjs&amp;acity=ubn&amp;ddate=2026-11-16&amp;triptype=ow&amp;class=y&amp;quantity=1&amp;curr=USD"/>
    <hyperlink ref="O14" r:id="rId4" display="https://www.trip.com/flights/showfarefirst?dcity=bjs&amp;acity=ubn&amp;ddate=2026-11-16&amp;triptype=ow&amp;class=y&amp;quantity=1&amp;curr=USD"/>
    <hyperlink ref="O15" r:id="rId5" display="https://www.trip.com/flights/showfarefirst?dcity=ubn&amp;acity=she&amp;ddate=2026-11-12&amp;triptype=ow&amp;class=y&amp;quantity=1&amp;curr=USD"/>
    <hyperlink ref="O16" r:id="rId6" display="https://www.trip.com/flights/showfarefirst?dcity=ubn&amp;acity=she&amp;ddate=2026-11-12&amp;triptype=ow&amp;class=y&amp;quantity=1&amp;curr=USD"/>
    <hyperlink ref="O18" r:id="rId7" display="https://www.trip.com/flights/showfarefirst?dcity=ubn&amp;acity=hkg&amp;ddate=2027-01-08&amp;rdate=2027-01-11&amp;triptype=rt&amp;class=y&amp;quantity=1&amp;curr=USD"/>
    <hyperlink ref="O20" r:id="rId8" display="https://www.trip.com/flights/showfarefirst?dcity=bjs&amp;acity=hgh&amp;ddate=2027-01-25&amp;triptype=ow&amp;class=y&amp;quantity=1&amp;curr=USD"/>
    <hyperlink ref="O21" r:id="rId9" display="https://www.trip.com/flights/showfarefirst?dcity=hgh&amp;acity=bjs&amp;ddate=2027-01-28&amp;triptype=ow&amp;class=y&amp;quantity=1&amp;curr=USD"/>
    <hyperlink ref="O22" r:id="rId10" display="https://www.trip.com/flights/showfarefirst?dcity=hgh&amp;acity=bjs&amp;ddate=2027-01-28&amp;triptype=ow&amp;class=y&amp;quantity=1&amp;curr=US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105</v>
      </c>
    </row>
    <row r="3" customFormat="false" ht="15" hidden="false" customHeight="false" outlineLevel="0" collapsed="false">
      <c r="A3" s="23" t="s">
        <v>106</v>
      </c>
      <c r="B3" s="24" t="s">
        <v>107</v>
      </c>
    </row>
    <row r="4" customFormat="false" ht="39.55" hidden="false" customHeight="false" outlineLevel="0" collapsed="false">
      <c r="A4" s="23" t="s">
        <v>108</v>
      </c>
      <c r="B4" s="24" t="s">
        <v>109</v>
      </c>
    </row>
    <row r="5" customFormat="false" ht="15" hidden="false" customHeight="false" outlineLevel="0" collapsed="false">
      <c r="A5" s="23" t="s">
        <v>110</v>
      </c>
      <c r="B5" s="24" t="s">
        <v>111</v>
      </c>
    </row>
    <row r="6" customFormat="false" ht="26.85" hidden="false" customHeight="false" outlineLevel="0" collapsed="false">
      <c r="A6" s="23" t="s">
        <v>112</v>
      </c>
      <c r="B6" s="24" t="s">
        <v>113</v>
      </c>
    </row>
    <row r="7" customFormat="false" ht="26.85" hidden="false" customHeight="false" outlineLevel="0" collapsed="false">
      <c r="A7" s="23" t="s">
        <v>114</v>
      </c>
      <c r="B7" s="24" t="s">
        <v>115</v>
      </c>
    </row>
    <row r="8" customFormat="false" ht="15" hidden="false" customHeight="false" outlineLevel="0" collapsed="false">
      <c r="A8" s="23" t="s">
        <v>116</v>
      </c>
      <c r="B8" s="24" t="s">
        <v>117</v>
      </c>
    </row>
    <row r="9" customFormat="false" ht="15" hidden="false" customHeight="false" outlineLevel="0" collapsed="false">
      <c r="A9" s="23" t="s">
        <v>118</v>
      </c>
      <c r="B9" s="2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2026-09-30T15:03:00Z</dcterms:created>
  <dc:creator>openpyxl</dc:creator>
  <dc:description/>
  <dc:language>en-US</dc:language>
  <cp:lastModifiedBy/>
  <dcterms:modified xsi:type="dcterms:W3CDTF">2026-09-30T15:03:00Z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